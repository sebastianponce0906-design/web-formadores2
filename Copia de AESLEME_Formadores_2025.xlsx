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Validación de datos" sheetId="1" r:id="rId5"/>
    <sheet state="visible" name="TARIFAS" sheetId="2" r:id="rId6"/>
    <sheet state="visible" name="FORMADORES" sheetId="3" r:id="rId7"/>
    <sheet state="visible" name="CONFERENCIAS" sheetId="4" r:id="rId8"/>
    <sheet state="visible" name="CÁLCULOS" sheetId="5" r:id="rId9"/>
    <sheet state="visible" name="Resumen formador" sheetId="6" r:id="rId10"/>
    <sheet state="visible" name="Resumen_Formador LM" sheetId="7" r:id="rId11"/>
    <sheet state="visible" name="Resumen_Formador Sanitario" sheetId="8" r:id="rId12"/>
  </sheets>
  <definedNames/>
  <calcPr/>
  <pivotCaches>
    <pivotCache cacheId="0" r:id="rId13"/>
  </pivotCaches>
</workbook>
</file>

<file path=xl/sharedStrings.xml><?xml version="1.0" encoding="utf-8"?>
<sst xmlns="http://schemas.openxmlformats.org/spreadsheetml/2006/main" count="392" uniqueCount="297">
  <si>
    <t xml:space="preserve">PROGRAMAS TARIFAS </t>
  </si>
  <si>
    <t>Programas</t>
  </si>
  <si>
    <t>CODIGO</t>
  </si>
  <si>
    <t>Siglas programas</t>
  </si>
  <si>
    <t xml:space="preserve">COSTE BASE PRESENCIAL 1 </t>
  </si>
  <si>
    <t>Zona influencia</t>
  </si>
  <si>
    <t>Provincia</t>
  </si>
  <si>
    <t>Comunidad Autónoma</t>
  </si>
  <si>
    <t>COSTE BASE ONLINE 1</t>
  </si>
  <si>
    <t>Concepto</t>
  </si>
  <si>
    <t>COSTE BASE PRESENCIAL 2</t>
  </si>
  <si>
    <t>Mes</t>
  </si>
  <si>
    <t>Lm/san</t>
  </si>
  <si>
    <t>COSTE BASE ONLINE 2</t>
  </si>
  <si>
    <t>FUERA PROVINCIA</t>
  </si>
  <si>
    <t>PRECIO POR KM</t>
  </si>
  <si>
    <t>Trimestre</t>
  </si>
  <si>
    <t>KM A RESTAR</t>
  </si>
  <si>
    <t>Cta.banco</t>
  </si>
  <si>
    <t>Tipo de curso</t>
  </si>
  <si>
    <t>Opciones</t>
  </si>
  <si>
    <t>COORD LOGRA CONF</t>
  </si>
  <si>
    <t>Extras ponente coordinador</t>
  </si>
  <si>
    <t>PAIS VASCO</t>
  </si>
  <si>
    <t>Cargo</t>
  </si>
  <si>
    <t>Curso/Congreso/Jornada</t>
  </si>
  <si>
    <t>RETENCIÓN</t>
  </si>
  <si>
    <t>Opciones2</t>
  </si>
  <si>
    <t>años</t>
  </si>
  <si>
    <t>Columna5</t>
  </si>
  <si>
    <t>Columna6</t>
  </si>
  <si>
    <t>Columna7</t>
  </si>
  <si>
    <t>SEGURO POR TU CIUDAD</t>
  </si>
  <si>
    <t>SXTC</t>
  </si>
  <si>
    <t>Agárrate a la vida</t>
  </si>
  <si>
    <t>AGV</t>
  </si>
  <si>
    <t>Almería</t>
  </si>
  <si>
    <t>Álava</t>
  </si>
  <si>
    <t>Andalucía</t>
  </si>
  <si>
    <t>Charlas</t>
  </si>
  <si>
    <t>enero</t>
  </si>
  <si>
    <t>Lm</t>
  </si>
  <si>
    <t>1 tri</t>
  </si>
  <si>
    <t>General</t>
  </si>
  <si>
    <t>Total</t>
  </si>
  <si>
    <t>Si</t>
  </si>
  <si>
    <t>TE PUEDE PASAR</t>
  </si>
  <si>
    <t>TPP</t>
  </si>
  <si>
    <t>Prov.</t>
  </si>
  <si>
    <t>Directora de AESLEME</t>
  </si>
  <si>
    <t>Curso</t>
  </si>
  <si>
    <t>Ponencia</t>
  </si>
  <si>
    <t>SI CONTROLAS, VUELVES</t>
  </si>
  <si>
    <t>SCV</t>
  </si>
  <si>
    <t>AGÁRRATE A LA VIDA</t>
  </si>
  <si>
    <t>DESPLÁZA SEGURO Y PROTÉGELES</t>
  </si>
  <si>
    <t>DSYP</t>
  </si>
  <si>
    <t>CURSO DE EMPRESA</t>
  </si>
  <si>
    <t>CE</t>
  </si>
  <si>
    <t>Atención a víctimas</t>
  </si>
  <si>
    <t>ATT</t>
  </si>
  <si>
    <t>Cádiz</t>
  </si>
  <si>
    <t>Albacete</t>
  </si>
  <si>
    <t>Aragón</t>
  </si>
  <si>
    <t>Coordinación</t>
  </si>
  <si>
    <t>febrero</t>
  </si>
  <si>
    <t>Sant</t>
  </si>
  <si>
    <t>2 tri</t>
  </si>
  <si>
    <t>IRPF</t>
  </si>
  <si>
    <t>Parcial</t>
  </si>
  <si>
    <t>JORNADA</t>
  </si>
  <si>
    <t>No</t>
  </si>
  <si>
    <t>J</t>
  </si>
  <si>
    <t>Fuera prov.</t>
  </si>
  <si>
    <t>Formador de AESLEME</t>
  </si>
  <si>
    <t>Jornada</t>
  </si>
  <si>
    <t>Asistencia</t>
  </si>
  <si>
    <t>DRINKING DRIVING NEVER MILITARES</t>
  </si>
  <si>
    <t>DDNMIL</t>
  </si>
  <si>
    <t>DRINKING DRIVING NEVER UNIVERSIDADES</t>
  </si>
  <si>
    <t>DDNUNI</t>
  </si>
  <si>
    <t>Cursos de reeducación del carné por puntos</t>
  </si>
  <si>
    <t>CXPTOS</t>
  </si>
  <si>
    <t>Córdoba</t>
  </si>
  <si>
    <t>Alicante</t>
  </si>
  <si>
    <t>Asturias</t>
  </si>
  <si>
    <t>ROAD SHOW</t>
  </si>
  <si>
    <t>Kilometraje</t>
  </si>
  <si>
    <t>marzo</t>
  </si>
  <si>
    <t>RS</t>
  </si>
  <si>
    <t>TEATRO</t>
  </si>
  <si>
    <t>3 tri</t>
  </si>
  <si>
    <t>TTRO</t>
  </si>
  <si>
    <t>Nómina</t>
  </si>
  <si>
    <t>Delegado Provincial de AESLEME</t>
  </si>
  <si>
    <t>Comisiones de Educación Vial JPT</t>
  </si>
  <si>
    <t>DEFIÉNDETE A TI MISMO</t>
  </si>
  <si>
    <t>DTM</t>
  </si>
  <si>
    <t>Marca temporal</t>
  </si>
  <si>
    <t>TASEVAL</t>
  </si>
  <si>
    <t>TSV</t>
  </si>
  <si>
    <t>Curso de empresa</t>
  </si>
  <si>
    <t>Granada, Sevilla, Jaén</t>
  </si>
  <si>
    <t>- €</t>
  </si>
  <si>
    <t>Baleares</t>
  </si>
  <si>
    <t>Ch+km</t>
  </si>
  <si>
    <t>abril</t>
  </si>
  <si>
    <t>Conductor</t>
  </si>
  <si>
    <t>4 tri</t>
  </si>
  <si>
    <t>Online</t>
  </si>
  <si>
    <t>Formadora de AELSEME</t>
  </si>
  <si>
    <t>Grupos de Trabajo</t>
  </si>
  <si>
    <t>MUÉVETE SEGURO</t>
  </si>
  <si>
    <t>MS</t>
  </si>
  <si>
    <t>Defiéndete a ti mismo</t>
  </si>
  <si>
    <t>Huelva</t>
  </si>
  <si>
    <t>Canarias</t>
  </si>
  <si>
    <t>Charlas x Nómina</t>
  </si>
  <si>
    <t>mayo</t>
  </si>
  <si>
    <t>Nómina online</t>
  </si>
  <si>
    <t>Delegada Provincial de AESLEME</t>
  </si>
  <si>
    <t>Reunión</t>
  </si>
  <si>
    <t>Desplázate seguro y protégeles</t>
  </si>
  <si>
    <t>Málaga</t>
  </si>
  <si>
    <t>Ávila</t>
  </si>
  <si>
    <t>Cantabria</t>
  </si>
  <si>
    <t>Dirección de correo electrónico</t>
  </si>
  <si>
    <t>junio</t>
  </si>
  <si>
    <t>Email</t>
  </si>
  <si>
    <t>Programa</t>
  </si>
  <si>
    <t>Estado</t>
  </si>
  <si>
    <t>Nombre</t>
  </si>
  <si>
    <t>Nombre del centro</t>
  </si>
  <si>
    <t>Apellidos</t>
  </si>
  <si>
    <t>Jornadas</t>
  </si>
  <si>
    <t>Dirección</t>
  </si>
  <si>
    <t>NIF</t>
  </si>
  <si>
    <t>Localidad</t>
  </si>
  <si>
    <t>Badajoz</t>
  </si>
  <si>
    <t>Castilla La Mancha</t>
  </si>
  <si>
    <t>julio</t>
  </si>
  <si>
    <t>Móvil</t>
  </si>
  <si>
    <t>Tipo</t>
  </si>
  <si>
    <t xml:space="preserve">
Fecha</t>
  </si>
  <si>
    <t>Muévete de forma segura</t>
  </si>
  <si>
    <t>MFS</t>
  </si>
  <si>
    <t>Número conferencias</t>
  </si>
  <si>
    <t>Barcelona</t>
  </si>
  <si>
    <t>Castilla y León</t>
  </si>
  <si>
    <t>agosto</t>
  </si>
  <si>
    <t>Formato</t>
  </si>
  <si>
    <t>Fuera de provincia</t>
  </si>
  <si>
    <t>¿Hubo Formador LM?</t>
  </si>
  <si>
    <t>Seguro por tu ciudad</t>
  </si>
  <si>
    <t>Nombre y dos apellidos de Formador LM</t>
  </si>
  <si>
    <t>Burgos</t>
  </si>
  <si>
    <t>Cataluña</t>
  </si>
  <si>
    <t>septiembre</t>
  </si>
  <si>
    <t>Km LM</t>
  </si>
  <si>
    <t>Km facturables LM</t>
  </si>
  <si>
    <t>Dietas LM</t>
  </si>
  <si>
    <t>Road Show</t>
  </si>
  <si>
    <t>Guadalajara</t>
  </si>
  <si>
    <t>C.E.M.J.</t>
  </si>
  <si>
    <t>Ceuta</t>
  </si>
  <si>
    <t>octubre</t>
  </si>
  <si>
    <t>¿Hubo Formador Sanitario?</t>
  </si>
  <si>
    <t>Nombre y dos apellidos  Formador Sanitario</t>
  </si>
  <si>
    <t>Si controlas, vuelves</t>
  </si>
  <si>
    <t>Toledo</t>
  </si>
  <si>
    <t>Cabrera</t>
  </si>
  <si>
    <t>Km Sanitario</t>
  </si>
  <si>
    <t>Comunidad de Madrid</t>
  </si>
  <si>
    <t>noviembre</t>
  </si>
  <si>
    <t>Km facturables Sanitario</t>
  </si>
  <si>
    <t>Dietas Sanitario</t>
  </si>
  <si>
    <t>Coordinador AGV logra conf</t>
  </si>
  <si>
    <t>Cáceres</t>
  </si>
  <si>
    <t>Comunidad Valenciana</t>
  </si>
  <si>
    <t>diciembre</t>
  </si>
  <si>
    <t>Observaciones</t>
  </si>
  <si>
    <t>Coordinador</t>
  </si>
  <si>
    <t>Te puede pasar</t>
  </si>
  <si>
    <t>Extremadura</t>
  </si>
  <si>
    <t>Importe de la coordinación</t>
  </si>
  <si>
    <t>Email LM</t>
  </si>
  <si>
    <t>WSR Universidades</t>
  </si>
  <si>
    <t>Email Sanitario</t>
  </si>
  <si>
    <t>Castellón</t>
  </si>
  <si>
    <t>Galicia</t>
  </si>
  <si>
    <t>WSR Militares</t>
  </si>
  <si>
    <t>La Rioja</t>
  </si>
  <si>
    <t>WSR Militares+DTM</t>
  </si>
  <si>
    <t>Ciudad Real</t>
  </si>
  <si>
    <t>Melilla</t>
  </si>
  <si>
    <t>Código</t>
  </si>
  <si>
    <t>Código programa</t>
  </si>
  <si>
    <t>Código provincia</t>
  </si>
  <si>
    <t>NºConferencias</t>
  </si>
  <si>
    <t>País Vasco</t>
  </si>
  <si>
    <t>Fecha</t>
  </si>
  <si>
    <t>Murcia</t>
  </si>
  <si>
    <t>Formador LM</t>
  </si>
  <si>
    <t>Coordinador AGV</t>
  </si>
  <si>
    <t>Importe coordinación</t>
  </si>
  <si>
    <t>Km  LM</t>
  </si>
  <si>
    <t>España</t>
  </si>
  <si>
    <t>Cuenca</t>
  </si>
  <si>
    <t>Navarra</t>
  </si>
  <si>
    <t>Coste Base LM</t>
  </si>
  <si>
    <t>Coste Km LM</t>
  </si>
  <si>
    <t>Retención LM</t>
  </si>
  <si>
    <t>Importe líquido LM</t>
  </si>
  <si>
    <t>Total LM</t>
  </si>
  <si>
    <t>Formador Sanitario</t>
  </si>
  <si>
    <t>El Hierro</t>
  </si>
  <si>
    <t>Coste Base Sanitario</t>
  </si>
  <si>
    <t>Coste Km sanitario</t>
  </si>
  <si>
    <t>Retención Sanitario</t>
  </si>
  <si>
    <t>Importe líquido Sanitario</t>
  </si>
  <si>
    <t>Total Sanitario</t>
  </si>
  <si>
    <t>TOTAL FINAL</t>
  </si>
  <si>
    <t>EMAIL LM</t>
  </si>
  <si>
    <t>Formentera</t>
  </si>
  <si>
    <t>EMAIL SANITARIO</t>
  </si>
  <si>
    <t>AÑO</t>
  </si>
  <si>
    <t>MES</t>
  </si>
  <si>
    <t>Fuenlabrada</t>
  </si>
  <si>
    <t>Fuerteventura</t>
  </si>
  <si>
    <t>Gerona</t>
  </si>
  <si>
    <t>Getafe</t>
  </si>
  <si>
    <t>Gomera</t>
  </si>
  <si>
    <t>Gran Canaria</t>
  </si>
  <si>
    <t>Granada</t>
  </si>
  <si>
    <t>Guipúzcoa</t>
  </si>
  <si>
    <t>Huesca</t>
  </si>
  <si>
    <t>Ibiza</t>
  </si>
  <si>
    <t>Jaén</t>
  </si>
  <si>
    <t>La Coruña</t>
  </si>
  <si>
    <t>La Palma</t>
  </si>
  <si>
    <t>Lanzarote</t>
  </si>
  <si>
    <t>León</t>
  </si>
  <si>
    <t>Lérida</t>
  </si>
  <si>
    <t>Logroño</t>
  </si>
  <si>
    <t>Lugo</t>
  </si>
  <si>
    <t>Madrid</t>
  </si>
  <si>
    <t>Email formador LM</t>
  </si>
  <si>
    <t>Nombre formador LM</t>
  </si>
  <si>
    <t>Mallorca</t>
  </si>
  <si>
    <t>Mes número</t>
  </si>
  <si>
    <t>Año</t>
  </si>
  <si>
    <t>Total formador bruto</t>
  </si>
  <si>
    <t>Retención formación</t>
  </si>
  <si>
    <t>Formación neta</t>
  </si>
  <si>
    <t>Total Km</t>
  </si>
  <si>
    <t>Importe Km</t>
  </si>
  <si>
    <t>Total dietas</t>
  </si>
  <si>
    <t>Total bruto</t>
  </si>
  <si>
    <t>Total retención</t>
  </si>
  <si>
    <t>Total Líquido</t>
  </si>
  <si>
    <t>Menorca</t>
  </si>
  <si>
    <t>Orense</t>
  </si>
  <si>
    <t>Palencia</t>
  </si>
  <si>
    <t>Pontevedra</t>
  </si>
  <si>
    <t>Pozuelo de Alarcón</t>
  </si>
  <si>
    <t>Salamanca</t>
  </si>
  <si>
    <t>Santander</t>
  </si>
  <si>
    <t>Valores</t>
  </si>
  <si>
    <t>Segovia</t>
  </si>
  <si>
    <t>Sevilla</t>
  </si>
  <si>
    <t/>
  </si>
  <si>
    <t xml:space="preserve">Total </t>
  </si>
  <si>
    <t>Suma total</t>
  </si>
  <si>
    <t>Soria</t>
  </si>
  <si>
    <t>SUM de Importe coordinación</t>
  </si>
  <si>
    <t>SUM de Coste Base LM</t>
  </si>
  <si>
    <t>SUM de Retención LM</t>
  </si>
  <si>
    <t>SUM de Importe líquido LM</t>
  </si>
  <si>
    <t>Tarragona</t>
  </si>
  <si>
    <t>SUM de Km  LM</t>
  </si>
  <si>
    <t>SUM de Coste Km LM</t>
  </si>
  <si>
    <t>SUM de Dietas LM</t>
  </si>
  <si>
    <t>SUM de Coste Base Sanitario</t>
  </si>
  <si>
    <t>SUM de Retención Sanitario</t>
  </si>
  <si>
    <t>SUM de Importe líquido Sanitario</t>
  </si>
  <si>
    <t>SUM de Coste Km sanitario</t>
  </si>
  <si>
    <t>SUM de Dietas Sanitario</t>
  </si>
  <si>
    <t>SUM de Total LM</t>
  </si>
  <si>
    <t>Tenerife</t>
  </si>
  <si>
    <t>Teruel</t>
  </si>
  <si>
    <t>Valencia</t>
  </si>
  <si>
    <t>Valladolid</t>
  </si>
  <si>
    <t>Vizcaya</t>
  </si>
  <si>
    <t>Zamora</t>
  </si>
  <si>
    <t>Zaragoza</t>
  </si>
  <si>
    <t>Email formador Sanitario</t>
  </si>
  <si>
    <t>Nombre formador Sanitario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</si>
</sst>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\ [$€-1]"/>
    <numFmt numFmtId="165" formatCode="#,##0.00&quot;€&quot;"/>
    <numFmt numFmtId="166" formatCode="d/MM/yyyy"/>
  </numFmts>
  <fonts count="9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&quot;Aptos Narrow&quot;"/>
    </font>
    <font>
      <color theme="1"/>
      <name val="Arial"/>
      <scheme val="minor"/>
    </font>
    <font>
      <sz val="11.0"/>
      <color rgb="FF000000"/>
      <name val="Arial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b/>
      <color rgb="FFFFFFFF"/>
      <name val="Arial"/>
      <scheme val="minor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A21C06"/>
        <bgColor rgb="FFA21C06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000000"/>
      </top>
      <bottom style="thin">
        <color rgb="FF000000"/>
      </bottom>
    </border>
    <border>
      <top style="thin">
        <color rgb="FF8EA9DB"/>
      </top>
      <bottom style="thin">
        <color rgb="FF8EA9DB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3" fontId="1" numFmtId="0" xfId="0" applyAlignment="1" applyBorder="1" applyFill="1" applyFont="1">
      <alignment readingOrder="0" shrinkToFit="0" vertical="bottom" wrapText="0"/>
    </xf>
    <xf borderId="3" fillId="2" fontId="2" numFmtId="0" xfId="0" applyAlignment="1" applyBorder="1" applyFill="1" applyFont="1">
      <alignment horizontal="center" readingOrder="0" shrinkToFit="0" vertical="bottom" wrapText="0"/>
    </xf>
    <xf borderId="4" fillId="3" fontId="1" numFmtId="0" xfId="0" applyAlignment="1" applyBorder="1" applyFill="1" applyFont="1">
      <alignment readingOrder="0" shrinkToFit="0" vertical="bottom" wrapText="0"/>
    </xf>
    <xf borderId="3" fillId="2" fontId="1" numFmtId="0" xfId="0" applyAlignment="1" applyBorder="1" applyFill="1" applyFont="1">
      <alignment horizontal="center" readingOrder="0" shrinkToFit="0" vertical="bottom" wrapText="0"/>
    </xf>
    <xf borderId="4" fillId="3" fontId="1" numFmtId="0" xfId="0" applyAlignment="1" applyBorder="1" applyFill="1" applyFont="1">
      <alignment horizontal="center" readingOrder="0" shrinkToFit="0" vertical="bottom" wrapText="0"/>
    </xf>
    <xf borderId="5" fillId="2" fontId="2" numFmtId="0" xfId="0" applyAlignment="1" applyBorder="1" applyFill="1" applyFont="1">
      <alignment horizontal="center" readingOrder="0" shrinkToFit="0" vertical="bottom" wrapText="0"/>
    </xf>
    <xf borderId="5" fillId="2" fontId="1" numFmtId="0" xfId="0" applyAlignment="1" applyBorder="1" applyFill="1" applyFont="1">
      <alignment horizontal="center" readingOrder="0" shrinkToFit="0" vertical="bottom" wrapText="0"/>
    </xf>
    <xf borderId="0" fillId="0" fontId="3" numFmtId="0" xfId="0" applyAlignment="1" applyFont="1">
      <alignment horizontal="center"/>
    </xf>
    <xf borderId="6" fillId="3" fontId="1" numFmtId="0" xfId="0" applyAlignment="1" applyBorder="1" applyFill="1" applyFont="1">
      <alignment horizontal="center" readingOrder="0" shrinkToFit="0" vertical="bottom" wrapText="0"/>
    </xf>
    <xf borderId="0" fillId="4" fontId="4" numFmtId="0" xfId="0" applyAlignment="1" applyFill="1" applyFont="1">
      <alignment shrinkToFit="0" vertical="bottom" wrapText="0"/>
    </xf>
    <xf borderId="7" fillId="0" fontId="5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165" xfId="0" applyAlignment="1" applyFont="1" applyNumberForma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8" fillId="0" fontId="6" numFmtId="0" xfId="0" applyAlignment="1" applyBorder="1" applyFont="1">
      <alignment shrinkToFit="0" vertical="bottom" wrapText="0"/>
    </xf>
    <xf borderId="2" fillId="4" fontId="4" numFmtId="0" xfId="0" applyAlignment="1" applyBorder="1" applyFill="1" applyFont="1">
      <alignment readingOrder="0" shrinkToFit="0" vertical="bottom" wrapText="0"/>
    </xf>
    <xf borderId="9" fillId="0" fontId="3" numFmtId="9" xfId="0" applyAlignment="1" applyBorder="1" applyFont="1" applyNumberFormat="1">
      <alignment readingOrder="0"/>
    </xf>
    <xf borderId="4" fillId="4" fontId="4" numFmtId="0" xfId="0" applyAlignment="1" applyBorder="1" applyFill="1" applyFont="1">
      <alignment readingOrder="0" shrinkToFit="0" vertical="bottom" wrapText="0"/>
    </xf>
    <xf borderId="4" fillId="4" fontId="4" numFmtId="165" xfId="0" applyAlignment="1" applyBorder="1" applyFill="1" applyFont="1" applyNumberFormat="1">
      <alignment readingOrder="0" shrinkToFit="0" vertical="bottom" wrapText="0"/>
    </xf>
    <xf borderId="7" fillId="0" fontId="3" numFmtId="9" xfId="0" applyAlignment="1" applyBorder="1" applyFont="1" applyNumberFormat="1">
      <alignment readingOrder="0"/>
    </xf>
    <xf borderId="4" fillId="4" fontId="4" numFmtId="0" xfId="0" applyAlignment="1" applyBorder="1" applyFill="1" applyFont="1">
      <alignment shrinkToFit="0" vertical="bottom" wrapText="0"/>
    </xf>
    <xf borderId="6" fillId="4" fontId="4" numFmtId="0" xfId="0" applyAlignment="1" applyBorder="1" applyFill="1" applyFont="1">
      <alignment shrinkToFit="0" vertical="bottom" wrapText="0"/>
    </xf>
    <xf borderId="8" fillId="0" fontId="6" numFmtId="165" xfId="0" applyAlignment="1" applyBorder="1" applyFont="1" applyNumberForma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4" fillId="4" fontId="4" numFmtId="0" xfId="0" applyAlignment="1" applyBorder="1" applyFill="1" applyFont="1">
      <alignment readingOrder="0" vertical="bottom"/>
    </xf>
    <xf borderId="10" fillId="0" fontId="5" numFmtId="0" xfId="0" applyAlignment="1" applyBorder="1" applyFont="1">
      <alignment readingOrder="0" shrinkToFit="0" vertical="bottom" wrapText="0"/>
    </xf>
    <xf borderId="11" fillId="0" fontId="6" numFmtId="0" xfId="0" applyAlignment="1" applyBorder="1" applyFont="1">
      <alignment readingOrder="0" shrinkToFit="0" vertical="bottom" wrapText="0"/>
    </xf>
    <xf borderId="11" fillId="0" fontId="6" numFmtId="165" xfId="0" applyAlignment="1" applyBorder="1" applyFont="1" applyNumberFormat="1">
      <alignment readingOrder="0" shrinkToFit="0" vertical="bottom" wrapText="0"/>
    </xf>
    <xf borderId="4" fillId="5" fontId="4" numFmtId="0" xfId="0" applyAlignment="1" applyBorder="1" applyFill="1" applyFont="1">
      <alignment shrinkToFit="0" vertical="bottom" wrapText="0"/>
    </xf>
    <xf borderId="11" fillId="0" fontId="6" numFmtId="0" xfId="0" applyAlignment="1" applyBorder="1" applyFont="1">
      <alignment shrinkToFit="0" vertical="bottom" wrapText="0"/>
    </xf>
    <xf borderId="12" fillId="0" fontId="6" numFmtId="0" xfId="0" applyAlignment="1" applyBorder="1" applyFont="1">
      <alignment shrinkToFit="0" vertical="bottom" wrapText="0"/>
    </xf>
    <xf borderId="10" fillId="0" fontId="3" numFmtId="9" xfId="0" applyAlignment="1" applyBorder="1" applyFont="1" applyNumberForma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4" fillId="0" fontId="4" numFmtId="0" xfId="0" applyAlignment="1" applyBorder="1" applyFont="1">
      <alignment shrinkToFit="0" vertical="bottom" wrapText="0"/>
    </xf>
    <xf borderId="0" fillId="0" fontId="3" numFmtId="0" xfId="0" applyAlignment="1" applyFont="1">
      <alignment horizontal="left" readingOrder="0" shrinkToFit="0" vertical="center" wrapText="0"/>
    </xf>
    <xf borderId="0" fillId="2" fontId="7" numFmtId="0" xfId="0" applyAlignment="1" applyFill="1" applyFont="1">
      <alignment horizontal="center" readingOrder="0"/>
    </xf>
    <xf borderId="2" fillId="4" fontId="4" numFmtId="0" xfId="0" applyAlignment="1" applyBorder="1" applyFill="1" applyFont="1">
      <alignment shrinkToFit="0" vertical="bottom" wrapText="0"/>
    </xf>
    <xf borderId="0" fillId="2" fontId="7" numFmtId="166" xfId="0" applyAlignment="1" applyFill="1" applyFont="1" applyNumberFormat="1">
      <alignment horizontal="center" readingOrder="0"/>
    </xf>
    <xf borderId="0" fillId="2" fontId="7" numFmtId="4" xfId="0" applyAlignment="1" applyFill="1" applyFont="1" applyNumberFormat="1">
      <alignment horizontal="center" readingOrder="0"/>
    </xf>
    <xf borderId="0" fillId="2" fontId="7" numFmtId="164" xfId="0" applyAlignment="1" applyFill="1" applyFont="1" applyNumberFormat="1">
      <alignment horizontal="center" readingOrder="0"/>
    </xf>
    <xf borderId="0" fillId="0" fontId="3" numFmtId="0" xfId="0" applyFont="1"/>
    <xf borderId="0" fillId="0" fontId="3" numFmtId="166" xfId="0" applyAlignment="1" applyFont="1" applyNumberFormat="1">
      <alignment readingOrder="0"/>
    </xf>
    <xf borderId="0" fillId="0" fontId="3" numFmtId="4" xfId="0" applyFont="1" applyNumberFormat="1"/>
    <xf borderId="0" fillId="0" fontId="3" numFmtId="164" xfId="0" applyFont="1" applyNumberForma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6" xfId="0" applyFont="1" applyNumberFormat="1"/>
    <xf borderId="0" fillId="0" fontId="8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FORMADO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FERENCI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C1000" sheet="CÁLCULOS"/>
  </cacheSource>
  <cacheFields>
    <cacheField name="Código" numFmtId="0">
      <sharedItems containsString="0" containsBlank="1">
        <m/>
      </sharedItems>
    </cacheField>
    <cacheField name="Código programa" numFmtId="0">
      <sharedItems containsString="0" containsBlank="1">
        <m/>
      </sharedItems>
    </cacheField>
    <cacheField name="Código provincia" numFmtId="0">
      <sharedItems containsString="0" containsBlank="1">
        <m/>
      </sharedItems>
    </cacheField>
    <cacheField name="Programa" numFmtId="0">
      <sharedItems containsString="0" containsBlank="1">
        <m/>
      </sharedItems>
    </cacheField>
    <cacheField name="NºConferencias" numFmtId="0">
      <sharedItems containsString="0" containsBlank="1">
        <m/>
      </sharedItems>
    </cacheField>
    <cacheField name="Fecha" numFmtId="0">
      <sharedItems containsString="0" containsBlank="1">
        <m/>
      </sharedItems>
    </cacheField>
    <cacheField name="Formador LM" numFmtId="0">
      <sharedItems containsString="0" containsBlank="1">
        <m/>
      </sharedItems>
    </cacheField>
    <cacheField name="Coordinador AGV" numFmtId="0">
      <sharedItems containsString="0" containsBlank="1">
        <m/>
      </sharedItems>
    </cacheField>
    <cacheField name="Importe coordinación" numFmtId="0">
      <sharedItems containsString="0" containsBlank="1">
        <m/>
      </sharedItems>
    </cacheField>
    <cacheField name="Km  LM" numFmtId="0">
      <sharedItems containsString="0" containsBlank="1">
        <m/>
      </sharedItems>
    </cacheField>
    <cacheField name="Dietas LM" numFmtId="0">
      <sharedItems containsString="0" containsBlank="1">
        <m/>
      </sharedItems>
    </cacheField>
    <cacheField name="Coste Base LM" numFmtId="164">
      <sharedItems containsSemiMixedTypes="0" containsString="0" containsNumber="1" containsInteger="1">
        <n v="0.0"/>
      </sharedItems>
    </cacheField>
    <cacheField name="Coste Km LM" numFmtId="164">
      <sharedItems containsSemiMixedTypes="0" containsString="0" containsNumber="1" containsInteger="1">
        <n v="0.0"/>
      </sharedItems>
    </cacheField>
    <cacheField name="Retención LM" numFmtId="164">
      <sharedItems containsSemiMixedTypes="0" containsString="0" containsNumber="1" containsInteger="1">
        <n v="0.0"/>
      </sharedItems>
    </cacheField>
    <cacheField name="Importe líquido LM" numFmtId="164">
      <sharedItems containsSemiMixedTypes="0" containsString="0" containsNumber="1" containsInteger="1">
        <n v="0.0"/>
      </sharedItems>
    </cacheField>
    <cacheField name="Total LM" numFmtId="164">
      <sharedItems containsSemiMixedTypes="0" containsString="0" containsNumber="1" containsInteger="1">
        <n v="0.0"/>
      </sharedItems>
    </cacheField>
    <cacheField name="Formador Sanitario" numFmtId="0">
      <sharedItems containsString="0" containsBlank="1">
        <m/>
      </sharedItems>
    </cacheField>
    <cacheField name="Km Sanitario" numFmtId="0">
      <sharedItems containsString="0" containsBlank="1">
        <m/>
      </sharedItems>
    </cacheField>
    <cacheField name="Dietas Sanitario" numFmtId="0">
      <sharedItems containsString="0" containsBlank="1">
        <m/>
      </sharedItems>
    </cacheField>
    <cacheField name="Coste Base Sanitario" numFmtId="164">
      <sharedItems containsSemiMixedTypes="0" containsString="0" containsNumber="1" containsInteger="1">
        <n v="0.0"/>
      </sharedItems>
    </cacheField>
    <cacheField name="Coste Km sanitario" numFmtId="164">
      <sharedItems containsSemiMixedTypes="0" containsString="0" containsNumber="1" containsInteger="1">
        <n v="0.0"/>
      </sharedItems>
    </cacheField>
    <cacheField name="Retención Sanitario" numFmtId="164">
      <sharedItems containsSemiMixedTypes="0" containsString="0" containsNumber="1" containsInteger="1">
        <n v="0.0"/>
      </sharedItems>
    </cacheField>
    <cacheField name="Importe líquido Sanitario" numFmtId="164">
      <sharedItems containsSemiMixedTypes="0" containsString="0" containsNumber="1" containsInteger="1">
        <n v="0.0"/>
      </sharedItems>
    </cacheField>
    <cacheField name="Total Sanitario" numFmtId="164">
      <sharedItems containsSemiMixedTypes="0" containsString="0" containsNumber="1" containsInteger="1">
        <n v="0.0"/>
      </sharedItems>
    </cacheField>
    <cacheField name="TOTAL FINAL" numFmtId="164">
      <sharedItems containsSemiMixedTypes="0" containsString="0" containsNumber="1" containsInteger="1">
        <n v="0.0"/>
      </sharedItems>
    </cacheField>
    <cacheField name="EMAIL LM" numFmtId="0">
      <sharedItems containsString="0" containsBlank="1">
        <m/>
      </sharedItems>
    </cacheField>
    <cacheField name="EMAIL SANITARIO" numFmtId="0">
      <sharedItems containsString="0" containsBlank="1">
        <m/>
      </sharedItems>
    </cacheField>
    <cacheField name="AÑO" numFmtId="0">
      <sharedItems>
        <s v=""/>
      </sharedItems>
    </cacheField>
    <cacheField name="MES" numFmtId="0">
      <sharedItems>
        <s v="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sumen formador" cacheId="0" dataCaption="" compact="0" compactData="0">
  <location ref="A3:AR9" firstHeaderRow="0" firstDataRow="3" firstDataCol="2" rowPageCount="1" colPageCount="1"/>
  <pivotFields>
    <pivotField name="Código" compact="0" outline="0" multipleItemSelectionAllowed="1" showAll="0">
      <items>
        <item x="0"/>
        <item t="default"/>
      </items>
    </pivotField>
    <pivotField name="Código programa" compact="0" outline="0" multipleItemSelectionAllowed="1" showAll="0">
      <items>
        <item x="0"/>
        <item t="default"/>
      </items>
    </pivotField>
    <pivotField name="Código provincia" compact="0" outline="0" multipleItemSelectionAllowed="1" showAll="0">
      <items>
        <item x="0"/>
        <item t="default"/>
      </items>
    </pivotField>
    <pivotField name="Programa" compact="0" outline="0" multipleItemSelectionAllowed="1" showAll="0">
      <items>
        <item x="0"/>
        <item t="default"/>
      </items>
    </pivotField>
    <pivotField name="NºConferencias" compact="0" outline="0" multipleItemSelectionAllowed="1" showAll="0">
      <items>
        <item x="0"/>
        <item t="default"/>
      </items>
    </pivotField>
    <pivotField name="Fecha" compact="0" outline="0" multipleItemSelectionAllowed="1" showAll="0">
      <items>
        <item x="0"/>
        <item t="default"/>
      </items>
    </pivotField>
    <pivotField name="Formador LM" axis="axisRow" compact="0" outline="0" multipleItemSelectionAllowed="1" showAll="0" sortType="ascending">
      <items>
        <item x="0"/>
        <item t="default"/>
      </items>
    </pivotField>
    <pivotField name="Coordinador AGV" compact="0" outline="0" multipleItemSelectionAllowed="1" showAll="0">
      <items>
        <item x="0"/>
        <item t="default"/>
      </items>
    </pivotField>
    <pivotField name="Importe coordinación" dataField="1" compact="0" outline="0" multipleItemSelectionAllowed="1" showAll="0">
      <items>
        <item x="0"/>
        <item t="default"/>
      </items>
    </pivotField>
    <pivotField name="Km  LM" dataField="1" compact="0" outline="0" multipleItemSelectionAllowed="1" showAll="0">
      <items>
        <item x="0"/>
        <item t="default"/>
      </items>
    </pivotField>
    <pivotField name="Dietas LM" dataField="1" compact="0" outline="0" multipleItemSelectionAllowed="1" showAll="0">
      <items>
        <item x="0"/>
        <item t="default"/>
      </items>
    </pivotField>
    <pivotField name="Coste Base LM" dataField="1" compact="0" numFmtId="164" outline="0" multipleItemSelectionAllowed="1" showAll="0">
      <items>
        <item x="0"/>
        <item t="default"/>
      </items>
    </pivotField>
    <pivotField name="Coste Km LM" dataField="1" compact="0" numFmtId="164" outline="0" multipleItemSelectionAllowed="1" showAll="0">
      <items>
        <item x="0"/>
        <item t="default"/>
      </items>
    </pivotField>
    <pivotField name="Retención LM" dataField="1" compact="0" numFmtId="164" outline="0" multipleItemSelectionAllowed="1" showAll="0">
      <items>
        <item x="0"/>
        <item t="default"/>
      </items>
    </pivotField>
    <pivotField name="Importe líquido LM" dataField="1" compact="0" numFmtId="164" outline="0" multipleItemSelectionAllowed="1" showAll="0">
      <items>
        <item x="0"/>
        <item t="default"/>
      </items>
    </pivotField>
    <pivotField name="Total LM" dataField="1" compact="0" numFmtId="164" outline="0" multipleItemSelectionAllowed="1" showAll="0">
      <items>
        <item x="0"/>
        <item t="default"/>
      </items>
    </pivotField>
    <pivotField name="Formador Sanitario" compact="0" outline="0" multipleItemSelectionAllowed="1" showAll="0">
      <items>
        <item x="0"/>
        <item t="default"/>
      </items>
    </pivotField>
    <pivotField name="Km Sanitario" compact="0" outline="0" multipleItemSelectionAllowed="1" showAll="0">
      <items>
        <item x="0"/>
        <item t="default"/>
      </items>
    </pivotField>
    <pivotField name="Dietas Sanitario" dataField="1" compact="0" outline="0" multipleItemSelectionAllowed="1" showAll="0">
      <items>
        <item x="0"/>
        <item t="default"/>
      </items>
    </pivotField>
    <pivotField name="Coste Base Sanitario" dataField="1" compact="0" numFmtId="164" outline="0" multipleItemSelectionAllowed="1" showAll="0">
      <items>
        <item x="0"/>
        <item t="default"/>
      </items>
    </pivotField>
    <pivotField name="Coste Km sanitario" dataField="1" compact="0" numFmtId="164" outline="0" multipleItemSelectionAllowed="1" showAll="0">
      <items>
        <item x="0"/>
        <item t="default"/>
      </items>
    </pivotField>
    <pivotField name="Retención Sanitario" dataField="1" compact="0" numFmtId="164" outline="0" multipleItemSelectionAllowed="1" showAll="0">
      <items>
        <item x="0"/>
        <item t="default"/>
      </items>
    </pivotField>
    <pivotField name="Importe líquido Sanitario" dataField="1" compact="0" numFmtId="164" outline="0" multipleItemSelectionAllowed="1" showAll="0">
      <items>
        <item x="0"/>
        <item t="default"/>
      </items>
    </pivotField>
    <pivotField name="Total Sanitario" axis="axisPage" compact="0" numFmtId="164" outline="0" multipleItemSelectionAllowed="1" showAll="0">
      <items>
        <item h="1" x="0"/>
        <item t="default"/>
      </items>
    </pivotField>
    <pivotField name="TOTAL FINAL" compact="0" numFmtId="164" outline="0" multipleItemSelectionAllowed="1" showAll="0">
      <items>
        <item x="0"/>
        <item t="default"/>
      </items>
    </pivotField>
    <pivotField name="EMAIL LM" axis="axisRow" compact="0" outline="0" multipleItemSelectionAllowed="1" showAll="0" sortType="ascending">
      <items>
        <item x="0"/>
        <item t="default"/>
      </items>
    </pivotField>
    <pivotField name="EMAIL SANITARIO" compact="0" outline="0" multipleItemSelectionAllowed="1" showAll="0">
      <items>
        <item x="0"/>
        <item t="default"/>
      </items>
    </pivotField>
    <pivotField name="AÑO" axis="axisCol" compact="0" outline="0" multipleItemSelectionAllowed="1" showAll="0" sortType="ascending">
      <items>
        <item x="0"/>
        <item t="default"/>
      </items>
    </pivotField>
    <pivotField name="MES" axis="axisCol" compact="0" outline="0" multipleItemSelectionAllowed="1" showAll="0" sortType="ascending">
      <items>
        <item x="0"/>
        <item t="default"/>
      </items>
    </pivotField>
  </pivotFields>
  <rowFields>
    <field x="25"/>
    <field x="6"/>
  </rowFields>
  <colFields>
    <field x="27"/>
    <field x="28"/>
    <field x="-2"/>
  </colFields>
  <pageFields>
    <pageField fld="23"/>
  </pageFields>
  <dataFields>
    <dataField name="SUM of Importe coordinación" fld="8" baseField="0"/>
    <dataField name="SUM of Coste Base LM" fld="11" baseField="0"/>
    <dataField name="SUM of Retención LM" fld="13" baseField="0"/>
    <dataField name="SUM of Importe líquido LM" fld="14" baseField="0"/>
    <dataField name="SUM of Km  LM" fld="9" baseField="0"/>
    <dataField name="SUM of Coste Km LM" fld="12" baseField="0"/>
    <dataField name="SUM of Dietas LM" fld="10" baseField="0"/>
    <dataField name="SUM of Coste Base Sanitario" fld="19" baseField="0"/>
    <dataField name="SUM of Retención Sanitario" fld="21" baseField="0"/>
    <dataField name="SUM of Importe líquido Sanitario" fld="22" baseField="0"/>
    <dataField name="SUM of Km  LM" fld="9" baseField="0"/>
    <dataField name="SUM of Coste Km sanitario" fld="20" baseField="0"/>
    <dataField name="SUM of Dietas Sanitario" fld="18" baseField="0"/>
    <dataField name="SUM of Total LM" fld="15" baseField="0"/>
  </dataFields>
</pivotTableDefinition>
</file>

<file path=xl/tables/table1.xml><?xml version="1.0" encoding="utf-8"?>
<table xmlns="http://schemas.openxmlformats.org/spreadsheetml/2006/main" headerRowCount="0" ref="A1:H1" displayName="Form_Responses2" name="Form_Responses2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ORMADOR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AC1" displayName="Form_Responses" name="Form_Responses" id="2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CONFERENCI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21.5"/>
  </cols>
  <sheetData>
    <row r="1">
      <c r="A1" s="2" t="s">
        <v>1</v>
      </c>
      <c r="B1" s="4" t="s">
        <v>3</v>
      </c>
      <c r="C1" s="4" t="s">
        <v>5</v>
      </c>
      <c r="D1" s="4" t="s">
        <v>6</v>
      </c>
      <c r="E1" s="4" t="s">
        <v>7</v>
      </c>
      <c r="F1" s="4" t="s">
        <v>9</v>
      </c>
      <c r="G1" s="4" t="s">
        <v>11</v>
      </c>
      <c r="H1" s="4" t="s">
        <v>12</v>
      </c>
      <c r="I1" s="6" t="s">
        <v>16</v>
      </c>
      <c r="J1" s="6" t="s">
        <v>18</v>
      </c>
      <c r="K1" s="6" t="s">
        <v>19</v>
      </c>
      <c r="L1" s="6" t="s">
        <v>20</v>
      </c>
      <c r="M1" s="6" t="s">
        <v>22</v>
      </c>
      <c r="N1" s="6" t="s">
        <v>23</v>
      </c>
      <c r="O1" s="6" t="s">
        <v>24</v>
      </c>
      <c r="P1" s="6" t="s">
        <v>25</v>
      </c>
      <c r="Q1" s="6" t="s">
        <v>27</v>
      </c>
      <c r="R1" s="6" t="s">
        <v>28</v>
      </c>
      <c r="S1" s="6" t="s">
        <v>29</v>
      </c>
      <c r="T1" s="6" t="s">
        <v>30</v>
      </c>
      <c r="U1" s="10" t="s">
        <v>31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5"/>
      <c r="BE1" s="15"/>
      <c r="BF1" s="15"/>
      <c r="BG1" s="15"/>
      <c r="BH1" s="15"/>
    </row>
    <row r="2">
      <c r="A2" s="17" t="s">
        <v>34</v>
      </c>
      <c r="B2" s="19" t="s">
        <v>35</v>
      </c>
      <c r="C2" s="19" t="s">
        <v>36</v>
      </c>
      <c r="D2" s="19" t="s">
        <v>37</v>
      </c>
      <c r="E2" s="19" t="s">
        <v>38</v>
      </c>
      <c r="F2" s="19" t="s">
        <v>39</v>
      </c>
      <c r="G2" s="19" t="s">
        <v>40</v>
      </c>
      <c r="H2" s="19" t="s">
        <v>41</v>
      </c>
      <c r="I2" s="19" t="s">
        <v>42</v>
      </c>
      <c r="J2" s="19" t="s">
        <v>43</v>
      </c>
      <c r="K2" s="19" t="s">
        <v>44</v>
      </c>
      <c r="L2" s="19" t="s">
        <v>45</v>
      </c>
      <c r="M2" s="20">
        <v>5.0</v>
      </c>
      <c r="N2" s="19" t="s">
        <v>48</v>
      </c>
      <c r="O2" s="19" t="s">
        <v>49</v>
      </c>
      <c r="P2" s="19" t="s">
        <v>50</v>
      </c>
      <c r="Q2" s="19" t="s">
        <v>51</v>
      </c>
      <c r="R2" s="19">
        <v>2025.0</v>
      </c>
      <c r="S2" s="22"/>
      <c r="T2" s="22"/>
      <c r="U2" s="23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5"/>
      <c r="BE2" s="15"/>
      <c r="BF2" s="15"/>
      <c r="BG2" s="15"/>
      <c r="BH2" s="15"/>
    </row>
    <row r="3">
      <c r="A3" s="17" t="s">
        <v>59</v>
      </c>
      <c r="B3" s="19" t="s">
        <v>60</v>
      </c>
      <c r="C3" s="19" t="s">
        <v>61</v>
      </c>
      <c r="D3" s="19" t="s">
        <v>62</v>
      </c>
      <c r="E3" s="19" t="s">
        <v>63</v>
      </c>
      <c r="F3" s="19" t="s">
        <v>64</v>
      </c>
      <c r="G3" s="19" t="s">
        <v>65</v>
      </c>
      <c r="H3" s="19" t="s">
        <v>66</v>
      </c>
      <c r="I3" s="19" t="s">
        <v>67</v>
      </c>
      <c r="J3" s="19" t="s">
        <v>68</v>
      </c>
      <c r="K3" s="19" t="s">
        <v>69</v>
      </c>
      <c r="L3" s="19" t="s">
        <v>71</v>
      </c>
      <c r="M3" s="20">
        <v>15.0</v>
      </c>
      <c r="N3" s="19" t="s">
        <v>73</v>
      </c>
      <c r="O3" s="19" t="s">
        <v>74</v>
      </c>
      <c r="P3" s="19" t="s">
        <v>75</v>
      </c>
      <c r="Q3" s="19" t="s">
        <v>76</v>
      </c>
      <c r="R3" s="19">
        <v>2026.0</v>
      </c>
      <c r="S3" s="22"/>
      <c r="T3" s="22"/>
      <c r="U3" s="2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5"/>
      <c r="BE3" s="15"/>
      <c r="BF3" s="15"/>
      <c r="BG3" s="15"/>
      <c r="BH3" s="15"/>
    </row>
    <row r="4">
      <c r="A4" s="17" t="s">
        <v>81</v>
      </c>
      <c r="B4" s="19" t="s">
        <v>82</v>
      </c>
      <c r="C4" s="19" t="s">
        <v>83</v>
      </c>
      <c r="D4" s="19" t="s">
        <v>84</v>
      </c>
      <c r="E4" s="19" t="s">
        <v>85</v>
      </c>
      <c r="F4" s="19" t="s">
        <v>87</v>
      </c>
      <c r="G4" s="19" t="s">
        <v>88</v>
      </c>
      <c r="H4" s="26" t="s">
        <v>12</v>
      </c>
      <c r="I4" s="19" t="s">
        <v>91</v>
      </c>
      <c r="J4" s="22"/>
      <c r="K4" s="22"/>
      <c r="L4" s="19" t="s">
        <v>93</v>
      </c>
      <c r="M4" s="22"/>
      <c r="N4" s="22"/>
      <c r="O4" s="19" t="s">
        <v>94</v>
      </c>
      <c r="P4" s="19" t="s">
        <v>95</v>
      </c>
      <c r="Q4" s="22"/>
      <c r="R4" s="19">
        <v>2027.0</v>
      </c>
      <c r="S4" s="22"/>
      <c r="T4" s="22"/>
      <c r="U4" s="2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5"/>
      <c r="BE4" s="15"/>
      <c r="BF4" s="15"/>
      <c r="BG4" s="15"/>
      <c r="BH4" s="15"/>
    </row>
    <row r="5">
      <c r="A5" s="17" t="s">
        <v>101</v>
      </c>
      <c r="B5" s="19" t="s">
        <v>58</v>
      </c>
      <c r="C5" s="19" t="s">
        <v>102</v>
      </c>
      <c r="D5" s="19" t="s">
        <v>36</v>
      </c>
      <c r="E5" s="19" t="s">
        <v>104</v>
      </c>
      <c r="F5" s="19" t="s">
        <v>105</v>
      </c>
      <c r="G5" s="19" t="s">
        <v>106</v>
      </c>
      <c r="H5" s="26" t="s">
        <v>107</v>
      </c>
      <c r="I5" s="19" t="s">
        <v>108</v>
      </c>
      <c r="J5" s="22"/>
      <c r="K5" s="22"/>
      <c r="L5" s="19" t="s">
        <v>109</v>
      </c>
      <c r="M5" s="22"/>
      <c r="N5" s="22"/>
      <c r="O5" s="19" t="s">
        <v>110</v>
      </c>
      <c r="P5" s="19" t="s">
        <v>111</v>
      </c>
      <c r="Q5" s="22"/>
      <c r="R5" s="19">
        <v>2028.0</v>
      </c>
      <c r="S5" s="22"/>
      <c r="T5" s="22"/>
      <c r="U5" s="2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5"/>
      <c r="BE5" s="15"/>
      <c r="BF5" s="15"/>
      <c r="BG5" s="15"/>
      <c r="BH5" s="15"/>
    </row>
    <row r="6">
      <c r="A6" s="17" t="s">
        <v>114</v>
      </c>
      <c r="B6" s="19" t="s">
        <v>97</v>
      </c>
      <c r="C6" s="19" t="s">
        <v>115</v>
      </c>
      <c r="D6" s="19" t="s">
        <v>85</v>
      </c>
      <c r="E6" s="19" t="s">
        <v>116</v>
      </c>
      <c r="F6" s="19" t="s">
        <v>117</v>
      </c>
      <c r="G6" s="19" t="s">
        <v>118</v>
      </c>
      <c r="H6" s="30"/>
      <c r="I6" s="22"/>
      <c r="J6" s="22"/>
      <c r="K6" s="22"/>
      <c r="L6" s="19" t="s">
        <v>119</v>
      </c>
      <c r="M6" s="22"/>
      <c r="N6" s="22"/>
      <c r="O6" s="19" t="s">
        <v>120</v>
      </c>
      <c r="P6" s="19" t="s">
        <v>121</v>
      </c>
      <c r="Q6" s="22"/>
      <c r="R6" s="19">
        <v>2029.0</v>
      </c>
      <c r="S6" s="22"/>
      <c r="T6" s="22"/>
      <c r="U6" s="2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5"/>
      <c r="BE6" s="15"/>
      <c r="BF6" s="15"/>
      <c r="BG6" s="15"/>
      <c r="BH6" s="15"/>
    </row>
    <row r="7">
      <c r="A7" s="17" t="s">
        <v>122</v>
      </c>
      <c r="B7" s="19" t="s">
        <v>56</v>
      </c>
      <c r="C7" s="19" t="s">
        <v>123</v>
      </c>
      <c r="D7" s="19" t="s">
        <v>124</v>
      </c>
      <c r="E7" s="19" t="s">
        <v>125</v>
      </c>
      <c r="F7" s="35"/>
      <c r="G7" s="19" t="s">
        <v>127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19">
        <v>2030.0</v>
      </c>
      <c r="S7" s="22"/>
      <c r="T7" s="22"/>
      <c r="U7" s="2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5"/>
      <c r="BE7" s="15"/>
      <c r="BF7" s="15"/>
      <c r="BG7" s="15"/>
      <c r="BH7" s="15"/>
    </row>
    <row r="8">
      <c r="A8" s="17" t="s">
        <v>134</v>
      </c>
      <c r="B8" s="19" t="s">
        <v>72</v>
      </c>
      <c r="C8" s="19" t="s">
        <v>63</v>
      </c>
      <c r="D8" s="19" t="s">
        <v>138</v>
      </c>
      <c r="E8" s="19" t="s">
        <v>139</v>
      </c>
      <c r="F8" s="22"/>
      <c r="G8" s="19" t="s">
        <v>140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19">
        <v>2031.0</v>
      </c>
      <c r="S8" s="22"/>
      <c r="T8" s="22"/>
      <c r="U8" s="2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5"/>
      <c r="BE8" s="15"/>
      <c r="BF8" s="15"/>
      <c r="BG8" s="15"/>
      <c r="BH8" s="15"/>
    </row>
    <row r="9">
      <c r="A9" s="17" t="s">
        <v>144</v>
      </c>
      <c r="B9" s="19" t="s">
        <v>145</v>
      </c>
      <c r="C9" s="19" t="s">
        <v>85</v>
      </c>
      <c r="D9" s="19" t="s">
        <v>147</v>
      </c>
      <c r="E9" s="19" t="s">
        <v>148</v>
      </c>
      <c r="F9" s="22"/>
      <c r="G9" s="19" t="s">
        <v>149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5"/>
      <c r="BE9" s="15"/>
      <c r="BF9" s="15"/>
      <c r="BG9" s="15"/>
      <c r="BH9" s="15"/>
    </row>
    <row r="10">
      <c r="A10" s="17" t="s">
        <v>153</v>
      </c>
      <c r="B10" s="19" t="s">
        <v>33</v>
      </c>
      <c r="C10" s="19" t="s">
        <v>116</v>
      </c>
      <c r="D10" s="19" t="s">
        <v>155</v>
      </c>
      <c r="E10" s="19" t="s">
        <v>156</v>
      </c>
      <c r="F10" s="22"/>
      <c r="G10" s="19" t="s">
        <v>157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5"/>
      <c r="BE10" s="15"/>
      <c r="BF10" s="15"/>
      <c r="BG10" s="15"/>
      <c r="BH10" s="15"/>
    </row>
    <row r="11">
      <c r="A11" s="17" t="s">
        <v>161</v>
      </c>
      <c r="B11" s="19" t="s">
        <v>89</v>
      </c>
      <c r="C11" s="19" t="s">
        <v>162</v>
      </c>
      <c r="D11" s="19" t="s">
        <v>163</v>
      </c>
      <c r="E11" s="19" t="s">
        <v>164</v>
      </c>
      <c r="F11" s="22"/>
      <c r="G11" s="19" t="s">
        <v>165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5"/>
      <c r="BE11" s="15"/>
      <c r="BF11" s="15"/>
      <c r="BG11" s="15"/>
      <c r="BH11" s="15"/>
    </row>
    <row r="12">
      <c r="A12" s="17" t="s">
        <v>168</v>
      </c>
      <c r="B12" s="19" t="s">
        <v>53</v>
      </c>
      <c r="C12" s="19" t="s">
        <v>169</v>
      </c>
      <c r="D12" s="19" t="s">
        <v>170</v>
      </c>
      <c r="E12" s="19" t="s">
        <v>172</v>
      </c>
      <c r="F12" s="22"/>
      <c r="G12" s="19" t="s">
        <v>173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5"/>
      <c r="BE12" s="15"/>
      <c r="BF12" s="15"/>
      <c r="BG12" s="15"/>
      <c r="BH12" s="15"/>
    </row>
    <row r="13">
      <c r="A13" s="17" t="s">
        <v>99</v>
      </c>
      <c r="B13" s="19" t="s">
        <v>100</v>
      </c>
      <c r="C13" s="19" t="s">
        <v>148</v>
      </c>
      <c r="D13" s="19" t="s">
        <v>177</v>
      </c>
      <c r="E13" s="19" t="s">
        <v>178</v>
      </c>
      <c r="F13" s="22"/>
      <c r="G13" s="19" t="s">
        <v>179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5"/>
      <c r="BE13" s="15"/>
      <c r="BF13" s="15"/>
      <c r="BG13" s="15"/>
      <c r="BH13" s="15"/>
    </row>
    <row r="14">
      <c r="A14" s="17" t="s">
        <v>182</v>
      </c>
      <c r="B14" s="19" t="s">
        <v>47</v>
      </c>
      <c r="C14" s="19" t="s">
        <v>172</v>
      </c>
      <c r="D14" s="19" t="s">
        <v>61</v>
      </c>
      <c r="E14" s="19" t="s">
        <v>183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5"/>
      <c r="BE14" s="15"/>
      <c r="BF14" s="15"/>
      <c r="BG14" s="15"/>
      <c r="BH14" s="15"/>
    </row>
    <row r="15">
      <c r="A15" s="17" t="s">
        <v>186</v>
      </c>
      <c r="B15" s="22"/>
      <c r="C15" s="19" t="s">
        <v>178</v>
      </c>
      <c r="D15" s="19" t="s">
        <v>188</v>
      </c>
      <c r="E15" s="19" t="s">
        <v>189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3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5"/>
      <c r="BE15" s="15"/>
      <c r="BF15" s="15"/>
      <c r="BG15" s="15"/>
      <c r="BH15" s="15"/>
    </row>
    <row r="16">
      <c r="A16" s="17" t="s">
        <v>190</v>
      </c>
      <c r="B16" s="22"/>
      <c r="C16" s="19" t="s">
        <v>183</v>
      </c>
      <c r="D16" s="19" t="s">
        <v>164</v>
      </c>
      <c r="E16" s="19" t="s">
        <v>191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5"/>
      <c r="BE16" s="15"/>
      <c r="BF16" s="15"/>
      <c r="BG16" s="15"/>
      <c r="BH16" s="15"/>
    </row>
    <row r="17">
      <c r="A17" s="17" t="s">
        <v>192</v>
      </c>
      <c r="B17" s="22"/>
      <c r="C17" s="19" t="s">
        <v>189</v>
      </c>
      <c r="D17" s="19" t="s">
        <v>193</v>
      </c>
      <c r="E17" s="19" t="s">
        <v>194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5"/>
      <c r="BE17" s="15"/>
      <c r="BF17" s="15"/>
      <c r="BG17" s="15"/>
      <c r="BH17" s="15"/>
    </row>
    <row r="18">
      <c r="A18" s="38"/>
      <c r="B18" s="22"/>
      <c r="C18" s="19" t="s">
        <v>199</v>
      </c>
      <c r="D18" s="19" t="s">
        <v>83</v>
      </c>
      <c r="E18" s="19" t="s">
        <v>201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5"/>
      <c r="BE18" s="15"/>
      <c r="BF18" s="15"/>
      <c r="BG18" s="15"/>
      <c r="BH18" s="15"/>
    </row>
    <row r="19">
      <c r="A19" s="38"/>
      <c r="B19" s="22"/>
      <c r="C19" s="19" t="s">
        <v>206</v>
      </c>
      <c r="D19" s="19" t="s">
        <v>207</v>
      </c>
      <c r="E19" s="19" t="s">
        <v>208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5"/>
      <c r="BE19" s="15"/>
      <c r="BF19" s="15"/>
      <c r="BG19" s="15"/>
      <c r="BH19" s="15"/>
    </row>
    <row r="20">
      <c r="A20" s="38"/>
      <c r="B20" s="22"/>
      <c r="C20" s="22"/>
      <c r="D20" s="19" t="s">
        <v>215</v>
      </c>
      <c r="E20" s="19" t="s">
        <v>199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5"/>
      <c r="BE20" s="15"/>
      <c r="BF20" s="15"/>
      <c r="BG20" s="15"/>
      <c r="BH20" s="15"/>
    </row>
    <row r="21">
      <c r="A21" s="38"/>
      <c r="B21" s="22"/>
      <c r="C21" s="22"/>
      <c r="D21" s="19" t="s">
        <v>223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5"/>
      <c r="BE21" s="15"/>
      <c r="BF21" s="15"/>
      <c r="BG21" s="15"/>
      <c r="BH21" s="15"/>
    </row>
    <row r="22">
      <c r="A22" s="38"/>
      <c r="B22" s="22"/>
      <c r="C22" s="22"/>
      <c r="D22" s="19" t="s">
        <v>227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5"/>
      <c r="BE22" s="15"/>
      <c r="BF22" s="15"/>
      <c r="BG22" s="15"/>
      <c r="BH22" s="15"/>
    </row>
    <row r="23">
      <c r="A23" s="38"/>
      <c r="B23" s="22"/>
      <c r="C23" s="22"/>
      <c r="D23" s="19" t="s">
        <v>228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5"/>
      <c r="BE23" s="15"/>
      <c r="BF23" s="15"/>
      <c r="BG23" s="15"/>
      <c r="BH23" s="15"/>
    </row>
    <row r="24">
      <c r="A24" s="38"/>
      <c r="B24" s="22"/>
      <c r="C24" s="22"/>
      <c r="D24" s="19" t="s">
        <v>229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5"/>
      <c r="BE24" s="15"/>
      <c r="BF24" s="15"/>
      <c r="BG24" s="15"/>
      <c r="BH24" s="15"/>
    </row>
    <row r="25">
      <c r="A25" s="38"/>
      <c r="B25" s="22"/>
      <c r="C25" s="22"/>
      <c r="D25" s="19" t="s">
        <v>230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5"/>
      <c r="BE25" s="15"/>
      <c r="BF25" s="15"/>
      <c r="BG25" s="15"/>
      <c r="BH25" s="15"/>
    </row>
    <row r="26">
      <c r="A26" s="38"/>
      <c r="B26" s="22"/>
      <c r="C26" s="22"/>
      <c r="D26" s="19" t="s">
        <v>231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5"/>
      <c r="BE26" s="15"/>
      <c r="BF26" s="15"/>
      <c r="BG26" s="15"/>
      <c r="BH26" s="15"/>
    </row>
    <row r="27">
      <c r="A27" s="38"/>
      <c r="B27" s="22"/>
      <c r="C27" s="22"/>
      <c r="D27" s="19" t="s">
        <v>232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3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5"/>
      <c r="BE27" s="15"/>
      <c r="BF27" s="15"/>
      <c r="BG27" s="15"/>
      <c r="BH27" s="15"/>
    </row>
    <row r="28">
      <c r="A28" s="38"/>
      <c r="B28" s="22"/>
      <c r="C28" s="22"/>
      <c r="D28" s="19" t="s">
        <v>233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3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5"/>
      <c r="BE28" s="15"/>
      <c r="BF28" s="15"/>
      <c r="BG28" s="15"/>
      <c r="BH28" s="15"/>
    </row>
    <row r="29">
      <c r="A29" s="38"/>
      <c r="B29" s="22"/>
      <c r="C29" s="22"/>
      <c r="D29" s="19" t="s">
        <v>162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5"/>
      <c r="BE29" s="15"/>
      <c r="BF29" s="15"/>
      <c r="BG29" s="15"/>
      <c r="BH29" s="15"/>
    </row>
    <row r="30">
      <c r="A30" s="38"/>
      <c r="B30" s="22"/>
      <c r="C30" s="22"/>
      <c r="D30" s="19" t="s">
        <v>234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5"/>
      <c r="BE30" s="15"/>
      <c r="BF30" s="15"/>
      <c r="BG30" s="15"/>
      <c r="BH30" s="15"/>
    </row>
    <row r="31">
      <c r="A31" s="38"/>
      <c r="B31" s="22"/>
      <c r="C31" s="22"/>
      <c r="D31" s="19" t="s">
        <v>115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3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5"/>
      <c r="BE31" s="15"/>
      <c r="BF31" s="15"/>
      <c r="BG31" s="15"/>
      <c r="BH31" s="15"/>
    </row>
    <row r="32">
      <c r="A32" s="38"/>
      <c r="B32" s="22"/>
      <c r="C32" s="22"/>
      <c r="D32" s="19" t="s">
        <v>235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3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5"/>
      <c r="BE32" s="15"/>
      <c r="BF32" s="15"/>
      <c r="BG32" s="15"/>
      <c r="BH32" s="15"/>
    </row>
    <row r="33">
      <c r="A33" s="38"/>
      <c r="B33" s="22"/>
      <c r="C33" s="22"/>
      <c r="D33" s="19" t="s">
        <v>236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5"/>
      <c r="BE33" s="15"/>
      <c r="BF33" s="15"/>
      <c r="BG33" s="15"/>
      <c r="BH33" s="15"/>
    </row>
    <row r="34">
      <c r="A34" s="38"/>
      <c r="B34" s="22"/>
      <c r="C34" s="22"/>
      <c r="D34" s="19" t="s">
        <v>237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5"/>
      <c r="BE34" s="15"/>
      <c r="BF34" s="15"/>
      <c r="BG34" s="15"/>
      <c r="BH34" s="15"/>
    </row>
    <row r="35">
      <c r="A35" s="38"/>
      <c r="B35" s="22"/>
      <c r="C35" s="22"/>
      <c r="D35" s="19" t="s">
        <v>238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5"/>
      <c r="BE35" s="15"/>
      <c r="BF35" s="15"/>
      <c r="BG35" s="15"/>
      <c r="BH35" s="15"/>
    </row>
    <row r="36">
      <c r="A36" s="38"/>
      <c r="B36" s="22"/>
      <c r="C36" s="22"/>
      <c r="D36" s="19" t="s">
        <v>239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3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5"/>
      <c r="BE36" s="15"/>
      <c r="BF36" s="15"/>
      <c r="BG36" s="15"/>
      <c r="BH36" s="15"/>
    </row>
    <row r="37">
      <c r="A37" s="38"/>
      <c r="B37" s="22"/>
      <c r="C37" s="22"/>
      <c r="D37" s="19" t="s">
        <v>240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3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5"/>
      <c r="BE37" s="15"/>
      <c r="BF37" s="15"/>
      <c r="BG37" s="15"/>
      <c r="BH37" s="15"/>
    </row>
    <row r="38">
      <c r="A38" s="38"/>
      <c r="B38" s="22"/>
      <c r="C38" s="22"/>
      <c r="D38" s="19" t="s">
        <v>241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5"/>
      <c r="BE38" s="15"/>
      <c r="BF38" s="15"/>
      <c r="BG38" s="15"/>
      <c r="BH38" s="15"/>
    </row>
    <row r="39">
      <c r="A39" s="38"/>
      <c r="B39" s="22"/>
      <c r="C39" s="22"/>
      <c r="D39" s="19" t="s">
        <v>242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5"/>
      <c r="BE39" s="15"/>
      <c r="BF39" s="15"/>
      <c r="BG39" s="15"/>
      <c r="BH39" s="15"/>
    </row>
    <row r="40">
      <c r="A40" s="38"/>
      <c r="B40" s="22"/>
      <c r="C40" s="22"/>
      <c r="D40" s="19" t="s">
        <v>243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5"/>
      <c r="BE40" s="15"/>
      <c r="BF40" s="15"/>
      <c r="BG40" s="15"/>
      <c r="BH40" s="15"/>
    </row>
    <row r="41">
      <c r="A41" s="38"/>
      <c r="B41" s="22"/>
      <c r="C41" s="22"/>
      <c r="D41" s="19" t="s">
        <v>244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5"/>
      <c r="BE41" s="15"/>
      <c r="BF41" s="15"/>
      <c r="BG41" s="15"/>
      <c r="BH41" s="15"/>
    </row>
    <row r="42">
      <c r="A42" s="38"/>
      <c r="B42" s="22"/>
      <c r="C42" s="22"/>
      <c r="D42" s="19" t="s">
        <v>245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3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5"/>
      <c r="BE42" s="15"/>
      <c r="BF42" s="15"/>
      <c r="BG42" s="15"/>
      <c r="BH42" s="15"/>
    </row>
    <row r="43">
      <c r="A43" s="38"/>
      <c r="B43" s="22"/>
      <c r="C43" s="22"/>
      <c r="D43" s="19" t="s">
        <v>123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5"/>
      <c r="BE43" s="15"/>
      <c r="BF43" s="15"/>
      <c r="BG43" s="15"/>
      <c r="BH43" s="15"/>
    </row>
    <row r="44">
      <c r="A44" s="38"/>
      <c r="B44" s="22"/>
      <c r="C44" s="22"/>
      <c r="D44" s="19" t="s">
        <v>248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5"/>
      <c r="BE44" s="15"/>
      <c r="BF44" s="15"/>
      <c r="BG44" s="15"/>
      <c r="BH44" s="15"/>
    </row>
    <row r="45">
      <c r="A45" s="38"/>
      <c r="B45" s="22"/>
      <c r="C45" s="22"/>
      <c r="D45" s="19" t="s">
        <v>194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5"/>
      <c r="BE45" s="15"/>
      <c r="BF45" s="15"/>
      <c r="BG45" s="15"/>
      <c r="BH45" s="15"/>
    </row>
    <row r="46">
      <c r="A46" s="38"/>
      <c r="B46" s="22"/>
      <c r="C46" s="22"/>
      <c r="D46" s="19" t="s">
        <v>260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5"/>
      <c r="BE46" s="15"/>
      <c r="BF46" s="15"/>
      <c r="BG46" s="15"/>
      <c r="BH46" s="15"/>
    </row>
    <row r="47">
      <c r="A47" s="38"/>
      <c r="B47" s="22"/>
      <c r="C47" s="22"/>
      <c r="D47" s="19" t="s">
        <v>201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5"/>
      <c r="BE47" s="15"/>
      <c r="BF47" s="15"/>
      <c r="BG47" s="15"/>
      <c r="BH47" s="15"/>
    </row>
    <row r="48">
      <c r="A48" s="38"/>
      <c r="B48" s="22"/>
      <c r="C48" s="22"/>
      <c r="D48" s="19" t="s">
        <v>208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5"/>
      <c r="BE48" s="15"/>
      <c r="BF48" s="15"/>
      <c r="BG48" s="15"/>
      <c r="BH48" s="15"/>
    </row>
    <row r="49">
      <c r="A49" s="38"/>
      <c r="B49" s="22"/>
      <c r="C49" s="22"/>
      <c r="D49" s="19" t="s">
        <v>261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3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5"/>
      <c r="BE49" s="15"/>
      <c r="BF49" s="15"/>
      <c r="BG49" s="15"/>
      <c r="BH49" s="15"/>
    </row>
    <row r="50">
      <c r="A50" s="38"/>
      <c r="B50" s="22"/>
      <c r="C50" s="22"/>
      <c r="D50" s="19" t="s">
        <v>262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3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5"/>
      <c r="BE50" s="15"/>
      <c r="BF50" s="15"/>
      <c r="BG50" s="15"/>
      <c r="BH50" s="15"/>
    </row>
    <row r="51">
      <c r="A51" s="38"/>
      <c r="B51" s="22"/>
      <c r="C51" s="22"/>
      <c r="D51" s="19" t="s">
        <v>263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3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5"/>
      <c r="BE51" s="15"/>
      <c r="BF51" s="15"/>
      <c r="BG51" s="15"/>
      <c r="BH51" s="15"/>
    </row>
    <row r="52">
      <c r="A52" s="38"/>
      <c r="B52" s="22"/>
      <c r="C52" s="22"/>
      <c r="D52" s="19" t="s">
        <v>264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3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5"/>
      <c r="BE52" s="15"/>
      <c r="BF52" s="15"/>
      <c r="BG52" s="15"/>
      <c r="BH52" s="15"/>
    </row>
    <row r="53">
      <c r="A53" s="38"/>
      <c r="B53" s="22"/>
      <c r="C53" s="22"/>
      <c r="D53" s="19" t="s">
        <v>265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3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5"/>
      <c r="BE53" s="15"/>
      <c r="BF53" s="15"/>
      <c r="BG53" s="15"/>
      <c r="BH53" s="15"/>
    </row>
    <row r="54">
      <c r="A54" s="38"/>
      <c r="B54" s="22"/>
      <c r="C54" s="22"/>
      <c r="D54" s="19" t="s">
        <v>266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5"/>
      <c r="BE54" s="15"/>
      <c r="BF54" s="15"/>
      <c r="BG54" s="15"/>
      <c r="BH54" s="15"/>
    </row>
    <row r="55">
      <c r="A55" s="38"/>
      <c r="B55" s="22"/>
      <c r="C55" s="22"/>
      <c r="D55" s="19" t="s">
        <v>268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5"/>
      <c r="BE55" s="15"/>
      <c r="BF55" s="15"/>
      <c r="BG55" s="15"/>
      <c r="BH55" s="15"/>
    </row>
    <row r="56">
      <c r="A56" s="38"/>
      <c r="B56" s="22"/>
      <c r="C56" s="22"/>
      <c r="D56" s="19" t="s">
        <v>269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5"/>
      <c r="BE56" s="15"/>
      <c r="BF56" s="15"/>
      <c r="BG56" s="15"/>
      <c r="BH56" s="15"/>
    </row>
    <row r="57">
      <c r="A57" s="38"/>
      <c r="B57" s="22"/>
      <c r="C57" s="22"/>
      <c r="D57" s="19" t="s">
        <v>273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3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5"/>
      <c r="BE57" s="15"/>
      <c r="BF57" s="15"/>
      <c r="BG57" s="15"/>
      <c r="BH57" s="15"/>
    </row>
    <row r="58">
      <c r="A58" s="38"/>
      <c r="B58" s="22"/>
      <c r="C58" s="22"/>
      <c r="D58" s="19" t="s">
        <v>278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5"/>
      <c r="BE58" s="15"/>
      <c r="BF58" s="15"/>
      <c r="BG58" s="15"/>
      <c r="BH58" s="15"/>
    </row>
    <row r="59">
      <c r="A59" s="38"/>
      <c r="B59" s="22"/>
      <c r="C59" s="22"/>
      <c r="D59" s="19" t="s">
        <v>288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5"/>
      <c r="BE59" s="15"/>
      <c r="BF59" s="15"/>
      <c r="BG59" s="15"/>
      <c r="BH59" s="15"/>
    </row>
    <row r="60">
      <c r="A60" s="38"/>
      <c r="B60" s="22"/>
      <c r="C60" s="22"/>
      <c r="D60" s="19" t="s">
        <v>289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5"/>
      <c r="BE60" s="15"/>
      <c r="BF60" s="15"/>
      <c r="BG60" s="15"/>
      <c r="BH60" s="15"/>
    </row>
    <row r="61">
      <c r="A61" s="38"/>
      <c r="B61" s="22"/>
      <c r="C61" s="22"/>
      <c r="D61" s="19" t="s">
        <v>169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3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5"/>
      <c r="BE61" s="15"/>
      <c r="BF61" s="15"/>
      <c r="BG61" s="15"/>
      <c r="BH61" s="15"/>
    </row>
    <row r="62">
      <c r="A62" s="38"/>
      <c r="B62" s="22"/>
      <c r="C62" s="22"/>
      <c r="D62" s="19" t="s">
        <v>290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3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5"/>
      <c r="BE62" s="15"/>
      <c r="BF62" s="15"/>
      <c r="BG62" s="15"/>
      <c r="BH62" s="15"/>
    </row>
    <row r="63">
      <c r="A63" s="38"/>
      <c r="B63" s="22"/>
      <c r="C63" s="22"/>
      <c r="D63" s="19" t="s">
        <v>291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3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5"/>
      <c r="BE63" s="15"/>
      <c r="BF63" s="15"/>
      <c r="BG63" s="15"/>
      <c r="BH63" s="15"/>
    </row>
    <row r="64">
      <c r="A64" s="38"/>
      <c r="B64" s="22"/>
      <c r="C64" s="22"/>
      <c r="D64" s="19" t="s">
        <v>292</v>
      </c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3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5"/>
      <c r="BE64" s="15"/>
      <c r="BF64" s="15"/>
      <c r="BG64" s="15"/>
      <c r="BH64" s="15"/>
    </row>
    <row r="65">
      <c r="A65" s="38"/>
      <c r="B65" s="22"/>
      <c r="C65" s="22"/>
      <c r="D65" s="19" t="s">
        <v>293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3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5"/>
      <c r="BE65" s="15"/>
      <c r="BF65" s="15"/>
      <c r="BG65" s="15"/>
      <c r="BH65" s="15"/>
    </row>
    <row r="66">
      <c r="A66" s="38"/>
      <c r="B66" s="22"/>
      <c r="C66" s="22"/>
      <c r="D66" s="19" t="s">
        <v>294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3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5"/>
      <c r="BE66" s="15"/>
      <c r="BF66" s="15"/>
      <c r="BG66" s="15"/>
      <c r="BH66" s="15"/>
    </row>
    <row r="67">
      <c r="A67" s="38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3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5"/>
      <c r="BE67" s="15"/>
      <c r="BF67" s="15"/>
      <c r="BG67" s="15"/>
      <c r="BH67" s="15"/>
    </row>
    <row r="68">
      <c r="A68" s="38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3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5"/>
      <c r="BE68" s="15"/>
      <c r="BF68" s="15"/>
      <c r="BG68" s="15"/>
      <c r="BH68" s="15"/>
    </row>
    <row r="69">
      <c r="A69" s="38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3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5"/>
      <c r="BE69" s="15"/>
      <c r="BF69" s="15"/>
      <c r="BG69" s="15"/>
      <c r="BH69" s="15"/>
    </row>
    <row r="70">
      <c r="A70" s="38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3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5"/>
      <c r="BE70" s="15"/>
      <c r="BF70" s="15"/>
      <c r="BG70" s="15"/>
      <c r="BH70" s="15"/>
    </row>
    <row r="71">
      <c r="A71" s="38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5"/>
      <c r="BE71" s="15"/>
      <c r="BF71" s="15"/>
      <c r="BG71" s="15"/>
      <c r="BH71" s="15"/>
    </row>
    <row r="72">
      <c r="A72" s="38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5"/>
      <c r="BG72" s="15"/>
      <c r="BH72" s="15"/>
    </row>
    <row r="73">
      <c r="A73" s="38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5"/>
      <c r="BG73" s="15"/>
      <c r="BH73" s="15"/>
    </row>
    <row r="74">
      <c r="A74" s="38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5"/>
      <c r="BG74" s="15"/>
      <c r="BH74" s="15"/>
    </row>
    <row r="75">
      <c r="A75" s="38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5"/>
      <c r="BG75" s="15"/>
      <c r="BH75" s="15"/>
    </row>
    <row r="76">
      <c r="A76" s="38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5"/>
      <c r="BG76" s="15"/>
      <c r="BH76" s="15"/>
    </row>
    <row r="77">
      <c r="A77" s="38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5"/>
      <c r="BG77" s="15"/>
      <c r="BH77" s="15"/>
    </row>
    <row r="78">
      <c r="A78" s="38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5"/>
      <c r="BG78" s="15"/>
      <c r="BH78" s="15"/>
    </row>
    <row r="79">
      <c r="A79" s="50"/>
      <c r="B79" s="50"/>
      <c r="C79" s="50"/>
      <c r="D79" s="11"/>
      <c r="E79" s="11"/>
      <c r="F79" s="11"/>
      <c r="G79" s="11"/>
      <c r="H79" s="50"/>
      <c r="I79" s="50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</row>
    <row r="80">
      <c r="A80" s="50"/>
      <c r="B80" s="50"/>
      <c r="C80" s="50"/>
      <c r="D80" s="11"/>
      <c r="E80" s="11"/>
      <c r="F80" s="11"/>
      <c r="G80" s="11"/>
      <c r="H80" s="50"/>
      <c r="I80" s="50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</row>
    <row r="81">
      <c r="A81" s="50"/>
      <c r="B81" s="50"/>
      <c r="C81" s="50"/>
      <c r="D81" s="11"/>
      <c r="E81" s="11"/>
      <c r="F81" s="11"/>
      <c r="G81" s="11"/>
      <c r="H81" s="50"/>
      <c r="I81" s="50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</row>
    <row r="82">
      <c r="A82" s="50"/>
      <c r="B82" s="50"/>
      <c r="C82" s="50"/>
      <c r="D82" s="11"/>
      <c r="E82" s="11"/>
      <c r="F82" s="11"/>
      <c r="G82" s="11"/>
      <c r="H82" s="50"/>
      <c r="I82" s="50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</row>
    <row r="83">
      <c r="A83" s="50"/>
      <c r="B83" s="50"/>
      <c r="C83" s="50"/>
      <c r="D83" s="11"/>
      <c r="E83" s="11"/>
      <c r="F83" s="11"/>
      <c r="G83" s="11"/>
      <c r="H83" s="50"/>
      <c r="I83" s="50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</row>
    <row r="84">
      <c r="A84" s="50"/>
      <c r="B84" s="50"/>
      <c r="C84" s="50"/>
      <c r="D84" s="11"/>
      <c r="E84" s="11"/>
      <c r="F84" s="11"/>
      <c r="G84" s="11"/>
      <c r="H84" s="50"/>
      <c r="I84" s="50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</row>
    <row r="85">
      <c r="A85" s="50"/>
      <c r="B85" s="50"/>
      <c r="C85" s="50"/>
      <c r="D85" s="11"/>
      <c r="E85" s="11"/>
      <c r="F85" s="11"/>
      <c r="G85" s="11"/>
      <c r="H85" s="50"/>
      <c r="I85" s="50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</row>
    <row r="86">
      <c r="A86" s="50"/>
      <c r="B86" s="50"/>
      <c r="C86" s="50"/>
      <c r="D86" s="11"/>
      <c r="E86" s="11"/>
      <c r="F86" s="11"/>
      <c r="G86" s="11"/>
      <c r="H86" s="50"/>
      <c r="I86" s="50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</row>
    <row r="87">
      <c r="A87" s="50"/>
      <c r="B87" s="50"/>
      <c r="C87" s="50"/>
      <c r="D87" s="11"/>
      <c r="E87" s="11"/>
      <c r="F87" s="11"/>
      <c r="G87" s="11"/>
      <c r="H87" s="50"/>
      <c r="I87" s="50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</row>
    <row r="88">
      <c r="A88" s="50"/>
      <c r="B88" s="50"/>
      <c r="C88" s="50"/>
      <c r="D88" s="11"/>
      <c r="E88" s="11"/>
      <c r="F88" s="11"/>
      <c r="G88" s="11"/>
      <c r="H88" s="50"/>
      <c r="I88" s="50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</row>
    <row r="89">
      <c r="A89" s="50"/>
      <c r="B89" s="50"/>
      <c r="C89" s="50"/>
      <c r="D89" s="11"/>
      <c r="E89" s="11"/>
      <c r="F89" s="11"/>
      <c r="G89" s="11"/>
      <c r="H89" s="50"/>
      <c r="I89" s="50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</row>
    <row r="90">
      <c r="A90" s="50"/>
      <c r="B90" s="50"/>
      <c r="C90" s="50"/>
      <c r="D90" s="11"/>
      <c r="E90" s="11"/>
      <c r="F90" s="11"/>
      <c r="G90" s="11"/>
      <c r="H90" s="50"/>
      <c r="I90" s="50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</row>
    <row r="91">
      <c r="A91" s="50"/>
      <c r="B91" s="50"/>
      <c r="C91" s="50"/>
      <c r="D91" s="11"/>
      <c r="E91" s="11"/>
      <c r="F91" s="11"/>
      <c r="G91" s="11"/>
      <c r="H91" s="50"/>
      <c r="I91" s="50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</row>
    <row r="92">
      <c r="A92" s="50"/>
      <c r="B92" s="50"/>
      <c r="C92" s="50"/>
      <c r="D92" s="11"/>
      <c r="E92" s="11"/>
      <c r="F92" s="11"/>
      <c r="G92" s="11"/>
      <c r="H92" s="50"/>
      <c r="I92" s="50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</row>
    <row r="93">
      <c r="A93" s="50"/>
      <c r="B93" s="50"/>
      <c r="C93" s="50"/>
      <c r="D93" s="11"/>
      <c r="E93" s="11"/>
      <c r="F93" s="11"/>
      <c r="G93" s="11"/>
      <c r="H93" s="50"/>
      <c r="I93" s="50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</row>
    <row r="94">
      <c r="A94" s="50"/>
      <c r="B94" s="50"/>
      <c r="C94" s="50"/>
      <c r="D94" s="11"/>
      <c r="E94" s="11"/>
      <c r="F94" s="11"/>
      <c r="G94" s="11"/>
      <c r="H94" s="50"/>
      <c r="I94" s="50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</row>
    <row r="95">
      <c r="A95" s="50"/>
      <c r="B95" s="50"/>
      <c r="C95" s="50"/>
      <c r="D95" s="11"/>
      <c r="E95" s="11"/>
      <c r="F95" s="11"/>
      <c r="G95" s="11"/>
      <c r="H95" s="50"/>
      <c r="I95" s="50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</row>
    <row r="96">
      <c r="A96" s="50"/>
      <c r="B96" s="50"/>
      <c r="C96" s="50"/>
      <c r="D96" s="11"/>
      <c r="E96" s="11"/>
      <c r="F96" s="11"/>
      <c r="G96" s="11"/>
      <c r="H96" s="50"/>
      <c r="I96" s="50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</row>
    <row r="97">
      <c r="A97" s="50"/>
      <c r="B97" s="50"/>
      <c r="C97" s="50"/>
      <c r="D97" s="11"/>
      <c r="E97" s="11"/>
      <c r="F97" s="11"/>
      <c r="G97" s="11"/>
      <c r="H97" s="50"/>
      <c r="I97" s="50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</row>
    <row r="98">
      <c r="A98" s="50"/>
      <c r="B98" s="50"/>
      <c r="C98" s="50"/>
      <c r="D98" s="11"/>
      <c r="E98" s="11"/>
      <c r="F98" s="11"/>
      <c r="G98" s="11"/>
      <c r="H98" s="50"/>
      <c r="I98" s="50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</row>
    <row r="99">
      <c r="A99" s="50"/>
      <c r="B99" s="50"/>
      <c r="C99" s="50"/>
      <c r="D99" s="11"/>
      <c r="E99" s="11"/>
      <c r="F99" s="11"/>
      <c r="G99" s="11"/>
      <c r="H99" s="50"/>
      <c r="I99" s="50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</row>
    <row r="100">
      <c r="A100" s="50"/>
      <c r="B100" s="50"/>
      <c r="C100" s="50"/>
      <c r="D100" s="11"/>
      <c r="E100" s="11"/>
      <c r="F100" s="11"/>
      <c r="G100" s="11"/>
      <c r="H100" s="50"/>
      <c r="I100" s="50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</row>
    <row r="101">
      <c r="A101" s="50"/>
      <c r="B101" s="50"/>
      <c r="C101" s="50"/>
      <c r="D101" s="11"/>
      <c r="E101" s="11"/>
      <c r="F101" s="11"/>
      <c r="G101" s="11"/>
      <c r="H101" s="50"/>
      <c r="I101" s="50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</row>
    <row r="102">
      <c r="A102" s="50"/>
      <c r="B102" s="50"/>
      <c r="C102" s="50"/>
      <c r="D102" s="11"/>
      <c r="E102" s="11"/>
      <c r="F102" s="11"/>
      <c r="G102" s="11"/>
      <c r="H102" s="50"/>
      <c r="I102" s="50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</row>
    <row r="103">
      <c r="A103" s="50"/>
      <c r="B103" s="50"/>
      <c r="C103" s="50"/>
      <c r="D103" s="11"/>
      <c r="E103" s="11"/>
      <c r="F103" s="11"/>
      <c r="G103" s="11"/>
      <c r="H103" s="50"/>
      <c r="I103" s="50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</row>
    <row r="104">
      <c r="A104" s="50"/>
      <c r="B104" s="50"/>
      <c r="C104" s="50"/>
      <c r="D104" s="11"/>
      <c r="E104" s="11"/>
      <c r="F104" s="11"/>
      <c r="G104" s="11"/>
      <c r="H104" s="50"/>
      <c r="I104" s="50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</row>
    <row r="105">
      <c r="A105" s="50"/>
      <c r="B105" s="50"/>
      <c r="C105" s="50"/>
      <c r="D105" s="11"/>
      <c r="E105" s="11"/>
      <c r="F105" s="11"/>
      <c r="G105" s="11"/>
      <c r="H105" s="50"/>
      <c r="I105" s="50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</row>
    <row r="106">
      <c r="A106" s="50"/>
      <c r="B106" s="50"/>
      <c r="C106" s="50"/>
      <c r="D106" s="11"/>
      <c r="E106" s="11"/>
      <c r="F106" s="11"/>
      <c r="G106" s="11"/>
      <c r="H106" s="50"/>
      <c r="I106" s="50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</row>
    <row r="107">
      <c r="A107" s="50"/>
      <c r="B107" s="50"/>
      <c r="C107" s="50"/>
      <c r="D107" s="11"/>
      <c r="E107" s="11"/>
      <c r="F107" s="11"/>
      <c r="G107" s="11"/>
      <c r="H107" s="50"/>
      <c r="I107" s="50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</row>
    <row r="108">
      <c r="A108" s="50"/>
      <c r="B108" s="50"/>
      <c r="C108" s="50"/>
      <c r="D108" s="11"/>
      <c r="E108" s="11"/>
      <c r="F108" s="11"/>
      <c r="G108" s="11"/>
      <c r="H108" s="50"/>
      <c r="I108" s="50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</row>
    <row r="109">
      <c r="A109" s="50"/>
      <c r="B109" s="50"/>
      <c r="C109" s="50"/>
      <c r="D109" s="11"/>
      <c r="E109" s="11"/>
      <c r="F109" s="11"/>
      <c r="G109" s="11"/>
      <c r="H109" s="50"/>
      <c r="I109" s="50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</row>
    <row r="110">
      <c r="A110" s="50"/>
      <c r="B110" s="50"/>
      <c r="C110" s="50"/>
      <c r="D110" s="11"/>
      <c r="E110" s="11"/>
      <c r="F110" s="11"/>
      <c r="G110" s="11"/>
      <c r="H110" s="50"/>
      <c r="I110" s="50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</row>
    <row r="111">
      <c r="A111" s="50"/>
      <c r="B111" s="50"/>
      <c r="C111" s="50"/>
      <c r="D111" s="11"/>
      <c r="E111" s="11"/>
      <c r="F111" s="11"/>
      <c r="G111" s="11"/>
      <c r="H111" s="50"/>
      <c r="I111" s="50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</row>
    <row r="112">
      <c r="A112" s="50"/>
      <c r="B112" s="50"/>
      <c r="C112" s="50"/>
      <c r="D112" s="11"/>
      <c r="E112" s="11"/>
      <c r="F112" s="11"/>
      <c r="G112" s="11"/>
      <c r="H112" s="50"/>
      <c r="I112" s="50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</row>
    <row r="113">
      <c r="A113" s="50"/>
      <c r="B113" s="50"/>
      <c r="C113" s="50"/>
      <c r="D113" s="11"/>
      <c r="E113" s="11"/>
      <c r="F113" s="11"/>
      <c r="G113" s="11"/>
      <c r="H113" s="50"/>
      <c r="I113" s="50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</row>
    <row r="114">
      <c r="A114" s="50"/>
      <c r="B114" s="50"/>
      <c r="C114" s="50"/>
      <c r="D114" s="11"/>
      <c r="E114" s="11"/>
      <c r="F114" s="11"/>
      <c r="G114" s="11"/>
      <c r="H114" s="50"/>
      <c r="I114" s="50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</row>
    <row r="115">
      <c r="A115" s="50"/>
      <c r="B115" s="50"/>
      <c r="C115" s="50"/>
      <c r="D115" s="11"/>
      <c r="E115" s="11"/>
      <c r="F115" s="11"/>
      <c r="G115" s="11"/>
      <c r="H115" s="50"/>
      <c r="I115" s="50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</row>
    <row r="116">
      <c r="A116" s="50"/>
      <c r="B116" s="50"/>
      <c r="C116" s="50"/>
      <c r="D116" s="11"/>
      <c r="E116" s="11"/>
      <c r="F116" s="11"/>
      <c r="G116" s="11"/>
      <c r="H116" s="50"/>
      <c r="I116" s="50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</row>
    <row r="117">
      <c r="A117" s="50"/>
      <c r="B117" s="50"/>
      <c r="C117" s="50"/>
      <c r="D117" s="11"/>
      <c r="E117" s="11"/>
      <c r="F117" s="11"/>
      <c r="G117" s="11"/>
      <c r="H117" s="50"/>
      <c r="I117" s="50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</row>
    <row r="118">
      <c r="A118" s="50"/>
      <c r="B118" s="50"/>
      <c r="C118" s="50"/>
      <c r="D118" s="11"/>
      <c r="E118" s="11"/>
      <c r="F118" s="11"/>
      <c r="G118" s="11"/>
      <c r="H118" s="50"/>
      <c r="I118" s="50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</row>
    <row r="119">
      <c r="A119" s="50"/>
      <c r="B119" s="50"/>
      <c r="C119" s="50"/>
      <c r="D119" s="11"/>
      <c r="E119" s="11"/>
      <c r="F119" s="11"/>
      <c r="G119" s="11"/>
      <c r="H119" s="50"/>
      <c r="I119" s="50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</row>
    <row r="120">
      <c r="A120" s="50"/>
      <c r="B120" s="50"/>
      <c r="C120" s="50"/>
      <c r="D120" s="11"/>
      <c r="E120" s="11"/>
      <c r="F120" s="11"/>
      <c r="G120" s="11"/>
      <c r="H120" s="50"/>
      <c r="I120" s="50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</row>
    <row r="121">
      <c r="A121" s="50"/>
      <c r="B121" s="50"/>
      <c r="C121" s="50"/>
      <c r="D121" s="11"/>
      <c r="E121" s="11"/>
      <c r="F121" s="11"/>
      <c r="G121" s="11"/>
      <c r="H121" s="50"/>
      <c r="I121" s="50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</row>
    <row r="122">
      <c r="A122" s="50"/>
      <c r="B122" s="50"/>
      <c r="C122" s="50"/>
      <c r="D122" s="11"/>
      <c r="E122" s="11"/>
      <c r="F122" s="11"/>
      <c r="G122" s="11"/>
      <c r="H122" s="50"/>
      <c r="I122" s="50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</row>
    <row r="123">
      <c r="A123" s="50"/>
      <c r="B123" s="50"/>
      <c r="C123" s="50"/>
      <c r="D123" s="11"/>
      <c r="E123" s="11"/>
      <c r="F123" s="11"/>
      <c r="G123" s="11"/>
      <c r="H123" s="50"/>
      <c r="I123" s="50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</row>
    <row r="124">
      <c r="A124" s="50"/>
      <c r="B124" s="50"/>
      <c r="C124" s="50"/>
      <c r="D124" s="11"/>
      <c r="E124" s="11"/>
      <c r="F124" s="11"/>
      <c r="G124" s="11"/>
      <c r="H124" s="50"/>
      <c r="I124" s="50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</row>
    <row r="125">
      <c r="A125" s="50"/>
      <c r="B125" s="50"/>
      <c r="C125" s="50"/>
      <c r="D125" s="11"/>
      <c r="E125" s="11"/>
      <c r="F125" s="11"/>
      <c r="G125" s="11"/>
      <c r="H125" s="50"/>
      <c r="I125" s="50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</row>
    <row r="126">
      <c r="A126" s="50"/>
      <c r="B126" s="50"/>
      <c r="C126" s="50"/>
      <c r="D126" s="11"/>
      <c r="E126" s="11"/>
      <c r="F126" s="11"/>
      <c r="G126" s="11"/>
      <c r="H126" s="50"/>
      <c r="I126" s="50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</row>
    <row r="127">
      <c r="A127" s="50"/>
      <c r="B127" s="50"/>
      <c r="C127" s="50"/>
      <c r="D127" s="11"/>
      <c r="E127" s="11"/>
      <c r="F127" s="11"/>
      <c r="G127" s="11"/>
      <c r="H127" s="50"/>
      <c r="I127" s="50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</row>
    <row r="128">
      <c r="A128" s="50"/>
      <c r="B128" s="50"/>
      <c r="C128" s="50"/>
      <c r="D128" s="11"/>
      <c r="E128" s="11"/>
      <c r="F128" s="11"/>
      <c r="G128" s="11"/>
      <c r="H128" s="50"/>
      <c r="I128" s="50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</row>
    <row r="129">
      <c r="A129" s="50"/>
      <c r="B129" s="50"/>
      <c r="C129" s="50"/>
      <c r="D129" s="11"/>
      <c r="E129" s="11"/>
      <c r="F129" s="11"/>
      <c r="G129" s="11"/>
      <c r="H129" s="50"/>
      <c r="I129" s="50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</row>
    <row r="130">
      <c r="A130" s="50"/>
      <c r="B130" s="50"/>
      <c r="C130" s="50"/>
      <c r="D130" s="11"/>
      <c r="E130" s="11"/>
      <c r="F130" s="11"/>
      <c r="G130" s="11"/>
      <c r="H130" s="50"/>
      <c r="I130" s="50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</row>
    <row r="131">
      <c r="A131" s="50"/>
      <c r="B131" s="50"/>
      <c r="C131" s="50"/>
      <c r="D131" s="11"/>
      <c r="E131" s="11"/>
      <c r="F131" s="11"/>
      <c r="G131" s="11"/>
      <c r="H131" s="50"/>
      <c r="I131" s="50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</row>
    <row r="132">
      <c r="A132" s="50"/>
      <c r="B132" s="50"/>
      <c r="C132" s="50"/>
      <c r="D132" s="11"/>
      <c r="E132" s="11"/>
      <c r="F132" s="11"/>
      <c r="G132" s="11"/>
      <c r="H132" s="50"/>
      <c r="I132" s="50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</row>
    <row r="133">
      <c r="A133" s="50"/>
      <c r="B133" s="50"/>
      <c r="C133" s="50"/>
      <c r="D133" s="11"/>
      <c r="E133" s="11"/>
      <c r="F133" s="11"/>
      <c r="G133" s="11"/>
      <c r="H133" s="50"/>
      <c r="I133" s="50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</row>
    <row r="134">
      <c r="A134" s="50"/>
      <c r="B134" s="50"/>
      <c r="C134" s="50"/>
      <c r="D134" s="11"/>
      <c r="E134" s="11"/>
      <c r="F134" s="11"/>
      <c r="G134" s="11"/>
      <c r="H134" s="50"/>
      <c r="I134" s="50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</row>
    <row r="135">
      <c r="A135" s="50"/>
      <c r="B135" s="50"/>
      <c r="C135" s="50"/>
      <c r="D135" s="11"/>
      <c r="E135" s="11"/>
      <c r="F135" s="11"/>
      <c r="G135" s="11"/>
      <c r="H135" s="50"/>
      <c r="I135" s="50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</row>
    <row r="136">
      <c r="A136" s="50"/>
      <c r="B136" s="50"/>
      <c r="C136" s="50"/>
      <c r="D136" s="11"/>
      <c r="E136" s="11"/>
      <c r="F136" s="11"/>
      <c r="G136" s="11"/>
      <c r="H136" s="50"/>
      <c r="I136" s="50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</row>
    <row r="137">
      <c r="A137" s="50"/>
      <c r="B137" s="50"/>
      <c r="C137" s="50"/>
      <c r="D137" s="11"/>
      <c r="E137" s="11"/>
      <c r="F137" s="11"/>
      <c r="G137" s="11"/>
      <c r="H137" s="50"/>
      <c r="I137" s="50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</row>
    <row r="138">
      <c r="A138" s="50"/>
      <c r="B138" s="50"/>
      <c r="C138" s="50"/>
      <c r="D138" s="11"/>
      <c r="E138" s="11"/>
      <c r="F138" s="11"/>
      <c r="G138" s="11"/>
      <c r="H138" s="50"/>
      <c r="I138" s="50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</row>
    <row r="139">
      <c r="A139" s="50"/>
      <c r="B139" s="50"/>
      <c r="C139" s="50"/>
      <c r="D139" s="11"/>
      <c r="E139" s="11"/>
      <c r="F139" s="11"/>
      <c r="G139" s="11"/>
      <c r="H139" s="50"/>
      <c r="I139" s="50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</row>
    <row r="140">
      <c r="A140" s="50"/>
      <c r="B140" s="50"/>
      <c r="C140" s="50"/>
      <c r="D140" s="11"/>
      <c r="E140" s="11"/>
      <c r="F140" s="11"/>
      <c r="G140" s="11"/>
      <c r="H140" s="50"/>
      <c r="I140" s="50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</row>
    <row r="141">
      <c r="A141" s="50"/>
      <c r="B141" s="50"/>
      <c r="C141" s="50"/>
      <c r="D141" s="11"/>
      <c r="E141" s="11"/>
      <c r="F141" s="11"/>
      <c r="G141" s="11"/>
      <c r="H141" s="50"/>
      <c r="I141" s="50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</row>
    <row r="142">
      <c r="A142" s="50"/>
      <c r="B142" s="50"/>
      <c r="C142" s="50"/>
      <c r="D142" s="11"/>
      <c r="E142" s="11"/>
      <c r="F142" s="11"/>
      <c r="G142" s="11"/>
      <c r="H142" s="50"/>
      <c r="I142" s="50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</row>
    <row r="143">
      <c r="A143" s="50"/>
      <c r="B143" s="50"/>
      <c r="C143" s="50"/>
      <c r="D143" s="11"/>
      <c r="E143" s="11"/>
      <c r="F143" s="11"/>
      <c r="G143" s="11"/>
      <c r="H143" s="50"/>
      <c r="I143" s="50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</row>
    <row r="144">
      <c r="A144" s="50"/>
      <c r="B144" s="50"/>
      <c r="C144" s="50"/>
      <c r="D144" s="11"/>
      <c r="E144" s="11"/>
      <c r="F144" s="11"/>
      <c r="G144" s="11"/>
      <c r="H144" s="50"/>
      <c r="I144" s="50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</row>
    <row r="145">
      <c r="A145" s="50"/>
      <c r="B145" s="50"/>
      <c r="C145" s="50"/>
      <c r="D145" s="11"/>
      <c r="E145" s="11"/>
      <c r="F145" s="11"/>
      <c r="G145" s="11"/>
      <c r="H145" s="50"/>
      <c r="I145" s="50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</row>
    <row r="146">
      <c r="A146" s="50"/>
      <c r="B146" s="50"/>
      <c r="C146" s="50"/>
      <c r="D146" s="11"/>
      <c r="E146" s="11"/>
      <c r="F146" s="11"/>
      <c r="G146" s="11"/>
      <c r="H146" s="50"/>
      <c r="I146" s="50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</row>
    <row r="147">
      <c r="A147" s="50"/>
      <c r="B147" s="50"/>
      <c r="C147" s="50"/>
      <c r="D147" s="11"/>
      <c r="E147" s="11"/>
      <c r="F147" s="11"/>
      <c r="G147" s="11"/>
      <c r="H147" s="50"/>
      <c r="I147" s="50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</row>
    <row r="148">
      <c r="A148" s="50"/>
      <c r="B148" s="50"/>
      <c r="C148" s="50"/>
      <c r="D148" s="11"/>
      <c r="E148" s="11"/>
      <c r="F148" s="11"/>
      <c r="G148" s="11"/>
      <c r="H148" s="50"/>
      <c r="I148" s="50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</row>
    <row r="149">
      <c r="A149" s="50"/>
      <c r="B149" s="50"/>
      <c r="C149" s="50"/>
      <c r="D149" s="11"/>
      <c r="E149" s="11"/>
      <c r="F149" s="11"/>
      <c r="G149" s="11"/>
      <c r="H149" s="50"/>
      <c r="I149" s="50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</row>
    <row r="150">
      <c r="A150" s="50"/>
      <c r="B150" s="50"/>
      <c r="C150" s="50"/>
      <c r="D150" s="11"/>
      <c r="E150" s="11"/>
      <c r="F150" s="11"/>
      <c r="G150" s="11"/>
      <c r="H150" s="50"/>
      <c r="I150" s="50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</row>
    <row r="151">
      <c r="A151" s="50"/>
      <c r="B151" s="50"/>
      <c r="C151" s="50"/>
      <c r="D151" s="11"/>
      <c r="E151" s="11"/>
      <c r="F151" s="11"/>
      <c r="G151" s="11"/>
      <c r="H151" s="50"/>
      <c r="I151" s="50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</row>
    <row r="152">
      <c r="A152" s="50"/>
      <c r="B152" s="50"/>
      <c r="C152" s="50"/>
      <c r="D152" s="11"/>
      <c r="E152" s="11"/>
      <c r="F152" s="11"/>
      <c r="G152" s="11"/>
      <c r="H152" s="50"/>
      <c r="I152" s="50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</row>
    <row r="153">
      <c r="A153" s="50"/>
      <c r="B153" s="50"/>
      <c r="C153" s="50"/>
      <c r="D153" s="11"/>
      <c r="E153" s="11"/>
      <c r="F153" s="11"/>
      <c r="G153" s="11"/>
      <c r="H153" s="50"/>
      <c r="I153" s="50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</row>
    <row r="154">
      <c r="A154" s="50"/>
      <c r="B154" s="50"/>
      <c r="C154" s="50"/>
      <c r="D154" s="11"/>
      <c r="E154" s="11"/>
      <c r="F154" s="11"/>
      <c r="G154" s="11"/>
      <c r="H154" s="50"/>
      <c r="I154" s="50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</row>
    <row r="155">
      <c r="A155" s="50"/>
      <c r="B155" s="50"/>
      <c r="C155" s="50"/>
      <c r="D155" s="11"/>
      <c r="E155" s="11"/>
      <c r="F155" s="11"/>
      <c r="G155" s="11"/>
      <c r="H155" s="50"/>
      <c r="I155" s="50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</row>
    <row r="156">
      <c r="A156" s="50"/>
      <c r="B156" s="50"/>
      <c r="C156" s="50"/>
      <c r="D156" s="11"/>
      <c r="E156" s="11"/>
      <c r="F156" s="11"/>
      <c r="G156" s="11"/>
      <c r="H156" s="50"/>
      <c r="I156" s="50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</row>
    <row r="157">
      <c r="A157" s="50"/>
      <c r="B157" s="50"/>
      <c r="C157" s="50"/>
      <c r="D157" s="11"/>
      <c r="E157" s="11"/>
      <c r="F157" s="11"/>
      <c r="G157" s="11"/>
      <c r="H157" s="50"/>
      <c r="I157" s="50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</row>
    <row r="158">
      <c r="A158" s="50"/>
      <c r="B158" s="50"/>
      <c r="C158" s="50"/>
      <c r="D158" s="11"/>
      <c r="E158" s="11"/>
      <c r="F158" s="11"/>
      <c r="G158" s="11"/>
      <c r="H158" s="50"/>
      <c r="I158" s="50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</row>
    <row r="159">
      <c r="A159" s="50"/>
      <c r="B159" s="50"/>
      <c r="C159" s="50"/>
      <c r="D159" s="11"/>
      <c r="E159" s="11"/>
      <c r="F159" s="11"/>
      <c r="G159" s="11"/>
      <c r="H159" s="50"/>
      <c r="I159" s="50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</row>
    <row r="160">
      <c r="A160" s="50"/>
      <c r="B160" s="50"/>
      <c r="C160" s="50"/>
      <c r="D160" s="11"/>
      <c r="E160" s="11"/>
      <c r="F160" s="11"/>
      <c r="G160" s="11"/>
      <c r="H160" s="50"/>
      <c r="I160" s="50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</row>
    <row r="161">
      <c r="A161" s="50"/>
      <c r="B161" s="50"/>
      <c r="C161" s="50"/>
      <c r="D161" s="11"/>
      <c r="E161" s="11"/>
      <c r="F161" s="11"/>
      <c r="G161" s="11"/>
      <c r="H161" s="50"/>
      <c r="I161" s="50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</row>
    <row r="162">
      <c r="A162" s="50"/>
      <c r="B162" s="50"/>
      <c r="C162" s="50"/>
      <c r="D162" s="11"/>
      <c r="E162" s="11"/>
      <c r="F162" s="11"/>
      <c r="G162" s="11"/>
      <c r="H162" s="50"/>
      <c r="I162" s="50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</row>
    <row r="163">
      <c r="A163" s="50"/>
      <c r="B163" s="50"/>
      <c r="C163" s="50"/>
      <c r="D163" s="11"/>
      <c r="E163" s="11"/>
      <c r="F163" s="11"/>
      <c r="G163" s="11"/>
      <c r="H163" s="50"/>
      <c r="I163" s="50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</row>
    <row r="164">
      <c r="A164" s="50"/>
      <c r="B164" s="50"/>
      <c r="C164" s="50"/>
      <c r="D164" s="11"/>
      <c r="E164" s="11"/>
      <c r="F164" s="11"/>
      <c r="G164" s="11"/>
      <c r="H164" s="50"/>
      <c r="I164" s="50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</row>
    <row r="165">
      <c r="A165" s="50"/>
      <c r="B165" s="50"/>
      <c r="C165" s="50"/>
      <c r="D165" s="11"/>
      <c r="E165" s="11"/>
      <c r="F165" s="11"/>
      <c r="G165" s="11"/>
      <c r="H165" s="50"/>
      <c r="I165" s="50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</row>
    <row r="166">
      <c r="A166" s="50"/>
      <c r="B166" s="50"/>
      <c r="C166" s="50"/>
      <c r="D166" s="11"/>
      <c r="E166" s="11"/>
      <c r="F166" s="11"/>
      <c r="G166" s="11"/>
      <c r="H166" s="50"/>
      <c r="I166" s="50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</row>
    <row r="167">
      <c r="A167" s="50"/>
      <c r="B167" s="50"/>
      <c r="C167" s="50"/>
      <c r="D167" s="11"/>
      <c r="E167" s="11"/>
      <c r="F167" s="11"/>
      <c r="G167" s="11"/>
      <c r="H167" s="50"/>
      <c r="I167" s="50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</row>
    <row r="168">
      <c r="A168" s="50"/>
      <c r="B168" s="50"/>
      <c r="C168" s="50"/>
      <c r="D168" s="11"/>
      <c r="E168" s="11"/>
      <c r="F168" s="11"/>
      <c r="G168" s="11"/>
      <c r="H168" s="50"/>
      <c r="I168" s="50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</row>
    <row r="169">
      <c r="A169" s="50"/>
      <c r="B169" s="50"/>
      <c r="C169" s="50"/>
      <c r="D169" s="11"/>
      <c r="E169" s="11"/>
      <c r="F169" s="11"/>
      <c r="G169" s="11"/>
      <c r="H169" s="50"/>
      <c r="I169" s="50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</row>
    <row r="170">
      <c r="A170" s="50"/>
      <c r="B170" s="50"/>
      <c r="C170" s="50"/>
      <c r="D170" s="11"/>
      <c r="E170" s="11"/>
      <c r="F170" s="11"/>
      <c r="G170" s="11"/>
      <c r="H170" s="50"/>
      <c r="I170" s="50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</row>
    <row r="171">
      <c r="A171" s="50"/>
      <c r="B171" s="50"/>
      <c r="C171" s="50"/>
      <c r="D171" s="11"/>
      <c r="E171" s="11"/>
      <c r="F171" s="11"/>
      <c r="G171" s="11"/>
      <c r="H171" s="50"/>
      <c r="I171" s="50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</row>
    <row r="172">
      <c r="A172" s="50"/>
      <c r="B172" s="50"/>
      <c r="C172" s="50"/>
      <c r="D172" s="11"/>
      <c r="E172" s="11"/>
      <c r="F172" s="11"/>
      <c r="G172" s="11"/>
      <c r="H172" s="50"/>
      <c r="I172" s="50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</row>
    <row r="173">
      <c r="A173" s="50"/>
      <c r="B173" s="50"/>
      <c r="C173" s="50"/>
      <c r="D173" s="11"/>
      <c r="E173" s="11"/>
      <c r="F173" s="11"/>
      <c r="G173" s="11"/>
      <c r="H173" s="50"/>
      <c r="I173" s="50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</row>
    <row r="174">
      <c r="A174" s="50"/>
      <c r="B174" s="50"/>
      <c r="C174" s="50"/>
      <c r="D174" s="11"/>
      <c r="E174" s="11"/>
      <c r="F174" s="11"/>
      <c r="G174" s="11"/>
      <c r="H174" s="50"/>
      <c r="I174" s="50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</row>
    <row r="175">
      <c r="A175" s="50"/>
      <c r="B175" s="50"/>
      <c r="C175" s="50"/>
      <c r="D175" s="11"/>
      <c r="E175" s="11"/>
      <c r="F175" s="11"/>
      <c r="G175" s="11"/>
      <c r="H175" s="50"/>
      <c r="I175" s="50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</row>
    <row r="176">
      <c r="A176" s="50"/>
      <c r="B176" s="50"/>
      <c r="C176" s="50"/>
      <c r="D176" s="11"/>
      <c r="E176" s="11"/>
      <c r="F176" s="11"/>
      <c r="G176" s="11"/>
      <c r="H176" s="50"/>
      <c r="I176" s="50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</row>
    <row r="177">
      <c r="A177" s="50"/>
      <c r="B177" s="50"/>
      <c r="C177" s="50"/>
      <c r="D177" s="11"/>
      <c r="E177" s="11"/>
      <c r="F177" s="11"/>
      <c r="G177" s="11"/>
      <c r="H177" s="50"/>
      <c r="I177" s="50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</row>
    <row r="178">
      <c r="A178" s="50"/>
      <c r="B178" s="50"/>
      <c r="C178" s="50"/>
      <c r="D178" s="11"/>
      <c r="E178" s="11"/>
      <c r="F178" s="11"/>
      <c r="G178" s="11"/>
      <c r="H178" s="50"/>
      <c r="I178" s="50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</row>
    <row r="179">
      <c r="A179" s="50"/>
      <c r="B179" s="50"/>
      <c r="C179" s="50"/>
      <c r="D179" s="11"/>
      <c r="E179" s="11"/>
      <c r="F179" s="11"/>
      <c r="G179" s="11"/>
      <c r="H179" s="50"/>
      <c r="I179" s="50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</row>
    <row r="180">
      <c r="A180" s="50"/>
      <c r="B180" s="50"/>
      <c r="C180" s="50"/>
      <c r="D180" s="11"/>
      <c r="E180" s="11"/>
      <c r="F180" s="11"/>
      <c r="G180" s="11"/>
      <c r="H180" s="50"/>
      <c r="I180" s="50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</row>
    <row r="181">
      <c r="A181" s="50"/>
      <c r="B181" s="50"/>
      <c r="C181" s="50"/>
      <c r="D181" s="11"/>
      <c r="E181" s="11"/>
      <c r="F181" s="11"/>
      <c r="G181" s="11"/>
      <c r="H181" s="50"/>
      <c r="I181" s="50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</row>
    <row r="182">
      <c r="A182" s="50"/>
      <c r="B182" s="50"/>
      <c r="C182" s="50"/>
      <c r="D182" s="11"/>
      <c r="E182" s="11"/>
      <c r="F182" s="11"/>
      <c r="G182" s="11"/>
      <c r="H182" s="50"/>
      <c r="I182" s="50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</row>
    <row r="183">
      <c r="A183" s="50"/>
      <c r="B183" s="50"/>
      <c r="C183" s="50"/>
      <c r="D183" s="11"/>
      <c r="E183" s="11"/>
      <c r="F183" s="11"/>
      <c r="G183" s="11"/>
      <c r="H183" s="50"/>
      <c r="I183" s="50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</row>
    <row r="184">
      <c r="A184" s="50"/>
      <c r="B184" s="50"/>
      <c r="C184" s="50"/>
      <c r="D184" s="11"/>
      <c r="E184" s="11"/>
      <c r="F184" s="11"/>
      <c r="G184" s="11"/>
      <c r="H184" s="50"/>
      <c r="I184" s="50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</row>
    <row r="185">
      <c r="A185" s="50"/>
      <c r="B185" s="50"/>
      <c r="C185" s="50"/>
      <c r="D185" s="11"/>
      <c r="E185" s="11"/>
      <c r="F185" s="11"/>
      <c r="G185" s="11"/>
      <c r="H185" s="50"/>
      <c r="I185" s="50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</row>
    <row r="186">
      <c r="A186" s="50"/>
      <c r="B186" s="50"/>
      <c r="C186" s="50"/>
      <c r="D186" s="11"/>
      <c r="E186" s="11"/>
      <c r="F186" s="11"/>
      <c r="G186" s="11"/>
      <c r="H186" s="50"/>
      <c r="I186" s="50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</row>
    <row r="187">
      <c r="A187" s="50"/>
      <c r="B187" s="50"/>
      <c r="C187" s="50"/>
      <c r="D187" s="11"/>
      <c r="E187" s="11"/>
      <c r="F187" s="11"/>
      <c r="G187" s="11"/>
      <c r="H187" s="50"/>
      <c r="I187" s="50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</row>
    <row r="188">
      <c r="A188" s="50"/>
      <c r="B188" s="50"/>
      <c r="C188" s="50"/>
      <c r="D188" s="11"/>
      <c r="E188" s="11"/>
      <c r="F188" s="11"/>
      <c r="G188" s="11"/>
      <c r="H188" s="50"/>
      <c r="I188" s="50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</row>
    <row r="189">
      <c r="A189" s="50"/>
      <c r="B189" s="50"/>
      <c r="C189" s="50"/>
      <c r="D189" s="11"/>
      <c r="E189" s="11"/>
      <c r="F189" s="11"/>
      <c r="G189" s="11"/>
      <c r="H189" s="50"/>
      <c r="I189" s="50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</row>
    <row r="190">
      <c r="A190" s="50"/>
      <c r="B190" s="50"/>
      <c r="C190" s="50"/>
      <c r="D190" s="11"/>
      <c r="E190" s="11"/>
      <c r="F190" s="11"/>
      <c r="G190" s="11"/>
      <c r="H190" s="50"/>
      <c r="I190" s="50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</row>
    <row r="191">
      <c r="A191" s="50"/>
      <c r="B191" s="50"/>
      <c r="C191" s="50"/>
      <c r="D191" s="11"/>
      <c r="E191" s="11"/>
      <c r="F191" s="11"/>
      <c r="G191" s="11"/>
      <c r="H191" s="50"/>
      <c r="I191" s="50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</row>
    <row r="192">
      <c r="A192" s="50"/>
      <c r="B192" s="50"/>
      <c r="C192" s="50"/>
      <c r="D192" s="11"/>
      <c r="E192" s="11"/>
      <c r="F192" s="11"/>
      <c r="G192" s="11"/>
      <c r="H192" s="50"/>
      <c r="I192" s="50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</row>
    <row r="193">
      <c r="A193" s="50"/>
      <c r="B193" s="50"/>
      <c r="C193" s="50"/>
      <c r="D193" s="11"/>
      <c r="E193" s="11"/>
      <c r="F193" s="11"/>
      <c r="G193" s="11"/>
      <c r="H193" s="50"/>
      <c r="I193" s="50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</row>
    <row r="194">
      <c r="A194" s="50"/>
      <c r="B194" s="50"/>
      <c r="C194" s="50"/>
      <c r="D194" s="11"/>
      <c r="E194" s="11"/>
      <c r="F194" s="11"/>
      <c r="G194" s="11"/>
      <c r="H194" s="50"/>
      <c r="I194" s="50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</row>
    <row r="195">
      <c r="A195" s="50"/>
      <c r="B195" s="50"/>
      <c r="C195" s="50"/>
      <c r="D195" s="11"/>
      <c r="E195" s="11"/>
      <c r="F195" s="11"/>
      <c r="G195" s="11"/>
      <c r="H195" s="50"/>
      <c r="I195" s="50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</row>
    <row r="196">
      <c r="A196" s="50"/>
      <c r="B196" s="50"/>
      <c r="C196" s="50"/>
      <c r="D196" s="11"/>
      <c r="E196" s="11"/>
      <c r="F196" s="11"/>
      <c r="G196" s="11"/>
      <c r="H196" s="50"/>
      <c r="I196" s="50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</row>
    <row r="197">
      <c r="A197" s="50"/>
      <c r="B197" s="50"/>
      <c r="C197" s="50"/>
      <c r="D197" s="11"/>
      <c r="E197" s="11"/>
      <c r="F197" s="11"/>
      <c r="G197" s="11"/>
      <c r="H197" s="50"/>
      <c r="I197" s="50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</row>
    <row r="198">
      <c r="A198" s="50"/>
      <c r="B198" s="50"/>
      <c r="C198" s="50"/>
      <c r="D198" s="11"/>
      <c r="E198" s="11"/>
      <c r="F198" s="11"/>
      <c r="G198" s="11"/>
      <c r="H198" s="50"/>
      <c r="I198" s="50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</row>
    <row r="199">
      <c r="A199" s="50"/>
      <c r="B199" s="50"/>
      <c r="C199" s="50"/>
      <c r="D199" s="11"/>
      <c r="E199" s="11"/>
      <c r="F199" s="11"/>
      <c r="G199" s="11"/>
      <c r="H199" s="50"/>
      <c r="I199" s="50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</row>
    <row r="200">
      <c r="A200" s="50"/>
      <c r="B200" s="50"/>
      <c r="C200" s="50"/>
      <c r="D200" s="11"/>
      <c r="E200" s="11"/>
      <c r="F200" s="11"/>
      <c r="G200" s="11"/>
      <c r="H200" s="50"/>
      <c r="I200" s="50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</row>
    <row r="201">
      <c r="A201" s="50"/>
      <c r="B201" s="50"/>
      <c r="C201" s="50"/>
      <c r="D201" s="11"/>
      <c r="E201" s="11"/>
      <c r="F201" s="11"/>
      <c r="G201" s="11"/>
      <c r="H201" s="50"/>
      <c r="I201" s="50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</row>
    <row r="202">
      <c r="A202" s="50"/>
      <c r="B202" s="50"/>
      <c r="C202" s="50"/>
      <c r="D202" s="11"/>
      <c r="E202" s="11"/>
      <c r="F202" s="11"/>
      <c r="G202" s="11"/>
      <c r="H202" s="50"/>
      <c r="I202" s="50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</row>
    <row r="203">
      <c r="A203" s="50"/>
      <c r="B203" s="50"/>
      <c r="C203" s="50"/>
      <c r="D203" s="11"/>
      <c r="E203" s="11"/>
      <c r="F203" s="11"/>
      <c r="G203" s="11"/>
      <c r="H203" s="50"/>
      <c r="I203" s="50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</row>
    <row r="204">
      <c r="A204" s="50"/>
      <c r="B204" s="50"/>
      <c r="C204" s="50"/>
      <c r="D204" s="11"/>
      <c r="E204" s="11"/>
      <c r="F204" s="11"/>
      <c r="G204" s="11"/>
      <c r="H204" s="50"/>
      <c r="I204" s="50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</row>
    <row r="205">
      <c r="A205" s="50"/>
      <c r="B205" s="50"/>
      <c r="C205" s="50"/>
      <c r="D205" s="11"/>
      <c r="E205" s="11"/>
      <c r="F205" s="11"/>
      <c r="G205" s="11"/>
      <c r="H205" s="50"/>
      <c r="I205" s="50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</row>
    <row r="206">
      <c r="A206" s="50"/>
      <c r="B206" s="50"/>
      <c r="C206" s="50"/>
      <c r="D206" s="11"/>
      <c r="E206" s="11"/>
      <c r="F206" s="11"/>
      <c r="G206" s="11"/>
      <c r="H206" s="50"/>
      <c r="I206" s="50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</row>
    <row r="207">
      <c r="A207" s="50"/>
      <c r="B207" s="50"/>
      <c r="C207" s="50"/>
      <c r="D207" s="11"/>
      <c r="E207" s="11"/>
      <c r="F207" s="11"/>
      <c r="G207" s="11"/>
      <c r="H207" s="50"/>
      <c r="I207" s="50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</row>
    <row r="208">
      <c r="A208" s="50"/>
      <c r="B208" s="50"/>
      <c r="C208" s="50"/>
      <c r="D208" s="11"/>
      <c r="E208" s="11"/>
      <c r="F208" s="11"/>
      <c r="G208" s="11"/>
      <c r="H208" s="50"/>
      <c r="I208" s="50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</row>
    <row r="209">
      <c r="A209" s="50"/>
      <c r="B209" s="50"/>
      <c r="C209" s="50"/>
      <c r="D209" s="11"/>
      <c r="E209" s="11"/>
      <c r="F209" s="11"/>
      <c r="G209" s="11"/>
      <c r="H209" s="50"/>
      <c r="I209" s="50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</row>
    <row r="210">
      <c r="A210" s="50"/>
      <c r="B210" s="50"/>
      <c r="C210" s="50"/>
      <c r="D210" s="11"/>
      <c r="E210" s="11"/>
      <c r="F210" s="11"/>
      <c r="G210" s="11"/>
      <c r="H210" s="50"/>
      <c r="I210" s="50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</row>
    <row r="211">
      <c r="A211" s="50"/>
      <c r="B211" s="50"/>
      <c r="C211" s="50"/>
      <c r="D211" s="11"/>
      <c r="E211" s="11"/>
      <c r="F211" s="11"/>
      <c r="G211" s="11"/>
      <c r="H211" s="50"/>
      <c r="I211" s="50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</row>
    <row r="212">
      <c r="A212" s="50"/>
      <c r="B212" s="50"/>
      <c r="C212" s="50"/>
      <c r="D212" s="11"/>
      <c r="E212" s="11"/>
      <c r="F212" s="11"/>
      <c r="G212" s="11"/>
      <c r="H212" s="50"/>
      <c r="I212" s="50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</row>
    <row r="213">
      <c r="A213" s="50"/>
      <c r="B213" s="50"/>
      <c r="C213" s="50"/>
      <c r="D213" s="11"/>
      <c r="E213" s="11"/>
      <c r="F213" s="11"/>
      <c r="G213" s="11"/>
      <c r="H213" s="50"/>
      <c r="I213" s="50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25"/>
    <col customWidth="1" min="3" max="3" width="32.5"/>
    <col customWidth="1" min="4" max="4" width="24.0"/>
    <col customWidth="1" min="5" max="5" width="29.75"/>
    <col customWidth="1" min="6" max="7" width="23.25"/>
    <col customWidth="1" min="8" max="8" width="28.75"/>
    <col customWidth="1" min="9" max="9" width="22.88"/>
    <col customWidth="1" min="10" max="10" width="26.75"/>
    <col customWidth="1" min="11" max="11" width="21.88"/>
  </cols>
  <sheetData>
    <row r="1">
      <c r="A1" s="1" t="s">
        <v>0</v>
      </c>
      <c r="B1" s="3" t="s">
        <v>2</v>
      </c>
      <c r="C1" s="5" t="s">
        <v>4</v>
      </c>
      <c r="D1" s="5" t="s">
        <v>8</v>
      </c>
      <c r="E1" s="5" t="s">
        <v>10</v>
      </c>
      <c r="F1" s="5" t="s">
        <v>13</v>
      </c>
      <c r="G1" s="3" t="s">
        <v>14</v>
      </c>
      <c r="H1" s="3" t="s">
        <v>15</v>
      </c>
      <c r="I1" s="3" t="s">
        <v>17</v>
      </c>
      <c r="J1" s="7" t="s">
        <v>21</v>
      </c>
      <c r="K1" s="8" t="s">
        <v>26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2" t="s">
        <v>32</v>
      </c>
      <c r="B2" s="13" t="s">
        <v>33</v>
      </c>
      <c r="C2" s="14">
        <v>50.0</v>
      </c>
      <c r="D2" s="14">
        <v>40.0</v>
      </c>
      <c r="E2" s="14">
        <v>75.0</v>
      </c>
      <c r="F2" s="14">
        <v>55.0</v>
      </c>
      <c r="G2" s="14">
        <v>100.0</v>
      </c>
      <c r="H2" s="14">
        <v>0.26</v>
      </c>
      <c r="I2" s="13">
        <v>-25.0</v>
      </c>
      <c r="J2" s="16"/>
      <c r="K2" s="18">
        <v>0.15</v>
      </c>
    </row>
    <row r="3">
      <c r="A3" s="12" t="s">
        <v>46</v>
      </c>
      <c r="B3" s="13" t="s">
        <v>47</v>
      </c>
      <c r="C3" s="14">
        <v>50.0</v>
      </c>
      <c r="D3" s="14">
        <v>40.0</v>
      </c>
      <c r="E3" s="14">
        <v>75.0</v>
      </c>
      <c r="F3" s="14">
        <v>55.0</v>
      </c>
      <c r="G3" s="14">
        <v>100.0</v>
      </c>
      <c r="H3" s="14">
        <v>0.26</v>
      </c>
      <c r="I3" s="13">
        <v>-25.0</v>
      </c>
      <c r="J3" s="16"/>
      <c r="K3" s="21">
        <v>0.15</v>
      </c>
    </row>
    <row r="4">
      <c r="A4" s="12" t="s">
        <v>52</v>
      </c>
      <c r="B4" s="13" t="s">
        <v>53</v>
      </c>
      <c r="C4" s="14">
        <v>50.0</v>
      </c>
      <c r="D4" s="14">
        <v>40.0</v>
      </c>
      <c r="E4" s="14">
        <v>75.0</v>
      </c>
      <c r="F4" s="14">
        <v>55.0</v>
      </c>
      <c r="G4" s="14">
        <v>100.0</v>
      </c>
      <c r="H4" s="14">
        <v>0.26</v>
      </c>
      <c r="I4" s="13">
        <v>-25.0</v>
      </c>
      <c r="J4" s="16"/>
      <c r="K4" s="21">
        <v>0.15</v>
      </c>
    </row>
    <row r="5">
      <c r="A5" s="12" t="s">
        <v>54</v>
      </c>
      <c r="B5" s="13" t="s">
        <v>35</v>
      </c>
      <c r="C5" s="14">
        <v>50.0</v>
      </c>
      <c r="D5" s="14">
        <v>40.0</v>
      </c>
      <c r="E5" s="14">
        <v>75.0</v>
      </c>
      <c r="F5" s="14">
        <v>55.0</v>
      </c>
      <c r="G5" s="14">
        <v>100.0</v>
      </c>
      <c r="H5" s="14">
        <v>0.26</v>
      </c>
      <c r="I5" s="13">
        <v>-25.0</v>
      </c>
      <c r="J5" s="24">
        <v>60.0</v>
      </c>
      <c r="K5" s="21">
        <v>0.15</v>
      </c>
    </row>
    <row r="6">
      <c r="A6" s="12" t="s">
        <v>55</v>
      </c>
      <c r="B6" s="13" t="s">
        <v>56</v>
      </c>
      <c r="C6" s="14">
        <v>50.0</v>
      </c>
      <c r="D6" s="14">
        <v>40.0</v>
      </c>
      <c r="E6" s="14">
        <v>75.0</v>
      </c>
      <c r="F6" s="14">
        <v>55.0</v>
      </c>
      <c r="G6" s="14">
        <v>90.0</v>
      </c>
      <c r="H6" s="14">
        <v>0.26</v>
      </c>
      <c r="I6" s="13">
        <v>-25.0</v>
      </c>
      <c r="J6" s="16"/>
      <c r="K6" s="21">
        <v>0.15</v>
      </c>
    </row>
    <row r="7">
      <c r="A7" s="12" t="s">
        <v>57</v>
      </c>
      <c r="B7" s="13" t="s">
        <v>58</v>
      </c>
      <c r="C7" s="14">
        <v>60.0</v>
      </c>
      <c r="D7" s="14">
        <v>40.0</v>
      </c>
      <c r="E7" s="14">
        <v>100.0</v>
      </c>
      <c r="F7" s="14">
        <v>55.0</v>
      </c>
      <c r="G7" s="25"/>
      <c r="H7" s="14">
        <v>0.26</v>
      </c>
      <c r="I7" s="13">
        <v>-25.0</v>
      </c>
      <c r="J7" s="16"/>
      <c r="K7" s="21">
        <v>0.15</v>
      </c>
    </row>
    <row r="8">
      <c r="A8" s="12" t="s">
        <v>70</v>
      </c>
      <c r="B8" s="13" t="s">
        <v>72</v>
      </c>
      <c r="C8" s="14">
        <v>50.0</v>
      </c>
      <c r="D8" s="14">
        <v>40.0</v>
      </c>
      <c r="E8" s="14">
        <v>75.0</v>
      </c>
      <c r="F8" s="14">
        <v>55.0</v>
      </c>
      <c r="G8" s="25"/>
      <c r="H8" s="14">
        <v>0.26</v>
      </c>
      <c r="I8" s="13">
        <v>-25.0</v>
      </c>
      <c r="J8" s="16"/>
      <c r="K8" s="21">
        <v>0.15</v>
      </c>
    </row>
    <row r="9">
      <c r="A9" s="12" t="s">
        <v>77</v>
      </c>
      <c r="B9" s="13" t="s">
        <v>78</v>
      </c>
      <c r="C9" s="14">
        <v>50.0</v>
      </c>
      <c r="D9" s="14">
        <v>40.0</v>
      </c>
      <c r="E9" s="14">
        <v>75.0</v>
      </c>
      <c r="F9" s="14">
        <v>55.0</v>
      </c>
      <c r="G9" s="25"/>
      <c r="H9" s="14">
        <v>0.26</v>
      </c>
      <c r="I9" s="13">
        <v>-25.0</v>
      </c>
      <c r="J9" s="16"/>
      <c r="K9" s="21">
        <v>0.15</v>
      </c>
    </row>
    <row r="10">
      <c r="A10" s="12" t="s">
        <v>79</v>
      </c>
      <c r="B10" s="13" t="s">
        <v>80</v>
      </c>
      <c r="C10" s="14">
        <v>40.0</v>
      </c>
      <c r="D10" s="14">
        <v>40.0</v>
      </c>
      <c r="E10" s="14">
        <v>60.0</v>
      </c>
      <c r="F10" s="14">
        <v>55.0</v>
      </c>
      <c r="G10" s="25"/>
      <c r="H10" s="14">
        <v>0.26</v>
      </c>
      <c r="I10" s="13">
        <v>-25.0</v>
      </c>
      <c r="J10" s="16"/>
      <c r="K10" s="21">
        <v>0.15</v>
      </c>
    </row>
    <row r="11">
      <c r="A11" s="12" t="s">
        <v>86</v>
      </c>
      <c r="B11" s="13" t="s">
        <v>89</v>
      </c>
      <c r="C11" s="14">
        <v>50.0</v>
      </c>
      <c r="D11" s="14">
        <v>40.0</v>
      </c>
      <c r="E11" s="14">
        <v>80.0</v>
      </c>
      <c r="F11" s="14">
        <v>55.0</v>
      </c>
      <c r="G11" s="14">
        <v>75.0</v>
      </c>
      <c r="H11" s="14">
        <v>0.26</v>
      </c>
      <c r="I11" s="13">
        <v>-25.0</v>
      </c>
      <c r="J11" s="16"/>
      <c r="K11" s="21">
        <v>0.15</v>
      </c>
    </row>
    <row r="12">
      <c r="A12" s="12" t="s">
        <v>90</v>
      </c>
      <c r="B12" s="13" t="s">
        <v>92</v>
      </c>
      <c r="C12" s="14">
        <v>50.0</v>
      </c>
      <c r="D12" s="14">
        <v>40.0</v>
      </c>
      <c r="E12" s="14">
        <v>80.0</v>
      </c>
      <c r="F12" s="14">
        <v>55.0</v>
      </c>
      <c r="G12" s="14">
        <v>90.0</v>
      </c>
      <c r="H12" s="14">
        <v>0.26</v>
      </c>
      <c r="I12" s="13">
        <v>-25.0</v>
      </c>
      <c r="J12" s="16"/>
      <c r="K12" s="21">
        <v>0.15</v>
      </c>
    </row>
    <row r="13">
      <c r="A13" s="12" t="s">
        <v>96</v>
      </c>
      <c r="B13" s="13" t="s">
        <v>97</v>
      </c>
      <c r="C13" s="14">
        <v>50.0</v>
      </c>
      <c r="D13" s="14">
        <v>40.0</v>
      </c>
      <c r="E13" s="14">
        <v>75.0</v>
      </c>
      <c r="F13" s="14">
        <v>55.0</v>
      </c>
      <c r="G13" s="25"/>
      <c r="H13" s="14">
        <v>0.26</v>
      </c>
      <c r="I13" s="13">
        <v>-25.0</v>
      </c>
      <c r="J13" s="16"/>
      <c r="K13" s="21">
        <v>0.15</v>
      </c>
    </row>
    <row r="14">
      <c r="A14" s="12" t="s">
        <v>99</v>
      </c>
      <c r="B14" s="13" t="s">
        <v>100</v>
      </c>
      <c r="C14" s="14">
        <v>50.0</v>
      </c>
      <c r="D14" s="14">
        <v>40.0</v>
      </c>
      <c r="E14" s="13" t="s">
        <v>103</v>
      </c>
      <c r="F14" s="13" t="s">
        <v>103</v>
      </c>
      <c r="G14" s="14">
        <v>90.0</v>
      </c>
      <c r="H14" s="14">
        <v>0.26</v>
      </c>
      <c r="I14" s="13">
        <v>-25.0</v>
      </c>
      <c r="J14" s="16"/>
      <c r="K14" s="21">
        <v>0.15</v>
      </c>
    </row>
    <row r="15">
      <c r="A15" s="27" t="s">
        <v>112</v>
      </c>
      <c r="B15" s="28" t="s">
        <v>113</v>
      </c>
      <c r="C15" s="29">
        <v>50.0</v>
      </c>
      <c r="D15" s="29">
        <v>40.0</v>
      </c>
      <c r="E15" s="28" t="s">
        <v>103</v>
      </c>
      <c r="F15" s="28" t="s">
        <v>103</v>
      </c>
      <c r="G15" s="31"/>
      <c r="H15" s="29">
        <v>0.26</v>
      </c>
      <c r="I15" s="28">
        <v>-25.0</v>
      </c>
      <c r="J15" s="32"/>
      <c r="K15" s="33">
        <v>0.15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14" width="18.88"/>
  </cols>
  <sheetData>
    <row r="1" ht="22.5" customHeight="1">
      <c r="A1" s="34" t="s">
        <v>98</v>
      </c>
      <c r="B1" s="34" t="s">
        <v>126</v>
      </c>
      <c r="C1" s="34" t="s">
        <v>128</v>
      </c>
      <c r="D1" s="34" t="s">
        <v>131</v>
      </c>
      <c r="E1" s="34" t="s">
        <v>133</v>
      </c>
      <c r="F1" s="34" t="s">
        <v>136</v>
      </c>
      <c r="G1" s="34" t="s">
        <v>141</v>
      </c>
      <c r="H1" s="34" t="s">
        <v>142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8" width="18.88"/>
    <col customWidth="1" min="9" max="9" width="21.63"/>
    <col customWidth="1" min="10" max="10" width="18.88"/>
    <col customWidth="1" min="11" max="11" width="21.0"/>
    <col customWidth="1" min="12" max="13" width="18.88"/>
    <col customWidth="1" min="14" max="14" width="21.0"/>
    <col customWidth="1" min="15" max="15" width="19.63"/>
    <col customWidth="1" min="16" max="16" width="18.88"/>
    <col customWidth="1" min="17" max="17" width="19.13"/>
    <col customWidth="1" min="18" max="18" width="18.88"/>
    <col customWidth="1" min="19" max="19" width="25.13"/>
    <col customWidth="1" min="20" max="20" width="23.75"/>
    <col customWidth="1" min="21" max="21" width="18.88"/>
    <col customWidth="1" min="22" max="22" width="23.25"/>
    <col customWidth="1" min="23" max="23" width="18.88"/>
    <col customWidth="1" min="24" max="24" width="25.63"/>
    <col customWidth="1" min="25" max="35" width="18.88"/>
  </cols>
  <sheetData>
    <row r="1" ht="22.5" customHeight="1">
      <c r="A1" s="34" t="s">
        <v>98</v>
      </c>
      <c r="B1" s="34" t="s">
        <v>126</v>
      </c>
      <c r="C1" s="34" t="s">
        <v>129</v>
      </c>
      <c r="D1" s="34" t="s">
        <v>130</v>
      </c>
      <c r="E1" s="34" t="s">
        <v>132</v>
      </c>
      <c r="F1" s="34" t="s">
        <v>135</v>
      </c>
      <c r="G1" s="34" t="s">
        <v>137</v>
      </c>
      <c r="H1" s="34" t="s">
        <v>6</v>
      </c>
      <c r="I1" s="34" t="s">
        <v>7</v>
      </c>
      <c r="J1" s="34" t="s">
        <v>143</v>
      </c>
      <c r="K1" s="34" t="s">
        <v>146</v>
      </c>
      <c r="L1" s="34" t="s">
        <v>150</v>
      </c>
      <c r="M1" s="34" t="s">
        <v>151</v>
      </c>
      <c r="N1" s="34" t="s">
        <v>152</v>
      </c>
      <c r="O1" s="34" t="s">
        <v>154</v>
      </c>
      <c r="P1" s="34" t="s">
        <v>158</v>
      </c>
      <c r="Q1" s="34" t="s">
        <v>159</v>
      </c>
      <c r="R1" s="34" t="s">
        <v>160</v>
      </c>
      <c r="S1" s="34" t="s">
        <v>166</v>
      </c>
      <c r="T1" s="34" t="s">
        <v>167</v>
      </c>
      <c r="U1" s="34" t="s">
        <v>171</v>
      </c>
      <c r="V1" s="34" t="s">
        <v>174</v>
      </c>
      <c r="W1" s="34" t="s">
        <v>175</v>
      </c>
      <c r="X1" s="34" t="s">
        <v>176</v>
      </c>
      <c r="Y1" s="34" t="s">
        <v>180</v>
      </c>
      <c r="Z1" s="36" t="s">
        <v>181</v>
      </c>
      <c r="AA1" s="36" t="s">
        <v>184</v>
      </c>
      <c r="AB1" s="36" t="s">
        <v>185</v>
      </c>
      <c r="AC1" s="36" t="s">
        <v>187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4" width="15.75"/>
    <col customWidth="1" min="5" max="5" width="14.0"/>
    <col customWidth="1" min="8" max="8" width="17.38"/>
    <col customWidth="1" min="9" max="9" width="17.63"/>
    <col customWidth="1" min="12" max="12" width="13.38"/>
    <col customWidth="1" min="13" max="13" width="14.38"/>
    <col customWidth="1" min="15" max="15" width="17.63"/>
    <col customWidth="1" min="17" max="17" width="18.38"/>
    <col customWidth="1" min="19" max="19" width="16.63"/>
    <col customWidth="1" min="20" max="20" width="22.88"/>
    <col customWidth="1" min="21" max="21" width="16.5"/>
    <col customWidth="1" min="22" max="22" width="17.88"/>
    <col customWidth="1" min="23" max="23" width="19.5"/>
    <col customWidth="1" min="27" max="27" width="16.25"/>
  </cols>
  <sheetData>
    <row r="1">
      <c r="A1" s="37" t="s">
        <v>195</v>
      </c>
      <c r="B1" s="37" t="s">
        <v>196</v>
      </c>
      <c r="C1" s="37" t="s">
        <v>197</v>
      </c>
      <c r="D1" s="37" t="s">
        <v>129</v>
      </c>
      <c r="E1" s="37" t="s">
        <v>198</v>
      </c>
      <c r="F1" s="39" t="s">
        <v>200</v>
      </c>
      <c r="G1" s="37" t="s">
        <v>202</v>
      </c>
      <c r="H1" s="37" t="s">
        <v>203</v>
      </c>
      <c r="I1" s="37" t="s">
        <v>204</v>
      </c>
      <c r="J1" s="40" t="s">
        <v>205</v>
      </c>
      <c r="K1" s="41" t="s">
        <v>160</v>
      </c>
      <c r="L1" s="41" t="s">
        <v>209</v>
      </c>
      <c r="M1" s="41" t="s">
        <v>210</v>
      </c>
      <c r="N1" s="41" t="s">
        <v>211</v>
      </c>
      <c r="O1" s="41" t="s">
        <v>212</v>
      </c>
      <c r="P1" s="41" t="s">
        <v>213</v>
      </c>
      <c r="Q1" s="37" t="s">
        <v>214</v>
      </c>
      <c r="R1" s="41" t="s">
        <v>171</v>
      </c>
      <c r="S1" s="41" t="s">
        <v>175</v>
      </c>
      <c r="T1" s="41" t="s">
        <v>216</v>
      </c>
      <c r="U1" s="41" t="s">
        <v>217</v>
      </c>
      <c r="V1" s="41" t="s">
        <v>218</v>
      </c>
      <c r="W1" s="41" t="s">
        <v>219</v>
      </c>
      <c r="X1" s="41" t="s">
        <v>220</v>
      </c>
      <c r="Y1" s="41" t="s">
        <v>221</v>
      </c>
      <c r="Z1" s="41" t="s">
        <v>222</v>
      </c>
      <c r="AA1" s="41" t="s">
        <v>224</v>
      </c>
      <c r="AB1" s="41" t="s">
        <v>225</v>
      </c>
      <c r="AC1" s="41" t="s">
        <v>226</v>
      </c>
    </row>
    <row r="2">
      <c r="A2" s="42" t="str">
        <f>CONFERENCIAS!A2</f>
        <v/>
      </c>
      <c r="D2" s="42" t="str">
        <f>CONFERENCIAS!C2</f>
        <v/>
      </c>
      <c r="E2" s="42" t="str">
        <f>CONFERENCIAS!K2</f>
        <v/>
      </c>
      <c r="F2" s="43" t="str">
        <f>CONFERENCIAS!J2</f>
        <v/>
      </c>
      <c r="G2" s="42" t="str">
        <f>CONFERENCIAS!O2</f>
        <v/>
      </c>
      <c r="H2" s="42" t="str">
        <f>CONFERENCIAS!X2</f>
        <v/>
      </c>
      <c r="I2" s="42" t="str">
        <f>CONFERENCIAS!AA2</f>
        <v/>
      </c>
      <c r="J2" s="44" t="str">
        <f>CONFERENCIAS!P2</f>
        <v/>
      </c>
      <c r="K2" s="45" t="str">
        <f>CONFERENCIAS!R2</f>
        <v/>
      </c>
      <c r="L2" s="45">
        <f>IF(D2="",0,
 IF(E2=1,
   IF(H2="Presencial",
      VLOOKUP(D2,TARIFAS!A:K,3,FALSE) + IF(I2="Sí",VLOOKUP(D2,TARIFAS!A:K,5,FALSE),0),
      VLOOKUP(D2,TARIFAS!A:K,4,FALSE) + IF(I2="Sí",VLOOKUP(D2,TARIFAS!A:K,5,FALSE),0)
   ),
   IF(H2="Presencial",
      VLOOKUP(D2,TARIFAS!A:K,9,FALSE) + IF(I2="Sí",VLOOKUP(D2,TARIFAS!A:K,11,FALSE),0),
      VLOOKUP(D2,TARIFAS!A:K,10,FALSE) + IF(I2="Sí",VLOOKUP(D2,TARIFAS!A:K,11,FALSE),0)
   )
 )
)
</f>
        <v>0</v>
      </c>
      <c r="M2" s="45">
        <f>IF(J2="",0,MAX(0,J2 - TARIFAS!G$2) * TARIFAS!F$2)
</f>
        <v>0</v>
      </c>
      <c r="N2" s="45">
        <f>+L2*TARIFAS!$K$2</f>
        <v>0</v>
      </c>
      <c r="O2" s="45">
        <f t="shared" ref="O2:O1000" si="1">+L2-N2</f>
        <v>0</v>
      </c>
      <c r="P2" s="45">
        <f>+M2+O2+K2+(+I2-(I2*TARIFAS!$K$2))</f>
        <v>0</v>
      </c>
      <c r="Q2" s="42" t="str">
        <f>CONFERENCIAS!T2</f>
        <v/>
      </c>
      <c r="R2" s="45" t="str">
        <f>CONFERENCIAS!U2</f>
        <v/>
      </c>
      <c r="S2" s="45" t="str">
        <f>CONFERENCIAS!W2</f>
        <v/>
      </c>
      <c r="T2" s="48">
        <f>IF(Q2="",0,
   IF(E2=1,
      IF(H2="Presencial",
         VLOOKUP(D2,TARIFAS!A:K,3,FALSE) + IF(I2="Sí",VLOOKUP(D2,TARIFAS!A:K,5,FALSE),0),
         VLOOKUP(D2,TARIFAS!A:K,4,FALSE) + IF(I2="Sí",VLOOKUP(D2,TARIFAS!A:K,5,FALSE),0)
      ),
      IF(H2="Presencial",
         VLOOKUP(D2,TARIFAS!A:K,9,FALSE) + IF(I2="Sí",VLOOKUP(D2,TARIFAS!A:K,11,FALSE),0),
         VLOOKUP(D2,TARIFAS!A:K,10,FALSE) + IF(I2="Sí",VLOOKUP(D2,TARIFAS!A:K,11,FALSE),0)
      )
   )
)
</f>
        <v>0</v>
      </c>
      <c r="U2" s="45">
        <f>IF(R2="",0,MAX(0,R2 - TARIFAS!G$2) * TARIFAS!F$2)
</f>
        <v>0</v>
      </c>
      <c r="V2" s="45">
        <f>+T2*TARIFAS!$K$2</f>
        <v>0</v>
      </c>
      <c r="W2" s="45">
        <f t="shared" ref="W2:W1000" si="2">+T2-V2</f>
        <v>0</v>
      </c>
      <c r="X2" s="45">
        <f t="shared" ref="X2:X1000" si="3">+W2+U2+S2</f>
        <v>0</v>
      </c>
      <c r="Y2" s="45">
        <f t="shared" ref="Y2:Y1000" si="4">+X2+P2</f>
        <v>0</v>
      </c>
      <c r="Z2" s="42" t="str">
        <f>CONFERENCIAS!AB2</f>
        <v/>
      </c>
      <c r="AA2" s="42" t="str">
        <f>CONFERENCIAS!AC2</f>
        <v/>
      </c>
      <c r="AB2" s="47" t="str">
        <f t="shared" ref="AB2:AB1000" si="5">IF(F2="","",YEAR(+F2))</f>
        <v/>
      </c>
      <c r="AC2" s="9" t="str">
        <f t="shared" ref="AC2:AC1000" si="6">IF(F2="","",MES)</f>
        <v/>
      </c>
    </row>
    <row r="3">
      <c r="A3" s="42" t="str">
        <f>CONFERENCIAS!A3</f>
        <v/>
      </c>
      <c r="D3" s="42" t="str">
        <f>CONFERENCIAS!C3</f>
        <v/>
      </c>
      <c r="E3" s="42" t="str">
        <f>CONFERENCIAS!K3</f>
        <v/>
      </c>
      <c r="F3" s="49" t="str">
        <f>CONFERENCIAS!J3</f>
        <v/>
      </c>
      <c r="G3" s="42" t="str">
        <f>CONFERENCIAS!O3</f>
        <v/>
      </c>
      <c r="H3" s="42" t="str">
        <f>CONFERENCIAS!X3</f>
        <v/>
      </c>
      <c r="I3" s="42" t="str">
        <f>CONFERENCIAS!AA3</f>
        <v/>
      </c>
      <c r="J3" s="44" t="str">
        <f>CONFERENCIAS!P3</f>
        <v/>
      </c>
      <c r="K3" s="45" t="str">
        <f>CONFERENCIAS!R3</f>
        <v/>
      </c>
      <c r="L3" s="45">
        <f>IF(D3="",0,
 IF(E3=1,
   IF(H3="Presencial",
      VLOOKUP(D3,TARIFAS!A:K,3,FALSE) + IF(I3="Sí",VLOOKUP(D3,TARIFAS!A:K,5,FALSE),0),
      VLOOKUP(D3,TARIFAS!A:K,4,FALSE) + IF(I3="Sí",VLOOKUP(D3,TARIFAS!A:K,5,FALSE),0)
   ),
   IF(H3="Presencial",
      VLOOKUP(D3,TARIFAS!A:K,9,FALSE) + IF(I3="Sí",VLOOKUP(D3,TARIFAS!A:K,11,FALSE),0),
      VLOOKUP(D3,TARIFAS!A:K,10,FALSE) + IF(I3="Sí",VLOOKUP(D3,TARIFAS!A:K,11,FALSE),0)
   )
 )
)
</f>
        <v>0</v>
      </c>
      <c r="M3" s="45">
        <f>IF(J3="",0,MAX(0,J3 - TARIFAS!G$2) * TARIFAS!F$2)
</f>
        <v>0</v>
      </c>
      <c r="N3" s="45">
        <f>+L3*TARIFAS!$K$2</f>
        <v>0</v>
      </c>
      <c r="O3" s="45">
        <f t="shared" si="1"/>
        <v>0</v>
      </c>
      <c r="P3" s="45">
        <f>+M3+O3+K3+(+I3-(I3*TARIFAS!$K$2))</f>
        <v>0</v>
      </c>
      <c r="Q3" s="42" t="str">
        <f>CONFERENCIAS!T3</f>
        <v/>
      </c>
      <c r="R3" s="45" t="str">
        <f>CONFERENCIAS!U3</f>
        <v/>
      </c>
      <c r="S3" s="45" t="str">
        <f>CONFERENCIAS!W3</f>
        <v/>
      </c>
      <c r="T3" s="48">
        <f>IF(Q3="",0,
   IF(E3=1,
      IF(H3="Presencial",
         VLOOKUP(D3,TARIFAS!A:K,3,FALSE) + IF(I3="Sí",VLOOKUP(D3,TARIFAS!A:K,5,FALSE),0),
         VLOOKUP(D3,TARIFAS!A:K,4,FALSE) + IF(I3="Sí",VLOOKUP(D3,TARIFAS!A:K,5,FALSE),0)
      ),
      IF(H3="Presencial",
         VLOOKUP(D3,TARIFAS!A:K,9,FALSE) + IF(I3="Sí",VLOOKUP(D3,TARIFAS!A:K,11,FALSE),0),
         VLOOKUP(D3,TARIFAS!A:K,10,FALSE) + IF(I3="Sí",VLOOKUP(D3,TARIFAS!A:K,11,FALSE),0)
      )
   )
)
</f>
        <v>0</v>
      </c>
      <c r="U3" s="45">
        <f>IF(R3="",0,MAX(0,R3 - TARIFAS!G$2) * TARIFAS!F$2)
</f>
        <v>0</v>
      </c>
      <c r="V3" s="45">
        <f>+T3*TARIFAS!$K$2</f>
        <v>0</v>
      </c>
      <c r="W3" s="45">
        <f t="shared" si="2"/>
        <v>0</v>
      </c>
      <c r="X3" s="45">
        <f t="shared" si="3"/>
        <v>0</v>
      </c>
      <c r="Y3" s="45">
        <f t="shared" si="4"/>
        <v>0</v>
      </c>
      <c r="Z3" s="42" t="str">
        <f>CONFERENCIAS!AB3</f>
        <v/>
      </c>
      <c r="AA3" s="42" t="str">
        <f>CONFERENCIAS!AC3</f>
        <v/>
      </c>
      <c r="AB3" s="47" t="str">
        <f t="shared" si="5"/>
        <v/>
      </c>
      <c r="AC3" s="9" t="str">
        <f t="shared" si="6"/>
        <v/>
      </c>
    </row>
    <row r="4">
      <c r="A4" s="42" t="str">
        <f>CONFERENCIAS!A4</f>
        <v/>
      </c>
      <c r="D4" s="42" t="str">
        <f>CONFERENCIAS!C4</f>
        <v/>
      </c>
      <c r="E4" s="42" t="str">
        <f>CONFERENCIAS!K4</f>
        <v/>
      </c>
      <c r="F4" s="49" t="str">
        <f>CONFERENCIAS!J4</f>
        <v/>
      </c>
      <c r="G4" s="42" t="str">
        <f>CONFERENCIAS!O4</f>
        <v/>
      </c>
      <c r="H4" s="42" t="str">
        <f>CONFERENCIAS!X4</f>
        <v/>
      </c>
      <c r="I4" s="42" t="str">
        <f>CONFERENCIAS!AA4</f>
        <v/>
      </c>
      <c r="J4" s="44" t="str">
        <f>CONFERENCIAS!P4</f>
        <v/>
      </c>
      <c r="K4" s="45" t="str">
        <f>CONFERENCIAS!R4</f>
        <v/>
      </c>
      <c r="L4" s="45">
        <f>IF(D4="",0,
 IF(E4=1,
   IF(H4="Presencial",
      VLOOKUP(D4,TARIFAS!A:K,3,FALSE) + IF(I4="Sí",VLOOKUP(D4,TARIFAS!A:K,5,FALSE),0),
      VLOOKUP(D4,TARIFAS!A:K,4,FALSE) + IF(I4="Sí",VLOOKUP(D4,TARIFAS!A:K,5,FALSE),0)
   ),
   IF(H4="Presencial",
      VLOOKUP(D4,TARIFAS!A:K,9,FALSE) + IF(I4="Sí",VLOOKUP(D4,TARIFAS!A:K,11,FALSE),0),
      VLOOKUP(D4,TARIFAS!A:K,10,FALSE) + IF(I4="Sí",VLOOKUP(D4,TARIFAS!A:K,11,FALSE),0)
   )
 )
)
</f>
        <v>0</v>
      </c>
      <c r="M4" s="45">
        <f>IF(J4="",0,MAX(0,J4 - TARIFAS!G$2) * TARIFAS!F$2)
</f>
        <v>0</v>
      </c>
      <c r="N4" s="45">
        <f>+L4*TARIFAS!$K$2</f>
        <v>0</v>
      </c>
      <c r="O4" s="45">
        <f t="shared" si="1"/>
        <v>0</v>
      </c>
      <c r="P4" s="45">
        <f>+M4+O4+K4+(+I4-(I4*TARIFAS!$K$2))</f>
        <v>0</v>
      </c>
      <c r="Q4" s="42" t="str">
        <f>CONFERENCIAS!T4</f>
        <v/>
      </c>
      <c r="R4" s="45" t="str">
        <f>CONFERENCIAS!U4</f>
        <v/>
      </c>
      <c r="S4" s="45" t="str">
        <f>CONFERENCIAS!W4</f>
        <v/>
      </c>
      <c r="T4" s="48">
        <f>IF(Q4="",0,
   IF(E4=1,
      IF(H4="Presencial",
         VLOOKUP(D4,TARIFAS!A:K,3,FALSE) + IF(I4="Sí",VLOOKUP(D4,TARIFAS!A:K,5,FALSE),0),
         VLOOKUP(D4,TARIFAS!A:K,4,FALSE) + IF(I4="Sí",VLOOKUP(D4,TARIFAS!A:K,5,FALSE),0)
      ),
      IF(H4="Presencial",
         VLOOKUP(D4,TARIFAS!A:K,9,FALSE) + IF(I4="Sí",VLOOKUP(D4,TARIFAS!A:K,11,FALSE),0),
         VLOOKUP(D4,TARIFAS!A:K,10,FALSE) + IF(I4="Sí",VLOOKUP(D4,TARIFAS!A:K,11,FALSE),0)
      )
   )
)
</f>
        <v>0</v>
      </c>
      <c r="U4" s="45">
        <f>IF(R4="",0,MAX(0,R4 - TARIFAS!G$2) * TARIFAS!F$2)
</f>
        <v>0</v>
      </c>
      <c r="V4" s="45">
        <f>+T4*TARIFAS!$K$2</f>
        <v>0</v>
      </c>
      <c r="W4" s="45">
        <f t="shared" si="2"/>
        <v>0</v>
      </c>
      <c r="X4" s="45">
        <f t="shared" si="3"/>
        <v>0</v>
      </c>
      <c r="Y4" s="45">
        <f t="shared" si="4"/>
        <v>0</v>
      </c>
      <c r="Z4" s="42" t="str">
        <f>CONFERENCIAS!AB4</f>
        <v/>
      </c>
      <c r="AA4" s="42" t="str">
        <f>CONFERENCIAS!AC4</f>
        <v/>
      </c>
      <c r="AB4" s="47" t="str">
        <f t="shared" si="5"/>
        <v/>
      </c>
      <c r="AC4" s="9" t="str">
        <f t="shared" si="6"/>
        <v/>
      </c>
    </row>
    <row r="5">
      <c r="A5" s="42" t="str">
        <f>CONFERENCIAS!A5</f>
        <v/>
      </c>
      <c r="D5" s="42" t="str">
        <f>CONFERENCIAS!C5</f>
        <v/>
      </c>
      <c r="E5" s="42" t="str">
        <f>CONFERENCIAS!K5</f>
        <v/>
      </c>
      <c r="F5" s="49" t="str">
        <f>CONFERENCIAS!J5</f>
        <v/>
      </c>
      <c r="G5" s="42" t="str">
        <f>CONFERENCIAS!O5</f>
        <v/>
      </c>
      <c r="H5" s="42" t="str">
        <f>CONFERENCIAS!X5</f>
        <v/>
      </c>
      <c r="I5" s="42" t="str">
        <f>CONFERENCIAS!AA5</f>
        <v/>
      </c>
      <c r="J5" s="44" t="str">
        <f>CONFERENCIAS!P5</f>
        <v/>
      </c>
      <c r="K5" s="45" t="str">
        <f>CONFERENCIAS!R5</f>
        <v/>
      </c>
      <c r="L5" s="45">
        <f>IF(D5="",0,
 IF(E5=1,
   IF(H5="Presencial",
      VLOOKUP(D5,TARIFAS!A:K,3,FALSE) + IF(I5="Sí",VLOOKUP(D5,TARIFAS!A:K,5,FALSE),0),
      VLOOKUP(D5,TARIFAS!A:K,4,FALSE) + IF(I5="Sí",VLOOKUP(D5,TARIFAS!A:K,5,FALSE),0)
   ),
   IF(H5="Presencial",
      VLOOKUP(D5,TARIFAS!A:K,9,FALSE) + IF(I5="Sí",VLOOKUP(D5,TARIFAS!A:K,11,FALSE),0),
      VLOOKUP(D5,TARIFAS!A:K,10,FALSE) + IF(I5="Sí",VLOOKUP(D5,TARIFAS!A:K,11,FALSE),0)
   )
 )
)
</f>
        <v>0</v>
      </c>
      <c r="M5" s="45">
        <f>IF(J5="",0,MAX(0,J5 - TARIFAS!G$2) * TARIFAS!F$2)
</f>
        <v>0</v>
      </c>
      <c r="N5" s="45">
        <f>+L5*TARIFAS!$K$2</f>
        <v>0</v>
      </c>
      <c r="O5" s="45">
        <f t="shared" si="1"/>
        <v>0</v>
      </c>
      <c r="P5" s="45">
        <f>+M5+O5+K5+(+I5-(I5*TARIFAS!$K$2))</f>
        <v>0</v>
      </c>
      <c r="Q5" s="42" t="str">
        <f>CONFERENCIAS!T5</f>
        <v/>
      </c>
      <c r="R5" s="45" t="str">
        <f>CONFERENCIAS!U5</f>
        <v/>
      </c>
      <c r="S5" s="45" t="str">
        <f>CONFERENCIAS!W5</f>
        <v/>
      </c>
      <c r="T5" s="48">
        <f>IF(Q5="",0,
   IF(E5=1,
      IF(H5="Presencial",
         VLOOKUP(D5,TARIFAS!A:K,3,FALSE) + IF(I5="Sí",VLOOKUP(D5,TARIFAS!A:K,5,FALSE),0),
         VLOOKUP(D5,TARIFAS!A:K,4,FALSE) + IF(I5="Sí",VLOOKUP(D5,TARIFAS!A:K,5,FALSE),0)
      ),
      IF(H5="Presencial",
         VLOOKUP(D5,TARIFAS!A:K,9,FALSE) + IF(I5="Sí",VLOOKUP(D5,TARIFAS!A:K,11,FALSE),0),
         VLOOKUP(D5,TARIFAS!A:K,10,FALSE) + IF(I5="Sí",VLOOKUP(D5,TARIFAS!A:K,11,FALSE),0)
      )
   )
)
</f>
        <v>0</v>
      </c>
      <c r="U5" s="45">
        <f>IF(R5="",0,MAX(0,R5 - TARIFAS!G$2) * TARIFAS!F$2)
</f>
        <v>0</v>
      </c>
      <c r="V5" s="45">
        <f>+T5*TARIFAS!$K$2</f>
        <v>0</v>
      </c>
      <c r="W5" s="45">
        <f t="shared" si="2"/>
        <v>0</v>
      </c>
      <c r="X5" s="45">
        <f t="shared" si="3"/>
        <v>0</v>
      </c>
      <c r="Y5" s="45">
        <f t="shared" si="4"/>
        <v>0</v>
      </c>
      <c r="Z5" s="42" t="str">
        <f>CONFERENCIAS!AB5</f>
        <v/>
      </c>
      <c r="AA5" s="42" t="str">
        <f>CONFERENCIAS!AC5</f>
        <v/>
      </c>
      <c r="AB5" s="47" t="str">
        <f t="shared" si="5"/>
        <v/>
      </c>
      <c r="AC5" s="9" t="str">
        <f t="shared" si="6"/>
        <v/>
      </c>
    </row>
    <row r="6">
      <c r="A6" s="42" t="str">
        <f>CONFERENCIAS!A6</f>
        <v/>
      </c>
      <c r="D6" s="42" t="str">
        <f>CONFERENCIAS!C6</f>
        <v/>
      </c>
      <c r="E6" s="42" t="str">
        <f>CONFERENCIAS!K6</f>
        <v/>
      </c>
      <c r="F6" s="49" t="str">
        <f>CONFERENCIAS!J6</f>
        <v/>
      </c>
      <c r="G6" s="42" t="str">
        <f>CONFERENCIAS!O6</f>
        <v/>
      </c>
      <c r="H6" s="42" t="str">
        <f>CONFERENCIAS!X6</f>
        <v/>
      </c>
      <c r="I6" s="42" t="str">
        <f>CONFERENCIAS!AA6</f>
        <v/>
      </c>
      <c r="J6" s="44" t="str">
        <f>CONFERENCIAS!P6</f>
        <v/>
      </c>
      <c r="K6" s="45" t="str">
        <f>CONFERENCIAS!R6</f>
        <v/>
      </c>
      <c r="L6" s="45">
        <f>IF(D6="",0,
 IF(E6=1,
   IF(H6="Presencial",
      VLOOKUP(D6,TARIFAS!A:K,3,FALSE) + IF(I6="Sí",VLOOKUP(D6,TARIFAS!A:K,5,FALSE),0),
      VLOOKUP(D6,TARIFAS!A:K,4,FALSE) + IF(I6="Sí",VLOOKUP(D6,TARIFAS!A:K,5,FALSE),0)
   ),
   IF(H6="Presencial",
      VLOOKUP(D6,TARIFAS!A:K,9,FALSE) + IF(I6="Sí",VLOOKUP(D6,TARIFAS!A:K,11,FALSE),0),
      VLOOKUP(D6,TARIFAS!A:K,10,FALSE) + IF(I6="Sí",VLOOKUP(D6,TARIFAS!A:K,11,FALSE),0)
   )
 )
)
</f>
        <v>0</v>
      </c>
      <c r="M6" s="45">
        <f>IF(J6="",0,MAX(0,J6 - TARIFAS!G$2) * TARIFAS!F$2)
</f>
        <v>0</v>
      </c>
      <c r="N6" s="45">
        <f>+L6*TARIFAS!$K$2</f>
        <v>0</v>
      </c>
      <c r="O6" s="45">
        <f t="shared" si="1"/>
        <v>0</v>
      </c>
      <c r="P6" s="45">
        <f>+M6+O6+K6+(+I6-(I6*TARIFAS!$K$2))</f>
        <v>0</v>
      </c>
      <c r="Q6" s="42" t="str">
        <f>CONFERENCIAS!T6</f>
        <v/>
      </c>
      <c r="R6" s="45" t="str">
        <f>CONFERENCIAS!U6</f>
        <v/>
      </c>
      <c r="S6" s="45" t="str">
        <f>CONFERENCIAS!W6</f>
        <v/>
      </c>
      <c r="T6" s="48">
        <f>IF(Q6="",0,
   IF(E6=1,
      IF(H6="Presencial",
         VLOOKUP(D6,TARIFAS!A:K,3,FALSE) + IF(I6="Sí",VLOOKUP(D6,TARIFAS!A:K,5,FALSE),0),
         VLOOKUP(D6,TARIFAS!A:K,4,FALSE) + IF(I6="Sí",VLOOKUP(D6,TARIFAS!A:K,5,FALSE),0)
      ),
      IF(H6="Presencial",
         VLOOKUP(D6,TARIFAS!A:K,9,FALSE) + IF(I6="Sí",VLOOKUP(D6,TARIFAS!A:K,11,FALSE),0),
         VLOOKUP(D6,TARIFAS!A:K,10,FALSE) + IF(I6="Sí",VLOOKUP(D6,TARIFAS!A:K,11,FALSE),0)
      )
   )
)
</f>
        <v>0</v>
      </c>
      <c r="U6" s="45">
        <f>IF(R6="",0,MAX(0,R6 - TARIFAS!G$2) * TARIFAS!F$2)
</f>
        <v>0</v>
      </c>
      <c r="V6" s="45">
        <f>+T6*TARIFAS!$K$2</f>
        <v>0</v>
      </c>
      <c r="W6" s="45">
        <f t="shared" si="2"/>
        <v>0</v>
      </c>
      <c r="X6" s="45">
        <f t="shared" si="3"/>
        <v>0</v>
      </c>
      <c r="Y6" s="45">
        <f t="shared" si="4"/>
        <v>0</v>
      </c>
      <c r="Z6" s="42" t="str">
        <f>CONFERENCIAS!AB6</f>
        <v/>
      </c>
      <c r="AA6" s="42" t="str">
        <f>CONFERENCIAS!AC6</f>
        <v/>
      </c>
      <c r="AB6" s="47" t="str">
        <f t="shared" si="5"/>
        <v/>
      </c>
      <c r="AC6" s="9" t="str">
        <f t="shared" si="6"/>
        <v/>
      </c>
    </row>
    <row r="7">
      <c r="A7" s="42" t="str">
        <f>CONFERENCIAS!A7</f>
        <v/>
      </c>
      <c r="D7" s="42" t="str">
        <f>CONFERENCIAS!C7</f>
        <v/>
      </c>
      <c r="E7" s="42" t="str">
        <f>CONFERENCIAS!K7</f>
        <v/>
      </c>
      <c r="F7" s="49" t="str">
        <f>CONFERENCIAS!J7</f>
        <v/>
      </c>
      <c r="G7" s="42" t="str">
        <f>CONFERENCIAS!O7</f>
        <v/>
      </c>
      <c r="H7" s="42" t="str">
        <f>CONFERENCIAS!X7</f>
        <v/>
      </c>
      <c r="I7" s="42" t="str">
        <f>CONFERENCIAS!AA7</f>
        <v/>
      </c>
      <c r="J7" s="44" t="str">
        <f>CONFERENCIAS!P7</f>
        <v/>
      </c>
      <c r="K7" s="45" t="str">
        <f>CONFERENCIAS!R7</f>
        <v/>
      </c>
      <c r="L7" s="45">
        <f>IF(D7="",0,
 IF(E7=1,
   IF(H7="Presencial",
      VLOOKUP(D7,TARIFAS!A:K,3,FALSE) + IF(I7="Sí",VLOOKUP(D7,TARIFAS!A:K,5,FALSE),0),
      VLOOKUP(D7,TARIFAS!A:K,4,FALSE) + IF(I7="Sí",VLOOKUP(D7,TARIFAS!A:K,5,FALSE),0)
   ),
   IF(H7="Presencial",
      VLOOKUP(D7,TARIFAS!A:K,9,FALSE) + IF(I7="Sí",VLOOKUP(D7,TARIFAS!A:K,11,FALSE),0),
      VLOOKUP(D7,TARIFAS!A:K,10,FALSE) + IF(I7="Sí",VLOOKUP(D7,TARIFAS!A:K,11,FALSE),0)
   )
 )
)
</f>
        <v>0</v>
      </c>
      <c r="M7" s="45">
        <f>IF(J7="",0,MAX(0,J7 - TARIFAS!G$2) * TARIFAS!F$2)
</f>
        <v>0</v>
      </c>
      <c r="N7" s="45">
        <f>+L7*TARIFAS!$K$2</f>
        <v>0</v>
      </c>
      <c r="O7" s="45">
        <f t="shared" si="1"/>
        <v>0</v>
      </c>
      <c r="P7" s="45">
        <f>+M7+O7+K7+(+I7-(I7*TARIFAS!$K$2))</f>
        <v>0</v>
      </c>
      <c r="Q7" s="42" t="str">
        <f>CONFERENCIAS!T7</f>
        <v/>
      </c>
      <c r="R7" s="45" t="str">
        <f>CONFERENCIAS!U7</f>
        <v/>
      </c>
      <c r="S7" s="45" t="str">
        <f>CONFERENCIAS!W7</f>
        <v/>
      </c>
      <c r="T7" s="48">
        <f>IF(Q7="",0,
   IF(E7=1,
      IF(H7="Presencial",
         VLOOKUP(D7,TARIFAS!A:K,3,FALSE) + IF(I7="Sí",VLOOKUP(D7,TARIFAS!A:K,5,FALSE),0),
         VLOOKUP(D7,TARIFAS!A:K,4,FALSE) + IF(I7="Sí",VLOOKUP(D7,TARIFAS!A:K,5,FALSE),0)
      ),
      IF(H7="Presencial",
         VLOOKUP(D7,TARIFAS!A:K,9,FALSE) + IF(I7="Sí",VLOOKUP(D7,TARIFAS!A:K,11,FALSE),0),
         VLOOKUP(D7,TARIFAS!A:K,10,FALSE) + IF(I7="Sí",VLOOKUP(D7,TARIFAS!A:K,11,FALSE),0)
      )
   )
)
</f>
        <v>0</v>
      </c>
      <c r="U7" s="45">
        <f>IF(R7="",0,MAX(0,R7 - TARIFAS!G$2) * TARIFAS!F$2)
</f>
        <v>0</v>
      </c>
      <c r="V7" s="45">
        <f>+T7*TARIFAS!$K$2</f>
        <v>0</v>
      </c>
      <c r="W7" s="45">
        <f t="shared" si="2"/>
        <v>0</v>
      </c>
      <c r="X7" s="45">
        <f t="shared" si="3"/>
        <v>0</v>
      </c>
      <c r="Y7" s="45">
        <f t="shared" si="4"/>
        <v>0</v>
      </c>
      <c r="Z7" s="42" t="str">
        <f>CONFERENCIAS!AB7</f>
        <v/>
      </c>
      <c r="AA7" s="42" t="str">
        <f>CONFERENCIAS!AC7</f>
        <v/>
      </c>
      <c r="AB7" s="47" t="str">
        <f t="shared" si="5"/>
        <v/>
      </c>
      <c r="AC7" s="9" t="str">
        <f t="shared" si="6"/>
        <v/>
      </c>
    </row>
    <row r="8">
      <c r="A8" s="42" t="str">
        <f>CONFERENCIAS!A8</f>
        <v/>
      </c>
      <c r="D8" s="42" t="str">
        <f>CONFERENCIAS!C8</f>
        <v/>
      </c>
      <c r="E8" s="42" t="str">
        <f>CONFERENCIAS!K8</f>
        <v/>
      </c>
      <c r="F8" s="49" t="str">
        <f>CONFERENCIAS!J8</f>
        <v/>
      </c>
      <c r="G8" s="42" t="str">
        <f>CONFERENCIAS!O8</f>
        <v/>
      </c>
      <c r="H8" s="42" t="str">
        <f>CONFERENCIAS!X8</f>
        <v/>
      </c>
      <c r="I8" s="42" t="str">
        <f>CONFERENCIAS!AA8</f>
        <v/>
      </c>
      <c r="J8" s="44" t="str">
        <f>CONFERENCIAS!P8</f>
        <v/>
      </c>
      <c r="K8" s="45" t="str">
        <f>CONFERENCIAS!R8</f>
        <v/>
      </c>
      <c r="L8" s="45">
        <f>IF(D8="",0,
 IF(E8=1,
   IF(H8="Presencial",
      VLOOKUP(D8,TARIFAS!A:K,3,FALSE) + IF(I8="Sí",VLOOKUP(D8,TARIFAS!A:K,5,FALSE),0),
      VLOOKUP(D8,TARIFAS!A:K,4,FALSE) + IF(I8="Sí",VLOOKUP(D8,TARIFAS!A:K,5,FALSE),0)
   ),
   IF(H8="Presencial",
      VLOOKUP(D8,TARIFAS!A:K,9,FALSE) + IF(I8="Sí",VLOOKUP(D8,TARIFAS!A:K,11,FALSE),0),
      VLOOKUP(D8,TARIFAS!A:K,10,FALSE) + IF(I8="Sí",VLOOKUP(D8,TARIFAS!A:K,11,FALSE),0)
   )
 )
)
</f>
        <v>0</v>
      </c>
      <c r="M8" s="45">
        <f>IF(J8="",0,MAX(0,J8 - TARIFAS!G$2) * TARIFAS!F$2)
</f>
        <v>0</v>
      </c>
      <c r="N8" s="45">
        <f>+L8*TARIFAS!$K$2</f>
        <v>0</v>
      </c>
      <c r="O8" s="45">
        <f t="shared" si="1"/>
        <v>0</v>
      </c>
      <c r="P8" s="45">
        <f>+M8+O8+K8+(+I8-(I8*TARIFAS!$K$2))</f>
        <v>0</v>
      </c>
      <c r="Q8" s="42" t="str">
        <f>CONFERENCIAS!T8</f>
        <v/>
      </c>
      <c r="R8" s="45" t="str">
        <f>CONFERENCIAS!U8</f>
        <v/>
      </c>
      <c r="S8" s="45" t="str">
        <f>CONFERENCIAS!W8</f>
        <v/>
      </c>
      <c r="T8" s="48">
        <f>IF(Q8="",0,
   IF(E8=1,
      IF(H8="Presencial",
         VLOOKUP(D8,TARIFAS!A:K,3,FALSE) + IF(I8="Sí",VLOOKUP(D8,TARIFAS!A:K,5,FALSE),0),
         VLOOKUP(D8,TARIFAS!A:K,4,FALSE) + IF(I8="Sí",VLOOKUP(D8,TARIFAS!A:K,5,FALSE),0)
      ),
      IF(H8="Presencial",
         VLOOKUP(D8,TARIFAS!A:K,9,FALSE) + IF(I8="Sí",VLOOKUP(D8,TARIFAS!A:K,11,FALSE),0),
         VLOOKUP(D8,TARIFAS!A:K,10,FALSE) + IF(I8="Sí",VLOOKUP(D8,TARIFAS!A:K,11,FALSE),0)
      )
   )
)
</f>
        <v>0</v>
      </c>
      <c r="U8" s="45">
        <f>IF(R8="",0,MAX(0,R8 - TARIFAS!G$2) * TARIFAS!F$2)
</f>
        <v>0</v>
      </c>
      <c r="V8" s="45">
        <f>+T8*TARIFAS!$K$2</f>
        <v>0</v>
      </c>
      <c r="W8" s="45">
        <f t="shared" si="2"/>
        <v>0</v>
      </c>
      <c r="X8" s="45">
        <f t="shared" si="3"/>
        <v>0</v>
      </c>
      <c r="Y8" s="45">
        <f t="shared" si="4"/>
        <v>0</v>
      </c>
      <c r="Z8" s="42" t="str">
        <f>CONFERENCIAS!AB8</f>
        <v/>
      </c>
      <c r="AA8" s="42" t="str">
        <f>CONFERENCIAS!AC8</f>
        <v/>
      </c>
      <c r="AB8" s="47" t="str">
        <f t="shared" si="5"/>
        <v/>
      </c>
      <c r="AC8" s="9" t="str">
        <f t="shared" si="6"/>
        <v/>
      </c>
    </row>
    <row r="9">
      <c r="A9" s="42" t="str">
        <f>CONFERENCIAS!A9</f>
        <v/>
      </c>
      <c r="D9" s="42" t="str">
        <f>CONFERENCIAS!C9</f>
        <v/>
      </c>
      <c r="E9" s="42" t="str">
        <f>CONFERENCIAS!K9</f>
        <v/>
      </c>
      <c r="F9" s="49" t="str">
        <f>CONFERENCIAS!J9</f>
        <v/>
      </c>
      <c r="G9" s="42" t="str">
        <f>CONFERENCIAS!O9</f>
        <v/>
      </c>
      <c r="H9" s="42" t="str">
        <f>CONFERENCIAS!X9</f>
        <v/>
      </c>
      <c r="I9" s="42" t="str">
        <f>CONFERENCIAS!AA9</f>
        <v/>
      </c>
      <c r="J9" s="44" t="str">
        <f>CONFERENCIAS!P9</f>
        <v/>
      </c>
      <c r="K9" s="45" t="str">
        <f>CONFERENCIAS!R9</f>
        <v/>
      </c>
      <c r="L9" s="45">
        <f>IF(D9="",0,
 IF(E9=1,
   IF(H9="Presencial",
      VLOOKUP(D9,TARIFAS!A:K,3,FALSE) + IF(I9="Sí",VLOOKUP(D9,TARIFAS!A:K,5,FALSE),0),
      VLOOKUP(D9,TARIFAS!A:K,4,FALSE) + IF(I9="Sí",VLOOKUP(D9,TARIFAS!A:K,5,FALSE),0)
   ),
   IF(H9="Presencial",
      VLOOKUP(D9,TARIFAS!A:K,9,FALSE) + IF(I9="Sí",VLOOKUP(D9,TARIFAS!A:K,11,FALSE),0),
      VLOOKUP(D9,TARIFAS!A:K,10,FALSE) + IF(I9="Sí",VLOOKUP(D9,TARIFAS!A:K,11,FALSE),0)
   )
 )
)
</f>
        <v>0</v>
      </c>
      <c r="M9" s="45">
        <f>IF(J9="",0,MAX(0,J9 - TARIFAS!G$2) * TARIFAS!F$2)
</f>
        <v>0</v>
      </c>
      <c r="N9" s="45">
        <f>+L9*TARIFAS!$K$2</f>
        <v>0</v>
      </c>
      <c r="O9" s="45">
        <f t="shared" si="1"/>
        <v>0</v>
      </c>
      <c r="P9" s="45">
        <f>+M9+O9+K9+(+I9-(I9*TARIFAS!$K$2))</f>
        <v>0</v>
      </c>
      <c r="Q9" s="42" t="str">
        <f>CONFERENCIAS!T9</f>
        <v/>
      </c>
      <c r="R9" s="45" t="str">
        <f>CONFERENCIAS!U9</f>
        <v/>
      </c>
      <c r="S9" s="45" t="str">
        <f>CONFERENCIAS!W9</f>
        <v/>
      </c>
      <c r="T9" s="48">
        <f>IF(Q9="",0,
   IF(E9=1,
      IF(H9="Presencial",
         VLOOKUP(D9,TARIFAS!A:K,3,FALSE) + IF(I9="Sí",VLOOKUP(D9,TARIFAS!A:K,5,FALSE),0),
         VLOOKUP(D9,TARIFAS!A:K,4,FALSE) + IF(I9="Sí",VLOOKUP(D9,TARIFAS!A:K,5,FALSE),0)
      ),
      IF(H9="Presencial",
         VLOOKUP(D9,TARIFAS!A:K,9,FALSE) + IF(I9="Sí",VLOOKUP(D9,TARIFAS!A:K,11,FALSE),0),
         VLOOKUP(D9,TARIFAS!A:K,10,FALSE) + IF(I9="Sí",VLOOKUP(D9,TARIFAS!A:K,11,FALSE),0)
      )
   )
)
</f>
        <v>0</v>
      </c>
      <c r="U9" s="45">
        <f>IF(R9="",0,MAX(0,R9 - TARIFAS!G$2) * TARIFAS!F$2)
</f>
        <v>0</v>
      </c>
      <c r="V9" s="45">
        <f>+T9*TARIFAS!$K$2</f>
        <v>0</v>
      </c>
      <c r="W9" s="45">
        <f t="shared" si="2"/>
        <v>0</v>
      </c>
      <c r="X9" s="45">
        <f t="shared" si="3"/>
        <v>0</v>
      </c>
      <c r="Y9" s="45">
        <f t="shared" si="4"/>
        <v>0</v>
      </c>
      <c r="Z9" s="42" t="str">
        <f>CONFERENCIAS!AB9</f>
        <v/>
      </c>
      <c r="AA9" s="42" t="str">
        <f>CONFERENCIAS!AC9</f>
        <v/>
      </c>
      <c r="AB9" s="47" t="str">
        <f t="shared" si="5"/>
        <v/>
      </c>
      <c r="AC9" s="9" t="str">
        <f t="shared" si="6"/>
        <v/>
      </c>
    </row>
    <row r="10">
      <c r="A10" s="42" t="str">
        <f>CONFERENCIAS!A10</f>
        <v/>
      </c>
      <c r="D10" s="42" t="str">
        <f>CONFERENCIAS!C10</f>
        <v/>
      </c>
      <c r="E10" s="42" t="str">
        <f>CONFERENCIAS!K10</f>
        <v/>
      </c>
      <c r="F10" s="49" t="str">
        <f>CONFERENCIAS!J10</f>
        <v/>
      </c>
      <c r="G10" s="42" t="str">
        <f>CONFERENCIAS!O10</f>
        <v/>
      </c>
      <c r="H10" s="42" t="str">
        <f>CONFERENCIAS!X10</f>
        <v/>
      </c>
      <c r="I10" s="42" t="str">
        <f>CONFERENCIAS!AA10</f>
        <v/>
      </c>
      <c r="J10" s="44" t="str">
        <f>CONFERENCIAS!P10</f>
        <v/>
      </c>
      <c r="K10" s="45" t="str">
        <f>CONFERENCIAS!R10</f>
        <v/>
      </c>
      <c r="L10" s="45">
        <f>IF(D10="",0,
 IF(E10=1,
   IF(H10="Presencial",
      VLOOKUP(D10,TARIFAS!A:K,3,FALSE) + IF(I10="Sí",VLOOKUP(D10,TARIFAS!A:K,5,FALSE),0),
      VLOOKUP(D10,TARIFAS!A:K,4,FALSE) + IF(I10="Sí",VLOOKUP(D10,TARIFAS!A:K,5,FALSE),0)
   ),
   IF(H10="Presencial",
      VLOOKUP(D10,TARIFAS!A:K,9,FALSE) + IF(I10="Sí",VLOOKUP(D10,TARIFAS!A:K,11,FALSE),0),
      VLOOKUP(D10,TARIFAS!A:K,10,FALSE) + IF(I10="Sí",VLOOKUP(D10,TARIFAS!A:K,11,FALSE),0)
   )
 )
)
</f>
        <v>0</v>
      </c>
      <c r="M10" s="45">
        <f>IF(J10="",0,MAX(0,J10 - TARIFAS!G$2) * TARIFAS!F$2)
</f>
        <v>0</v>
      </c>
      <c r="N10" s="45">
        <f>+L10*TARIFAS!$K$2</f>
        <v>0</v>
      </c>
      <c r="O10" s="45">
        <f t="shared" si="1"/>
        <v>0</v>
      </c>
      <c r="P10" s="45">
        <f>+M10+O10+K10+(+I10-(I10*TARIFAS!$K$2))</f>
        <v>0</v>
      </c>
      <c r="Q10" s="42" t="str">
        <f>CONFERENCIAS!T10</f>
        <v/>
      </c>
      <c r="R10" s="45" t="str">
        <f>CONFERENCIAS!U10</f>
        <v/>
      </c>
      <c r="S10" s="45" t="str">
        <f>CONFERENCIAS!W10</f>
        <v/>
      </c>
      <c r="T10" s="48">
        <f>IF(Q10="",0,
   IF(E10=1,
      IF(H10="Presencial",
         VLOOKUP(D10,TARIFAS!A:K,3,FALSE) + IF(I10="Sí",VLOOKUP(D10,TARIFAS!A:K,5,FALSE),0),
         VLOOKUP(D10,TARIFAS!A:K,4,FALSE) + IF(I10="Sí",VLOOKUP(D10,TARIFAS!A:K,5,FALSE),0)
      ),
      IF(H10="Presencial",
         VLOOKUP(D10,TARIFAS!A:K,9,FALSE) + IF(I10="Sí",VLOOKUP(D10,TARIFAS!A:K,11,FALSE),0),
         VLOOKUP(D10,TARIFAS!A:K,10,FALSE) + IF(I10="Sí",VLOOKUP(D10,TARIFAS!A:K,11,FALSE),0)
      )
   )
)
</f>
        <v>0</v>
      </c>
      <c r="U10" s="45">
        <f>IF(R10="",0,MAX(0,R10 - TARIFAS!G$2) * TARIFAS!F$2)
</f>
        <v>0</v>
      </c>
      <c r="V10" s="45">
        <f>+T10*TARIFAS!$K$2</f>
        <v>0</v>
      </c>
      <c r="W10" s="45">
        <f t="shared" si="2"/>
        <v>0</v>
      </c>
      <c r="X10" s="45">
        <f t="shared" si="3"/>
        <v>0</v>
      </c>
      <c r="Y10" s="45">
        <f t="shared" si="4"/>
        <v>0</v>
      </c>
      <c r="Z10" s="42" t="str">
        <f>CONFERENCIAS!AB10</f>
        <v/>
      </c>
      <c r="AA10" s="42" t="str">
        <f>CONFERENCIAS!AC10</f>
        <v/>
      </c>
      <c r="AB10" s="47" t="str">
        <f t="shared" si="5"/>
        <v/>
      </c>
      <c r="AC10" s="9" t="str">
        <f t="shared" si="6"/>
        <v/>
      </c>
    </row>
    <row r="11">
      <c r="A11" s="42" t="str">
        <f>CONFERENCIAS!A11</f>
        <v/>
      </c>
      <c r="D11" s="42" t="str">
        <f>CONFERENCIAS!C11</f>
        <v/>
      </c>
      <c r="E11" s="42" t="str">
        <f>CONFERENCIAS!K11</f>
        <v/>
      </c>
      <c r="F11" s="49" t="str">
        <f>CONFERENCIAS!J11</f>
        <v/>
      </c>
      <c r="G11" s="42" t="str">
        <f>CONFERENCIAS!O11</f>
        <v/>
      </c>
      <c r="H11" s="42" t="str">
        <f>CONFERENCIAS!X11</f>
        <v/>
      </c>
      <c r="I11" s="42" t="str">
        <f>CONFERENCIAS!AA11</f>
        <v/>
      </c>
      <c r="J11" s="44" t="str">
        <f>CONFERENCIAS!P11</f>
        <v/>
      </c>
      <c r="K11" s="45" t="str">
        <f>CONFERENCIAS!R11</f>
        <v/>
      </c>
      <c r="L11" s="45">
        <f>IF(D11="",0,
 IF(E11=1,
   IF(H11="Presencial",
      VLOOKUP(D11,TARIFAS!A:K,3,FALSE) + IF(I11="Sí",VLOOKUP(D11,TARIFAS!A:K,5,FALSE),0),
      VLOOKUP(D11,TARIFAS!A:K,4,FALSE) + IF(I11="Sí",VLOOKUP(D11,TARIFAS!A:K,5,FALSE),0)
   ),
   IF(H11="Presencial",
      VLOOKUP(D11,TARIFAS!A:K,9,FALSE) + IF(I11="Sí",VLOOKUP(D11,TARIFAS!A:K,11,FALSE),0),
      VLOOKUP(D11,TARIFAS!A:K,10,FALSE) + IF(I11="Sí",VLOOKUP(D11,TARIFAS!A:K,11,FALSE),0)
   )
 )
)
</f>
        <v>0</v>
      </c>
      <c r="M11" s="45">
        <f>IF(J11="",0,MAX(0,J11 - TARIFAS!G$2) * TARIFAS!F$2)
</f>
        <v>0</v>
      </c>
      <c r="N11" s="45">
        <f>+L11*TARIFAS!$K$2</f>
        <v>0</v>
      </c>
      <c r="O11" s="45">
        <f t="shared" si="1"/>
        <v>0</v>
      </c>
      <c r="P11" s="45">
        <f>+M11+O11+K11+(+I11-(I11*TARIFAS!$K$2))</f>
        <v>0</v>
      </c>
      <c r="Q11" s="42" t="str">
        <f>CONFERENCIAS!T11</f>
        <v/>
      </c>
      <c r="R11" s="45" t="str">
        <f>CONFERENCIAS!U11</f>
        <v/>
      </c>
      <c r="S11" s="45" t="str">
        <f>CONFERENCIAS!W11</f>
        <v/>
      </c>
      <c r="T11" s="48">
        <f>IF(Q11="",0,
   IF(E11=1,
      IF(H11="Presencial",
         VLOOKUP(D11,TARIFAS!A:K,3,FALSE) + IF(I11="Sí",VLOOKUP(D11,TARIFAS!A:K,5,FALSE),0),
         VLOOKUP(D11,TARIFAS!A:K,4,FALSE) + IF(I11="Sí",VLOOKUP(D11,TARIFAS!A:K,5,FALSE),0)
      ),
      IF(H11="Presencial",
         VLOOKUP(D11,TARIFAS!A:K,9,FALSE) + IF(I11="Sí",VLOOKUP(D11,TARIFAS!A:K,11,FALSE),0),
         VLOOKUP(D11,TARIFAS!A:K,10,FALSE) + IF(I11="Sí",VLOOKUP(D11,TARIFAS!A:K,11,FALSE),0)
      )
   )
)
</f>
        <v>0</v>
      </c>
      <c r="U11" s="45">
        <f>IF(R11="",0,MAX(0,R11 - TARIFAS!G$2) * TARIFAS!F$2)
</f>
        <v>0</v>
      </c>
      <c r="V11" s="45">
        <f>+T11*TARIFAS!$K$2</f>
        <v>0</v>
      </c>
      <c r="W11" s="45">
        <f t="shared" si="2"/>
        <v>0</v>
      </c>
      <c r="X11" s="45">
        <f t="shared" si="3"/>
        <v>0</v>
      </c>
      <c r="Y11" s="45">
        <f t="shared" si="4"/>
        <v>0</v>
      </c>
      <c r="Z11" s="42" t="str">
        <f>CONFERENCIAS!AB11</f>
        <v/>
      </c>
      <c r="AA11" s="42" t="str">
        <f>CONFERENCIAS!AC11</f>
        <v/>
      </c>
      <c r="AB11" s="47" t="str">
        <f t="shared" si="5"/>
        <v/>
      </c>
      <c r="AC11" s="9" t="str">
        <f t="shared" si="6"/>
        <v/>
      </c>
    </row>
    <row r="12">
      <c r="A12" s="42" t="str">
        <f>CONFERENCIAS!A12</f>
        <v/>
      </c>
      <c r="D12" s="42" t="str">
        <f>CONFERENCIAS!C12</f>
        <v/>
      </c>
      <c r="E12" s="42" t="str">
        <f>CONFERENCIAS!K12</f>
        <v/>
      </c>
      <c r="F12" s="49" t="str">
        <f>CONFERENCIAS!J12</f>
        <v/>
      </c>
      <c r="G12" s="42" t="str">
        <f>CONFERENCIAS!O12</f>
        <v/>
      </c>
      <c r="H12" s="42" t="str">
        <f>CONFERENCIAS!X12</f>
        <v/>
      </c>
      <c r="I12" s="42" t="str">
        <f>CONFERENCIAS!AA12</f>
        <v/>
      </c>
      <c r="J12" s="44" t="str">
        <f>CONFERENCIAS!P12</f>
        <v/>
      </c>
      <c r="K12" s="45" t="str">
        <f>CONFERENCIAS!R12</f>
        <v/>
      </c>
      <c r="L12" s="45">
        <f>IF(D12="",0,
 IF(E12=1,
   IF(H12="Presencial",
      VLOOKUP(D12,TARIFAS!A:K,3,FALSE) + IF(I12="Sí",VLOOKUP(D12,TARIFAS!A:K,5,FALSE),0),
      VLOOKUP(D12,TARIFAS!A:K,4,FALSE) + IF(I12="Sí",VLOOKUP(D12,TARIFAS!A:K,5,FALSE),0)
   ),
   IF(H12="Presencial",
      VLOOKUP(D12,TARIFAS!A:K,9,FALSE) + IF(I12="Sí",VLOOKUP(D12,TARIFAS!A:K,11,FALSE),0),
      VLOOKUP(D12,TARIFAS!A:K,10,FALSE) + IF(I12="Sí",VLOOKUP(D12,TARIFAS!A:K,11,FALSE),0)
   )
 )
)
</f>
        <v>0</v>
      </c>
      <c r="M12" s="45">
        <f>IF(J12="",0,MAX(0,J12 - TARIFAS!G$2) * TARIFAS!F$2)
</f>
        <v>0</v>
      </c>
      <c r="N12" s="45">
        <f>+L12*TARIFAS!$K$2</f>
        <v>0</v>
      </c>
      <c r="O12" s="45">
        <f t="shared" si="1"/>
        <v>0</v>
      </c>
      <c r="P12" s="45">
        <f>+M12+O12+K12+(+I12-(I12*TARIFAS!$K$2))</f>
        <v>0</v>
      </c>
      <c r="Q12" s="42" t="str">
        <f>CONFERENCIAS!T12</f>
        <v/>
      </c>
      <c r="R12" s="45" t="str">
        <f>CONFERENCIAS!U12</f>
        <v/>
      </c>
      <c r="S12" s="45" t="str">
        <f>CONFERENCIAS!W12</f>
        <v/>
      </c>
      <c r="T12" s="48">
        <f>IF(Q12="",0,
   IF(E12=1,
      IF(H12="Presencial",
         VLOOKUP(D12,TARIFAS!A:K,3,FALSE) + IF(I12="Sí",VLOOKUP(D12,TARIFAS!A:K,5,FALSE),0),
         VLOOKUP(D12,TARIFAS!A:K,4,FALSE) + IF(I12="Sí",VLOOKUP(D12,TARIFAS!A:K,5,FALSE),0)
      ),
      IF(H12="Presencial",
         VLOOKUP(D12,TARIFAS!A:K,9,FALSE) + IF(I12="Sí",VLOOKUP(D12,TARIFAS!A:K,11,FALSE),0),
         VLOOKUP(D12,TARIFAS!A:K,10,FALSE) + IF(I12="Sí",VLOOKUP(D12,TARIFAS!A:K,11,FALSE),0)
      )
   )
)
</f>
        <v>0</v>
      </c>
      <c r="U12" s="45">
        <f>IF(R12="",0,MAX(0,R12 - TARIFAS!G$2) * TARIFAS!F$2)
</f>
        <v>0</v>
      </c>
      <c r="V12" s="45">
        <f>+T12*TARIFAS!$K$2</f>
        <v>0</v>
      </c>
      <c r="W12" s="45">
        <f t="shared" si="2"/>
        <v>0</v>
      </c>
      <c r="X12" s="45">
        <f t="shared" si="3"/>
        <v>0</v>
      </c>
      <c r="Y12" s="45">
        <f t="shared" si="4"/>
        <v>0</v>
      </c>
      <c r="Z12" s="42" t="str">
        <f>CONFERENCIAS!AB12</f>
        <v/>
      </c>
      <c r="AA12" s="42" t="str">
        <f>CONFERENCIAS!AC12</f>
        <v/>
      </c>
      <c r="AB12" s="47" t="str">
        <f t="shared" si="5"/>
        <v/>
      </c>
      <c r="AC12" s="9" t="str">
        <f t="shared" si="6"/>
        <v/>
      </c>
    </row>
    <row r="13">
      <c r="A13" s="42" t="str">
        <f>CONFERENCIAS!A13</f>
        <v/>
      </c>
      <c r="D13" s="42" t="str">
        <f>CONFERENCIAS!C13</f>
        <v/>
      </c>
      <c r="E13" s="42" t="str">
        <f>CONFERENCIAS!K13</f>
        <v/>
      </c>
      <c r="F13" s="49" t="str">
        <f>CONFERENCIAS!J13</f>
        <v/>
      </c>
      <c r="G13" s="42" t="str">
        <f>CONFERENCIAS!O13</f>
        <v/>
      </c>
      <c r="H13" s="42" t="str">
        <f>CONFERENCIAS!X13</f>
        <v/>
      </c>
      <c r="I13" s="42" t="str">
        <f>CONFERENCIAS!AA13</f>
        <v/>
      </c>
      <c r="J13" s="44" t="str">
        <f>CONFERENCIAS!P13</f>
        <v/>
      </c>
      <c r="K13" s="45" t="str">
        <f>CONFERENCIAS!R13</f>
        <v/>
      </c>
      <c r="L13" s="45">
        <f>IF(D13="",0,
 IF(E13=1,
   IF(H13="Presencial",
      VLOOKUP(D13,TARIFAS!A:K,3,FALSE) + IF(I13="Sí",VLOOKUP(D13,TARIFAS!A:K,5,FALSE),0),
      VLOOKUP(D13,TARIFAS!A:K,4,FALSE) + IF(I13="Sí",VLOOKUP(D13,TARIFAS!A:K,5,FALSE),0)
   ),
   IF(H13="Presencial",
      VLOOKUP(D13,TARIFAS!A:K,9,FALSE) + IF(I13="Sí",VLOOKUP(D13,TARIFAS!A:K,11,FALSE),0),
      VLOOKUP(D13,TARIFAS!A:K,10,FALSE) + IF(I13="Sí",VLOOKUP(D13,TARIFAS!A:K,11,FALSE),0)
   )
 )
)
</f>
        <v>0</v>
      </c>
      <c r="M13" s="45">
        <f>IF(J13="",0,MAX(0,J13 - TARIFAS!G$2) * TARIFAS!F$2)
</f>
        <v>0</v>
      </c>
      <c r="N13" s="45">
        <f>+L13*TARIFAS!$K$2</f>
        <v>0</v>
      </c>
      <c r="O13" s="45">
        <f t="shared" si="1"/>
        <v>0</v>
      </c>
      <c r="P13" s="45">
        <f>+M13+O13+K13+(+I13-(I13*TARIFAS!$K$2))</f>
        <v>0</v>
      </c>
      <c r="Q13" s="42" t="str">
        <f>CONFERENCIAS!T13</f>
        <v/>
      </c>
      <c r="R13" s="45" t="str">
        <f>CONFERENCIAS!U13</f>
        <v/>
      </c>
      <c r="S13" s="45" t="str">
        <f>CONFERENCIAS!W13</f>
        <v/>
      </c>
      <c r="T13" s="48">
        <f>IF(Q13="",0,
   IF(E13=1,
      IF(H13="Presencial",
         VLOOKUP(D13,TARIFAS!A:K,3,FALSE) + IF(I13="Sí",VLOOKUP(D13,TARIFAS!A:K,5,FALSE),0),
         VLOOKUP(D13,TARIFAS!A:K,4,FALSE) + IF(I13="Sí",VLOOKUP(D13,TARIFAS!A:K,5,FALSE),0)
      ),
      IF(H13="Presencial",
         VLOOKUP(D13,TARIFAS!A:K,9,FALSE) + IF(I13="Sí",VLOOKUP(D13,TARIFAS!A:K,11,FALSE),0),
         VLOOKUP(D13,TARIFAS!A:K,10,FALSE) + IF(I13="Sí",VLOOKUP(D13,TARIFAS!A:K,11,FALSE),0)
      )
   )
)
</f>
        <v>0</v>
      </c>
      <c r="U13" s="45">
        <f>IF(R13="",0,MAX(0,R13 - TARIFAS!G$2) * TARIFAS!F$2)
</f>
        <v>0</v>
      </c>
      <c r="V13" s="45">
        <f>+T13*TARIFAS!$K$2</f>
        <v>0</v>
      </c>
      <c r="W13" s="45">
        <f t="shared" si="2"/>
        <v>0</v>
      </c>
      <c r="X13" s="45">
        <f t="shared" si="3"/>
        <v>0</v>
      </c>
      <c r="Y13" s="45">
        <f t="shared" si="4"/>
        <v>0</v>
      </c>
      <c r="Z13" s="42" t="str">
        <f>CONFERENCIAS!AB13</f>
        <v/>
      </c>
      <c r="AA13" s="42" t="str">
        <f>CONFERENCIAS!AC13</f>
        <v/>
      </c>
      <c r="AB13" s="47" t="str">
        <f t="shared" si="5"/>
        <v/>
      </c>
      <c r="AC13" s="9" t="str">
        <f t="shared" si="6"/>
        <v/>
      </c>
    </row>
    <row r="14">
      <c r="A14" s="42" t="str">
        <f>CONFERENCIAS!A14</f>
        <v/>
      </c>
      <c r="D14" s="42" t="str">
        <f>CONFERENCIAS!C14</f>
        <v/>
      </c>
      <c r="E14" s="42" t="str">
        <f>CONFERENCIAS!K14</f>
        <v/>
      </c>
      <c r="F14" s="49" t="str">
        <f>CONFERENCIAS!J14</f>
        <v/>
      </c>
      <c r="G14" s="42" t="str">
        <f>CONFERENCIAS!O14</f>
        <v/>
      </c>
      <c r="H14" s="42" t="str">
        <f>CONFERENCIAS!X14</f>
        <v/>
      </c>
      <c r="I14" s="42" t="str">
        <f>CONFERENCIAS!AA14</f>
        <v/>
      </c>
      <c r="J14" s="44" t="str">
        <f>CONFERENCIAS!P14</f>
        <v/>
      </c>
      <c r="K14" s="45" t="str">
        <f>CONFERENCIAS!R14</f>
        <v/>
      </c>
      <c r="L14" s="45">
        <f>IF(D14="",0,
 IF(E14=1,
   IF(H14="Presencial",
      VLOOKUP(D14,TARIFAS!A:K,3,FALSE) + IF(I14="Sí",VLOOKUP(D14,TARIFAS!A:K,5,FALSE),0),
      VLOOKUP(D14,TARIFAS!A:K,4,FALSE) + IF(I14="Sí",VLOOKUP(D14,TARIFAS!A:K,5,FALSE),0)
   ),
   IF(H14="Presencial",
      VLOOKUP(D14,TARIFAS!A:K,9,FALSE) + IF(I14="Sí",VLOOKUP(D14,TARIFAS!A:K,11,FALSE),0),
      VLOOKUP(D14,TARIFAS!A:K,10,FALSE) + IF(I14="Sí",VLOOKUP(D14,TARIFAS!A:K,11,FALSE),0)
   )
 )
)
</f>
        <v>0</v>
      </c>
      <c r="M14" s="45">
        <f>IF(J14="",0,MAX(0,J14 - TARIFAS!G$2) * TARIFAS!F$2)
</f>
        <v>0</v>
      </c>
      <c r="N14" s="45">
        <f>+L14*TARIFAS!$K$2</f>
        <v>0</v>
      </c>
      <c r="O14" s="45">
        <f t="shared" si="1"/>
        <v>0</v>
      </c>
      <c r="P14" s="45">
        <f>+M14+O14+K14+(+I14-(I14*TARIFAS!$K$2))</f>
        <v>0</v>
      </c>
      <c r="Q14" s="42" t="str">
        <f>CONFERENCIAS!T14</f>
        <v/>
      </c>
      <c r="R14" s="45" t="str">
        <f>CONFERENCIAS!U14</f>
        <v/>
      </c>
      <c r="S14" s="45" t="str">
        <f>CONFERENCIAS!W14</f>
        <v/>
      </c>
      <c r="T14" s="48">
        <f>IF(Q14="",0,
   IF(E14=1,
      IF(H14="Presencial",
         VLOOKUP(D14,TARIFAS!A:K,3,FALSE) + IF(I14="Sí",VLOOKUP(D14,TARIFAS!A:K,5,FALSE),0),
         VLOOKUP(D14,TARIFAS!A:K,4,FALSE) + IF(I14="Sí",VLOOKUP(D14,TARIFAS!A:K,5,FALSE),0)
      ),
      IF(H14="Presencial",
         VLOOKUP(D14,TARIFAS!A:K,9,FALSE) + IF(I14="Sí",VLOOKUP(D14,TARIFAS!A:K,11,FALSE),0),
         VLOOKUP(D14,TARIFAS!A:K,10,FALSE) + IF(I14="Sí",VLOOKUP(D14,TARIFAS!A:K,11,FALSE),0)
      )
   )
)
</f>
        <v>0</v>
      </c>
      <c r="U14" s="45">
        <f>IF(R14="",0,MAX(0,R14 - TARIFAS!G$2) * TARIFAS!F$2)
</f>
        <v>0</v>
      </c>
      <c r="V14" s="45">
        <f>+T14*TARIFAS!$K$2</f>
        <v>0</v>
      </c>
      <c r="W14" s="45">
        <f t="shared" si="2"/>
        <v>0</v>
      </c>
      <c r="X14" s="45">
        <f t="shared" si="3"/>
        <v>0</v>
      </c>
      <c r="Y14" s="45">
        <f t="shared" si="4"/>
        <v>0</v>
      </c>
      <c r="Z14" s="42" t="str">
        <f>CONFERENCIAS!AB14</f>
        <v/>
      </c>
      <c r="AA14" s="42" t="str">
        <f>CONFERENCIAS!AC14</f>
        <v/>
      </c>
      <c r="AB14" s="47" t="str">
        <f t="shared" si="5"/>
        <v/>
      </c>
      <c r="AC14" s="9" t="str">
        <f t="shared" si="6"/>
        <v/>
      </c>
    </row>
    <row r="15">
      <c r="A15" s="42" t="str">
        <f>CONFERENCIAS!A15</f>
        <v/>
      </c>
      <c r="D15" s="42" t="str">
        <f>CONFERENCIAS!C15</f>
        <v/>
      </c>
      <c r="E15" s="42" t="str">
        <f>CONFERENCIAS!K15</f>
        <v/>
      </c>
      <c r="F15" s="49" t="str">
        <f>CONFERENCIAS!J15</f>
        <v/>
      </c>
      <c r="G15" s="42" t="str">
        <f>CONFERENCIAS!O15</f>
        <v/>
      </c>
      <c r="H15" s="42" t="str">
        <f>CONFERENCIAS!X15</f>
        <v/>
      </c>
      <c r="I15" s="42" t="str">
        <f>CONFERENCIAS!AA15</f>
        <v/>
      </c>
      <c r="J15" s="44" t="str">
        <f>CONFERENCIAS!P15</f>
        <v/>
      </c>
      <c r="K15" s="45" t="str">
        <f>CONFERENCIAS!R15</f>
        <v/>
      </c>
      <c r="L15" s="45">
        <f>IF(D15="",0,
 IF(E15=1,
   IF(H15="Presencial",
      VLOOKUP(D15,TARIFAS!A:K,3,FALSE) + IF(I15="Sí",VLOOKUP(D15,TARIFAS!A:K,5,FALSE),0),
      VLOOKUP(D15,TARIFAS!A:K,4,FALSE) + IF(I15="Sí",VLOOKUP(D15,TARIFAS!A:K,5,FALSE),0)
   ),
   IF(H15="Presencial",
      VLOOKUP(D15,TARIFAS!A:K,9,FALSE) + IF(I15="Sí",VLOOKUP(D15,TARIFAS!A:K,11,FALSE),0),
      VLOOKUP(D15,TARIFAS!A:K,10,FALSE) + IF(I15="Sí",VLOOKUP(D15,TARIFAS!A:K,11,FALSE),0)
   )
 )
)
</f>
        <v>0</v>
      </c>
      <c r="M15" s="45">
        <f>IF(J15="",0,MAX(0,J15 - TARIFAS!G$2) * TARIFAS!F$2)
</f>
        <v>0</v>
      </c>
      <c r="N15" s="45">
        <f>+L15*TARIFAS!$K$2</f>
        <v>0</v>
      </c>
      <c r="O15" s="45">
        <f t="shared" si="1"/>
        <v>0</v>
      </c>
      <c r="P15" s="45">
        <f>+M15+O15+K15+(+I15-(I15*TARIFAS!$K$2))</f>
        <v>0</v>
      </c>
      <c r="Q15" s="42" t="str">
        <f>CONFERENCIAS!T15</f>
        <v/>
      </c>
      <c r="R15" s="45" t="str">
        <f>CONFERENCIAS!U15</f>
        <v/>
      </c>
      <c r="S15" s="45" t="str">
        <f>CONFERENCIAS!W15</f>
        <v/>
      </c>
      <c r="T15" s="48">
        <f>IF(Q15="",0,
   IF(E15=1,
      IF(H15="Presencial",
         VLOOKUP(D15,TARIFAS!A:K,3,FALSE) + IF(I15="Sí",VLOOKUP(D15,TARIFAS!A:K,5,FALSE),0),
         VLOOKUP(D15,TARIFAS!A:K,4,FALSE) + IF(I15="Sí",VLOOKUP(D15,TARIFAS!A:K,5,FALSE),0)
      ),
      IF(H15="Presencial",
         VLOOKUP(D15,TARIFAS!A:K,9,FALSE) + IF(I15="Sí",VLOOKUP(D15,TARIFAS!A:K,11,FALSE),0),
         VLOOKUP(D15,TARIFAS!A:K,10,FALSE) + IF(I15="Sí",VLOOKUP(D15,TARIFAS!A:K,11,FALSE),0)
      )
   )
)
</f>
        <v>0</v>
      </c>
      <c r="U15" s="45">
        <f>IF(R15="",0,MAX(0,R15 - TARIFAS!G$2) * TARIFAS!F$2)
</f>
        <v>0</v>
      </c>
      <c r="V15" s="45">
        <f>+T15*TARIFAS!$K$2</f>
        <v>0</v>
      </c>
      <c r="W15" s="45">
        <f t="shared" si="2"/>
        <v>0</v>
      </c>
      <c r="X15" s="45">
        <f t="shared" si="3"/>
        <v>0</v>
      </c>
      <c r="Y15" s="45">
        <f t="shared" si="4"/>
        <v>0</v>
      </c>
      <c r="Z15" s="42" t="str">
        <f>CONFERENCIAS!AB15</f>
        <v/>
      </c>
      <c r="AA15" s="42" t="str">
        <f>CONFERENCIAS!AC15</f>
        <v/>
      </c>
      <c r="AB15" s="47" t="str">
        <f t="shared" si="5"/>
        <v/>
      </c>
      <c r="AC15" s="9" t="str">
        <f t="shared" si="6"/>
        <v/>
      </c>
    </row>
    <row r="16">
      <c r="A16" s="42" t="str">
        <f>CONFERENCIAS!A16</f>
        <v/>
      </c>
      <c r="D16" s="42" t="str">
        <f>CONFERENCIAS!C16</f>
        <v/>
      </c>
      <c r="E16" s="42" t="str">
        <f>CONFERENCIAS!K16</f>
        <v/>
      </c>
      <c r="F16" s="49" t="str">
        <f>CONFERENCIAS!J16</f>
        <v/>
      </c>
      <c r="G16" s="42" t="str">
        <f>CONFERENCIAS!O16</f>
        <v/>
      </c>
      <c r="H16" s="42" t="str">
        <f>CONFERENCIAS!X16</f>
        <v/>
      </c>
      <c r="I16" s="42" t="str">
        <f>CONFERENCIAS!AA16</f>
        <v/>
      </c>
      <c r="J16" s="44" t="str">
        <f>CONFERENCIAS!P16</f>
        <v/>
      </c>
      <c r="K16" s="45" t="str">
        <f>CONFERENCIAS!R16</f>
        <v/>
      </c>
      <c r="L16" s="45">
        <f>IF(D16="",0,
 IF(E16=1,
   IF(H16="Presencial",
      VLOOKUP(D16,TARIFAS!A:K,3,FALSE) + IF(I16="Sí",VLOOKUP(D16,TARIFAS!A:K,5,FALSE),0),
      VLOOKUP(D16,TARIFAS!A:K,4,FALSE) + IF(I16="Sí",VLOOKUP(D16,TARIFAS!A:K,5,FALSE),0)
   ),
   IF(H16="Presencial",
      VLOOKUP(D16,TARIFAS!A:K,9,FALSE) + IF(I16="Sí",VLOOKUP(D16,TARIFAS!A:K,11,FALSE),0),
      VLOOKUP(D16,TARIFAS!A:K,10,FALSE) + IF(I16="Sí",VLOOKUP(D16,TARIFAS!A:K,11,FALSE),0)
   )
 )
)
</f>
        <v>0</v>
      </c>
      <c r="M16" s="45">
        <f>IF(J16="",0,MAX(0,J16 - TARIFAS!G$2) * TARIFAS!F$2)
</f>
        <v>0</v>
      </c>
      <c r="N16" s="45">
        <f>+L16*TARIFAS!$K$2</f>
        <v>0</v>
      </c>
      <c r="O16" s="45">
        <f t="shared" si="1"/>
        <v>0</v>
      </c>
      <c r="P16" s="45">
        <f>+M16+O16+K16+(+I16-(I16*TARIFAS!$K$2))</f>
        <v>0</v>
      </c>
      <c r="Q16" s="42" t="str">
        <f>CONFERENCIAS!T16</f>
        <v/>
      </c>
      <c r="R16" s="45" t="str">
        <f>CONFERENCIAS!U16</f>
        <v/>
      </c>
      <c r="S16" s="45" t="str">
        <f>CONFERENCIAS!W16</f>
        <v/>
      </c>
      <c r="T16" s="48">
        <f>IF(Q16="",0,
   IF(E16=1,
      IF(H16="Presencial",
         VLOOKUP(D16,TARIFAS!A:K,3,FALSE) + IF(I16="Sí",VLOOKUP(D16,TARIFAS!A:K,5,FALSE),0),
         VLOOKUP(D16,TARIFAS!A:K,4,FALSE) + IF(I16="Sí",VLOOKUP(D16,TARIFAS!A:K,5,FALSE),0)
      ),
      IF(H16="Presencial",
         VLOOKUP(D16,TARIFAS!A:K,9,FALSE) + IF(I16="Sí",VLOOKUP(D16,TARIFAS!A:K,11,FALSE),0),
         VLOOKUP(D16,TARIFAS!A:K,10,FALSE) + IF(I16="Sí",VLOOKUP(D16,TARIFAS!A:K,11,FALSE),0)
      )
   )
)
</f>
        <v>0</v>
      </c>
      <c r="U16" s="45">
        <f>IF(R16="",0,MAX(0,R16 - TARIFAS!G$2) * TARIFAS!F$2)
</f>
        <v>0</v>
      </c>
      <c r="V16" s="45">
        <f>+T16*TARIFAS!$K$2</f>
        <v>0</v>
      </c>
      <c r="W16" s="45">
        <f t="shared" si="2"/>
        <v>0</v>
      </c>
      <c r="X16" s="45">
        <f t="shared" si="3"/>
        <v>0</v>
      </c>
      <c r="Y16" s="45">
        <f t="shared" si="4"/>
        <v>0</v>
      </c>
      <c r="Z16" s="42" t="str">
        <f>CONFERENCIAS!AB16</f>
        <v/>
      </c>
      <c r="AA16" s="42" t="str">
        <f>CONFERENCIAS!AC16</f>
        <v/>
      </c>
      <c r="AB16" s="47" t="str">
        <f t="shared" si="5"/>
        <v/>
      </c>
      <c r="AC16" s="9" t="str">
        <f t="shared" si="6"/>
        <v/>
      </c>
    </row>
    <row r="17">
      <c r="A17" s="42" t="str">
        <f>CONFERENCIAS!A17</f>
        <v/>
      </c>
      <c r="D17" s="42" t="str">
        <f>CONFERENCIAS!C17</f>
        <v/>
      </c>
      <c r="E17" s="42" t="str">
        <f>CONFERENCIAS!K17</f>
        <v/>
      </c>
      <c r="F17" s="49" t="str">
        <f>CONFERENCIAS!J17</f>
        <v/>
      </c>
      <c r="G17" s="42" t="str">
        <f>CONFERENCIAS!O17</f>
        <v/>
      </c>
      <c r="H17" s="42" t="str">
        <f>CONFERENCIAS!X17</f>
        <v/>
      </c>
      <c r="I17" s="42" t="str">
        <f>CONFERENCIAS!AA17</f>
        <v/>
      </c>
      <c r="J17" s="44" t="str">
        <f>CONFERENCIAS!P17</f>
        <v/>
      </c>
      <c r="K17" s="45" t="str">
        <f>CONFERENCIAS!R17</f>
        <v/>
      </c>
      <c r="L17" s="45">
        <f>IF(D17="",0,
 IF(E17=1,
   IF(H17="Presencial",
      VLOOKUP(D17,TARIFAS!A:K,3,FALSE) + IF(I17="Sí",VLOOKUP(D17,TARIFAS!A:K,5,FALSE),0),
      VLOOKUP(D17,TARIFAS!A:K,4,FALSE) + IF(I17="Sí",VLOOKUP(D17,TARIFAS!A:K,5,FALSE),0)
   ),
   IF(H17="Presencial",
      VLOOKUP(D17,TARIFAS!A:K,9,FALSE) + IF(I17="Sí",VLOOKUP(D17,TARIFAS!A:K,11,FALSE),0),
      VLOOKUP(D17,TARIFAS!A:K,10,FALSE) + IF(I17="Sí",VLOOKUP(D17,TARIFAS!A:K,11,FALSE),0)
   )
 )
)
</f>
        <v>0</v>
      </c>
      <c r="M17" s="45">
        <f>IF(J17="",0,MAX(0,J17 - TARIFAS!G$2) * TARIFAS!F$2)
</f>
        <v>0</v>
      </c>
      <c r="N17" s="45">
        <f>+L17*TARIFAS!$K$2</f>
        <v>0</v>
      </c>
      <c r="O17" s="45">
        <f t="shared" si="1"/>
        <v>0</v>
      </c>
      <c r="P17" s="45">
        <f>+M17+O17+K17+(+I17-(I17*TARIFAS!$K$2))</f>
        <v>0</v>
      </c>
      <c r="Q17" s="42" t="str">
        <f>CONFERENCIAS!T17</f>
        <v/>
      </c>
      <c r="R17" s="45" t="str">
        <f>CONFERENCIAS!U17</f>
        <v/>
      </c>
      <c r="S17" s="45" t="str">
        <f>CONFERENCIAS!W17</f>
        <v/>
      </c>
      <c r="T17" s="48">
        <f>IF(Q17="",0,
   IF(E17=1,
      IF(H17="Presencial",
         VLOOKUP(D17,TARIFAS!A:K,3,FALSE) + IF(I17="Sí",VLOOKUP(D17,TARIFAS!A:K,5,FALSE),0),
         VLOOKUP(D17,TARIFAS!A:K,4,FALSE) + IF(I17="Sí",VLOOKUP(D17,TARIFAS!A:K,5,FALSE),0)
      ),
      IF(H17="Presencial",
         VLOOKUP(D17,TARIFAS!A:K,9,FALSE) + IF(I17="Sí",VLOOKUP(D17,TARIFAS!A:K,11,FALSE),0),
         VLOOKUP(D17,TARIFAS!A:K,10,FALSE) + IF(I17="Sí",VLOOKUP(D17,TARIFAS!A:K,11,FALSE),0)
      )
   )
)
</f>
        <v>0</v>
      </c>
      <c r="U17" s="45">
        <f>IF(R17="",0,MAX(0,R17 - TARIFAS!G$2) * TARIFAS!F$2)
</f>
        <v>0</v>
      </c>
      <c r="V17" s="45">
        <f>+T17*TARIFAS!$K$2</f>
        <v>0</v>
      </c>
      <c r="W17" s="45">
        <f t="shared" si="2"/>
        <v>0</v>
      </c>
      <c r="X17" s="45">
        <f t="shared" si="3"/>
        <v>0</v>
      </c>
      <c r="Y17" s="45">
        <f t="shared" si="4"/>
        <v>0</v>
      </c>
      <c r="Z17" s="42" t="str">
        <f>CONFERENCIAS!AB17</f>
        <v/>
      </c>
      <c r="AA17" s="42" t="str">
        <f>CONFERENCIAS!AC17</f>
        <v/>
      </c>
      <c r="AB17" s="47" t="str">
        <f t="shared" si="5"/>
        <v/>
      </c>
      <c r="AC17" s="9" t="str">
        <f t="shared" si="6"/>
        <v/>
      </c>
    </row>
    <row r="18">
      <c r="A18" s="42" t="str">
        <f>CONFERENCIAS!A18</f>
        <v/>
      </c>
      <c r="D18" s="42" t="str">
        <f>CONFERENCIAS!C18</f>
        <v/>
      </c>
      <c r="E18" s="42" t="str">
        <f>CONFERENCIAS!K18</f>
        <v/>
      </c>
      <c r="F18" s="49" t="str">
        <f>CONFERENCIAS!J18</f>
        <v/>
      </c>
      <c r="G18" s="42" t="str">
        <f>CONFERENCIAS!O18</f>
        <v/>
      </c>
      <c r="H18" s="42" t="str">
        <f>CONFERENCIAS!X18</f>
        <v/>
      </c>
      <c r="I18" s="42" t="str">
        <f>CONFERENCIAS!AA18</f>
        <v/>
      </c>
      <c r="J18" s="44" t="str">
        <f>CONFERENCIAS!P18</f>
        <v/>
      </c>
      <c r="K18" s="45" t="str">
        <f>CONFERENCIAS!R18</f>
        <v/>
      </c>
      <c r="L18" s="45">
        <f>IF(D18="",0,
 IF(E18=1,
   IF(H18="Presencial",
      VLOOKUP(D18,TARIFAS!A:K,3,FALSE) + IF(I18="Sí",VLOOKUP(D18,TARIFAS!A:K,5,FALSE),0),
      VLOOKUP(D18,TARIFAS!A:K,4,FALSE) + IF(I18="Sí",VLOOKUP(D18,TARIFAS!A:K,5,FALSE),0)
   ),
   IF(H18="Presencial",
      VLOOKUP(D18,TARIFAS!A:K,9,FALSE) + IF(I18="Sí",VLOOKUP(D18,TARIFAS!A:K,11,FALSE),0),
      VLOOKUP(D18,TARIFAS!A:K,10,FALSE) + IF(I18="Sí",VLOOKUP(D18,TARIFAS!A:K,11,FALSE),0)
   )
 )
)
</f>
        <v>0</v>
      </c>
      <c r="M18" s="45">
        <f>IF(J18="",0,MAX(0,J18 - TARIFAS!G$2) * TARIFAS!F$2)
</f>
        <v>0</v>
      </c>
      <c r="N18" s="45">
        <f>+L18*TARIFAS!$K$2</f>
        <v>0</v>
      </c>
      <c r="O18" s="45">
        <f t="shared" si="1"/>
        <v>0</v>
      </c>
      <c r="P18" s="45">
        <f>+M18+O18+K18+(+I18-(I18*TARIFAS!$K$2))</f>
        <v>0</v>
      </c>
      <c r="Q18" s="42" t="str">
        <f>CONFERENCIAS!T18</f>
        <v/>
      </c>
      <c r="R18" s="45" t="str">
        <f>CONFERENCIAS!U18</f>
        <v/>
      </c>
      <c r="S18" s="45" t="str">
        <f>CONFERENCIAS!W18</f>
        <v/>
      </c>
      <c r="T18" s="48">
        <f>IF(Q18="",0,
   IF(E18=1,
      IF(H18="Presencial",
         VLOOKUP(D18,TARIFAS!A:K,3,FALSE) + IF(I18="Sí",VLOOKUP(D18,TARIFAS!A:K,5,FALSE),0),
         VLOOKUP(D18,TARIFAS!A:K,4,FALSE) + IF(I18="Sí",VLOOKUP(D18,TARIFAS!A:K,5,FALSE),0)
      ),
      IF(H18="Presencial",
         VLOOKUP(D18,TARIFAS!A:K,9,FALSE) + IF(I18="Sí",VLOOKUP(D18,TARIFAS!A:K,11,FALSE),0),
         VLOOKUP(D18,TARIFAS!A:K,10,FALSE) + IF(I18="Sí",VLOOKUP(D18,TARIFAS!A:K,11,FALSE),0)
      )
   )
)
</f>
        <v>0</v>
      </c>
      <c r="U18" s="45">
        <f>IF(R18="",0,MAX(0,R18 - TARIFAS!G$2) * TARIFAS!F$2)
</f>
        <v>0</v>
      </c>
      <c r="V18" s="45">
        <f>+T18*TARIFAS!$K$2</f>
        <v>0</v>
      </c>
      <c r="W18" s="45">
        <f t="shared" si="2"/>
        <v>0</v>
      </c>
      <c r="X18" s="45">
        <f t="shared" si="3"/>
        <v>0</v>
      </c>
      <c r="Y18" s="45">
        <f t="shared" si="4"/>
        <v>0</v>
      </c>
      <c r="Z18" s="42" t="str">
        <f>CONFERENCIAS!AB18</f>
        <v/>
      </c>
      <c r="AA18" s="42" t="str">
        <f>CONFERENCIAS!AC18</f>
        <v/>
      </c>
      <c r="AB18" s="47" t="str">
        <f t="shared" si="5"/>
        <v/>
      </c>
      <c r="AC18" s="9" t="str">
        <f t="shared" si="6"/>
        <v/>
      </c>
    </row>
    <row r="19">
      <c r="A19" s="42" t="str">
        <f>CONFERENCIAS!A19</f>
        <v/>
      </c>
      <c r="D19" s="42" t="str">
        <f>CONFERENCIAS!C19</f>
        <v/>
      </c>
      <c r="E19" s="42" t="str">
        <f>CONFERENCIAS!K19</f>
        <v/>
      </c>
      <c r="F19" s="49" t="str">
        <f>CONFERENCIAS!J19</f>
        <v/>
      </c>
      <c r="G19" s="42" t="str">
        <f>CONFERENCIAS!O19</f>
        <v/>
      </c>
      <c r="H19" s="42" t="str">
        <f>CONFERENCIAS!X19</f>
        <v/>
      </c>
      <c r="I19" s="42" t="str">
        <f>CONFERENCIAS!AA19</f>
        <v/>
      </c>
      <c r="J19" s="44" t="str">
        <f>CONFERENCIAS!P19</f>
        <v/>
      </c>
      <c r="K19" s="45" t="str">
        <f>CONFERENCIAS!R19</f>
        <v/>
      </c>
      <c r="L19" s="45">
        <f>IF(D19="",0,
 IF(E19=1,
   IF(H19="Presencial",
      VLOOKUP(D19,TARIFAS!A:K,3,FALSE) + IF(I19="Sí",VLOOKUP(D19,TARIFAS!A:K,5,FALSE),0),
      VLOOKUP(D19,TARIFAS!A:K,4,FALSE) + IF(I19="Sí",VLOOKUP(D19,TARIFAS!A:K,5,FALSE),0)
   ),
   IF(H19="Presencial",
      VLOOKUP(D19,TARIFAS!A:K,9,FALSE) + IF(I19="Sí",VLOOKUP(D19,TARIFAS!A:K,11,FALSE),0),
      VLOOKUP(D19,TARIFAS!A:K,10,FALSE) + IF(I19="Sí",VLOOKUP(D19,TARIFAS!A:K,11,FALSE),0)
   )
 )
)
</f>
        <v>0</v>
      </c>
      <c r="M19" s="45">
        <f>IF(J19="",0,MAX(0,J19 - TARIFAS!G$2) * TARIFAS!F$2)
</f>
        <v>0</v>
      </c>
      <c r="N19" s="45">
        <f>+L19*TARIFAS!$K$2</f>
        <v>0</v>
      </c>
      <c r="O19" s="45">
        <f t="shared" si="1"/>
        <v>0</v>
      </c>
      <c r="P19" s="45">
        <f>+M19+O19+K19+(+I19-(I19*TARIFAS!$K$2))</f>
        <v>0</v>
      </c>
      <c r="Q19" s="42" t="str">
        <f>CONFERENCIAS!T19</f>
        <v/>
      </c>
      <c r="R19" s="45" t="str">
        <f>CONFERENCIAS!U19</f>
        <v/>
      </c>
      <c r="S19" s="45" t="str">
        <f>CONFERENCIAS!W19</f>
        <v/>
      </c>
      <c r="T19" s="48">
        <f>IF(Q19="",0,
   IF(E19=1,
      IF(H19="Presencial",
         VLOOKUP(D19,TARIFAS!A:K,3,FALSE) + IF(I19="Sí",VLOOKUP(D19,TARIFAS!A:K,5,FALSE),0),
         VLOOKUP(D19,TARIFAS!A:K,4,FALSE) + IF(I19="Sí",VLOOKUP(D19,TARIFAS!A:K,5,FALSE),0)
      ),
      IF(H19="Presencial",
         VLOOKUP(D19,TARIFAS!A:K,9,FALSE) + IF(I19="Sí",VLOOKUP(D19,TARIFAS!A:K,11,FALSE),0),
         VLOOKUP(D19,TARIFAS!A:K,10,FALSE) + IF(I19="Sí",VLOOKUP(D19,TARIFAS!A:K,11,FALSE),0)
      )
   )
)
</f>
        <v>0</v>
      </c>
      <c r="U19" s="45">
        <f>IF(R19="",0,MAX(0,R19 - TARIFAS!G$2) * TARIFAS!F$2)
</f>
        <v>0</v>
      </c>
      <c r="V19" s="45">
        <f>+T19*TARIFAS!$K$2</f>
        <v>0</v>
      </c>
      <c r="W19" s="45">
        <f t="shared" si="2"/>
        <v>0</v>
      </c>
      <c r="X19" s="45">
        <f t="shared" si="3"/>
        <v>0</v>
      </c>
      <c r="Y19" s="45">
        <f t="shared" si="4"/>
        <v>0</v>
      </c>
      <c r="Z19" s="42" t="str">
        <f>CONFERENCIAS!AB19</f>
        <v/>
      </c>
      <c r="AA19" s="42" t="str">
        <f>CONFERENCIAS!AC19</f>
        <v/>
      </c>
      <c r="AB19" s="47" t="str">
        <f t="shared" si="5"/>
        <v/>
      </c>
      <c r="AC19" s="9" t="str">
        <f t="shared" si="6"/>
        <v/>
      </c>
    </row>
    <row r="20">
      <c r="A20" s="42" t="str">
        <f>CONFERENCIAS!A20</f>
        <v/>
      </c>
      <c r="D20" s="42" t="str">
        <f>CONFERENCIAS!C20</f>
        <v/>
      </c>
      <c r="E20" s="42" t="str">
        <f>CONFERENCIAS!K20</f>
        <v/>
      </c>
      <c r="F20" s="49" t="str">
        <f>CONFERENCIAS!J20</f>
        <v/>
      </c>
      <c r="G20" s="42" t="str">
        <f>CONFERENCIAS!O20</f>
        <v/>
      </c>
      <c r="H20" s="42" t="str">
        <f>CONFERENCIAS!X20</f>
        <v/>
      </c>
      <c r="I20" s="42" t="str">
        <f>CONFERENCIAS!AA20</f>
        <v/>
      </c>
      <c r="J20" s="44" t="str">
        <f>CONFERENCIAS!P20</f>
        <v/>
      </c>
      <c r="K20" s="45" t="str">
        <f>CONFERENCIAS!R20</f>
        <v/>
      </c>
      <c r="L20" s="45">
        <f>IF(D20="",0,
 IF(E20=1,
   IF(H20="Presencial",
      VLOOKUP(D20,TARIFAS!A:K,3,FALSE) + IF(I20="Sí",VLOOKUP(D20,TARIFAS!A:K,5,FALSE),0),
      VLOOKUP(D20,TARIFAS!A:K,4,FALSE) + IF(I20="Sí",VLOOKUP(D20,TARIFAS!A:K,5,FALSE),0)
   ),
   IF(H20="Presencial",
      VLOOKUP(D20,TARIFAS!A:K,9,FALSE) + IF(I20="Sí",VLOOKUP(D20,TARIFAS!A:K,11,FALSE),0),
      VLOOKUP(D20,TARIFAS!A:K,10,FALSE) + IF(I20="Sí",VLOOKUP(D20,TARIFAS!A:K,11,FALSE),0)
   )
 )
)
</f>
        <v>0</v>
      </c>
      <c r="M20" s="45">
        <f>IF(J20="",0,MAX(0,J20 - TARIFAS!G$2) * TARIFAS!F$2)
</f>
        <v>0</v>
      </c>
      <c r="N20" s="45">
        <f>+L20*TARIFAS!$K$2</f>
        <v>0</v>
      </c>
      <c r="O20" s="45">
        <f t="shared" si="1"/>
        <v>0</v>
      </c>
      <c r="P20" s="45">
        <f>+M20+O20+K20+(+I20-(I20*TARIFAS!$K$2))</f>
        <v>0</v>
      </c>
      <c r="Q20" s="42" t="str">
        <f>CONFERENCIAS!T20</f>
        <v/>
      </c>
      <c r="R20" s="45" t="str">
        <f>CONFERENCIAS!U20</f>
        <v/>
      </c>
      <c r="S20" s="45" t="str">
        <f>CONFERENCIAS!W20</f>
        <v/>
      </c>
      <c r="T20" s="48">
        <f>IF(Q20="",0,
   IF(E20=1,
      IF(H20="Presencial",
         VLOOKUP(D20,TARIFAS!A:K,3,FALSE) + IF(I20="Sí",VLOOKUP(D20,TARIFAS!A:K,5,FALSE),0),
         VLOOKUP(D20,TARIFAS!A:K,4,FALSE) + IF(I20="Sí",VLOOKUP(D20,TARIFAS!A:K,5,FALSE),0)
      ),
      IF(H20="Presencial",
         VLOOKUP(D20,TARIFAS!A:K,9,FALSE) + IF(I20="Sí",VLOOKUP(D20,TARIFAS!A:K,11,FALSE),0),
         VLOOKUP(D20,TARIFAS!A:K,10,FALSE) + IF(I20="Sí",VLOOKUP(D20,TARIFAS!A:K,11,FALSE),0)
      )
   )
)
</f>
        <v>0</v>
      </c>
      <c r="U20" s="45">
        <f>IF(R20="",0,MAX(0,R20 - TARIFAS!G$2) * TARIFAS!F$2)
</f>
        <v>0</v>
      </c>
      <c r="V20" s="45">
        <f>+T20*TARIFAS!$K$2</f>
        <v>0</v>
      </c>
      <c r="W20" s="45">
        <f t="shared" si="2"/>
        <v>0</v>
      </c>
      <c r="X20" s="45">
        <f t="shared" si="3"/>
        <v>0</v>
      </c>
      <c r="Y20" s="45">
        <f t="shared" si="4"/>
        <v>0</v>
      </c>
      <c r="Z20" s="42" t="str">
        <f>CONFERENCIAS!AB20</f>
        <v/>
      </c>
      <c r="AA20" s="42" t="str">
        <f>CONFERENCIAS!AC20</f>
        <v/>
      </c>
      <c r="AB20" s="47" t="str">
        <f t="shared" si="5"/>
        <v/>
      </c>
      <c r="AC20" s="9" t="str">
        <f t="shared" si="6"/>
        <v/>
      </c>
    </row>
    <row r="21">
      <c r="A21" s="42" t="str">
        <f>CONFERENCIAS!A21</f>
        <v/>
      </c>
      <c r="D21" s="42" t="str">
        <f>CONFERENCIAS!C21</f>
        <v/>
      </c>
      <c r="E21" s="42" t="str">
        <f>CONFERENCIAS!K21</f>
        <v/>
      </c>
      <c r="F21" s="49" t="str">
        <f>CONFERENCIAS!J21</f>
        <v/>
      </c>
      <c r="G21" s="42" t="str">
        <f>CONFERENCIAS!O21</f>
        <v/>
      </c>
      <c r="H21" s="42" t="str">
        <f>CONFERENCIAS!X21</f>
        <v/>
      </c>
      <c r="I21" s="42" t="str">
        <f>CONFERENCIAS!AA21</f>
        <v/>
      </c>
      <c r="J21" s="44" t="str">
        <f>CONFERENCIAS!P21</f>
        <v/>
      </c>
      <c r="K21" s="45" t="str">
        <f>CONFERENCIAS!R21</f>
        <v/>
      </c>
      <c r="L21" s="45">
        <f>IF(D21="",0,
 IF(E21=1,
   IF(H21="Presencial",
      VLOOKUP(D21,TARIFAS!A:K,3,FALSE) + IF(I21="Sí",VLOOKUP(D21,TARIFAS!A:K,5,FALSE),0),
      VLOOKUP(D21,TARIFAS!A:K,4,FALSE) + IF(I21="Sí",VLOOKUP(D21,TARIFAS!A:K,5,FALSE),0)
   ),
   IF(H21="Presencial",
      VLOOKUP(D21,TARIFAS!A:K,9,FALSE) + IF(I21="Sí",VLOOKUP(D21,TARIFAS!A:K,11,FALSE),0),
      VLOOKUP(D21,TARIFAS!A:K,10,FALSE) + IF(I21="Sí",VLOOKUP(D21,TARIFAS!A:K,11,FALSE),0)
   )
 )
)
</f>
        <v>0</v>
      </c>
      <c r="M21" s="45">
        <f>IF(J21="",0,MAX(0,J21 - TARIFAS!G$2) * TARIFAS!F$2)
</f>
        <v>0</v>
      </c>
      <c r="N21" s="45">
        <f>+L21*TARIFAS!$K$2</f>
        <v>0</v>
      </c>
      <c r="O21" s="45">
        <f t="shared" si="1"/>
        <v>0</v>
      </c>
      <c r="P21" s="45">
        <f>+M21+O21+K21+(+I21-(I21*TARIFAS!$K$2))</f>
        <v>0</v>
      </c>
      <c r="Q21" s="42" t="str">
        <f>CONFERENCIAS!T21</f>
        <v/>
      </c>
      <c r="R21" s="45" t="str">
        <f>CONFERENCIAS!U21</f>
        <v/>
      </c>
      <c r="S21" s="45" t="str">
        <f>CONFERENCIAS!W21</f>
        <v/>
      </c>
      <c r="T21" s="48">
        <f>IF(Q21="",0,
   IF(E21=1,
      IF(H21="Presencial",
         VLOOKUP(D21,TARIFAS!A:K,3,FALSE) + IF(I21="Sí",VLOOKUP(D21,TARIFAS!A:K,5,FALSE),0),
         VLOOKUP(D21,TARIFAS!A:K,4,FALSE) + IF(I21="Sí",VLOOKUP(D21,TARIFAS!A:K,5,FALSE),0)
      ),
      IF(H21="Presencial",
         VLOOKUP(D21,TARIFAS!A:K,9,FALSE) + IF(I21="Sí",VLOOKUP(D21,TARIFAS!A:K,11,FALSE),0),
         VLOOKUP(D21,TARIFAS!A:K,10,FALSE) + IF(I21="Sí",VLOOKUP(D21,TARIFAS!A:K,11,FALSE),0)
      )
   )
)
</f>
        <v>0</v>
      </c>
      <c r="U21" s="45">
        <f>IF(R21="",0,MAX(0,R21 - TARIFAS!G$2) * TARIFAS!F$2)
</f>
        <v>0</v>
      </c>
      <c r="V21" s="45">
        <f>+T21*TARIFAS!$K$2</f>
        <v>0</v>
      </c>
      <c r="W21" s="45">
        <f t="shared" si="2"/>
        <v>0</v>
      </c>
      <c r="X21" s="45">
        <f t="shared" si="3"/>
        <v>0</v>
      </c>
      <c r="Y21" s="45">
        <f t="shared" si="4"/>
        <v>0</v>
      </c>
      <c r="Z21" s="42" t="str">
        <f>CONFERENCIAS!AB21</f>
        <v/>
      </c>
      <c r="AA21" s="42" t="str">
        <f>CONFERENCIAS!AC21</f>
        <v/>
      </c>
      <c r="AB21" s="47" t="str">
        <f t="shared" si="5"/>
        <v/>
      </c>
      <c r="AC21" s="9" t="str">
        <f t="shared" si="6"/>
        <v/>
      </c>
    </row>
    <row r="22">
      <c r="A22" s="42" t="str">
        <f>CONFERENCIAS!A22</f>
        <v/>
      </c>
      <c r="D22" s="42" t="str">
        <f>CONFERENCIAS!C22</f>
        <v/>
      </c>
      <c r="E22" s="42" t="str">
        <f>CONFERENCIAS!K22</f>
        <v/>
      </c>
      <c r="F22" s="49" t="str">
        <f>CONFERENCIAS!J22</f>
        <v/>
      </c>
      <c r="G22" s="42" t="str">
        <f>CONFERENCIAS!O22</f>
        <v/>
      </c>
      <c r="H22" s="42" t="str">
        <f>CONFERENCIAS!X22</f>
        <v/>
      </c>
      <c r="I22" s="42" t="str">
        <f>CONFERENCIAS!AA22</f>
        <v/>
      </c>
      <c r="J22" s="44" t="str">
        <f>CONFERENCIAS!P22</f>
        <v/>
      </c>
      <c r="K22" s="45" t="str">
        <f>CONFERENCIAS!R22</f>
        <v/>
      </c>
      <c r="L22" s="45">
        <f>IF(D22="",0,
 IF(E22=1,
   IF(H22="Presencial",
      VLOOKUP(D22,TARIFAS!A:K,3,FALSE) + IF(I22="Sí",VLOOKUP(D22,TARIFAS!A:K,5,FALSE),0),
      VLOOKUP(D22,TARIFAS!A:K,4,FALSE) + IF(I22="Sí",VLOOKUP(D22,TARIFAS!A:K,5,FALSE),0)
   ),
   IF(H22="Presencial",
      VLOOKUP(D22,TARIFAS!A:K,9,FALSE) + IF(I22="Sí",VLOOKUP(D22,TARIFAS!A:K,11,FALSE),0),
      VLOOKUP(D22,TARIFAS!A:K,10,FALSE) + IF(I22="Sí",VLOOKUP(D22,TARIFAS!A:K,11,FALSE),0)
   )
 )
)
</f>
        <v>0</v>
      </c>
      <c r="M22" s="45">
        <f>IF(J22="",0,MAX(0,J22 - TARIFAS!G$2) * TARIFAS!F$2)
</f>
        <v>0</v>
      </c>
      <c r="N22" s="45">
        <f>+L22*TARIFAS!$K$2</f>
        <v>0</v>
      </c>
      <c r="O22" s="45">
        <f t="shared" si="1"/>
        <v>0</v>
      </c>
      <c r="P22" s="45">
        <f>+M22+O22+K22+(+I22-(I22*TARIFAS!$K$2))</f>
        <v>0</v>
      </c>
      <c r="Q22" s="42" t="str">
        <f>CONFERENCIAS!T22</f>
        <v/>
      </c>
      <c r="R22" s="45" t="str">
        <f>CONFERENCIAS!U22</f>
        <v/>
      </c>
      <c r="S22" s="45" t="str">
        <f>CONFERENCIAS!W22</f>
        <v/>
      </c>
      <c r="T22" s="48">
        <f>IF(Q22="",0,
   IF(E22=1,
      IF(H22="Presencial",
         VLOOKUP(D22,TARIFAS!A:K,3,FALSE) + IF(I22="Sí",VLOOKUP(D22,TARIFAS!A:K,5,FALSE),0),
         VLOOKUP(D22,TARIFAS!A:K,4,FALSE) + IF(I22="Sí",VLOOKUP(D22,TARIFAS!A:K,5,FALSE),0)
      ),
      IF(H22="Presencial",
         VLOOKUP(D22,TARIFAS!A:K,9,FALSE) + IF(I22="Sí",VLOOKUP(D22,TARIFAS!A:K,11,FALSE),0),
         VLOOKUP(D22,TARIFAS!A:K,10,FALSE) + IF(I22="Sí",VLOOKUP(D22,TARIFAS!A:K,11,FALSE),0)
      )
   )
)
</f>
        <v>0</v>
      </c>
      <c r="U22" s="45">
        <f>IF(R22="",0,MAX(0,R22 - TARIFAS!G$2) * TARIFAS!F$2)
</f>
        <v>0</v>
      </c>
      <c r="V22" s="45">
        <f>+T22*TARIFAS!$K$2</f>
        <v>0</v>
      </c>
      <c r="W22" s="45">
        <f t="shared" si="2"/>
        <v>0</v>
      </c>
      <c r="X22" s="45">
        <f t="shared" si="3"/>
        <v>0</v>
      </c>
      <c r="Y22" s="45">
        <f t="shared" si="4"/>
        <v>0</v>
      </c>
      <c r="Z22" s="42" t="str">
        <f>CONFERENCIAS!AB22</f>
        <v/>
      </c>
      <c r="AA22" s="42" t="str">
        <f>CONFERENCIAS!AC22</f>
        <v/>
      </c>
      <c r="AB22" s="47" t="str">
        <f t="shared" si="5"/>
        <v/>
      </c>
      <c r="AC22" s="9" t="str">
        <f t="shared" si="6"/>
        <v/>
      </c>
    </row>
    <row r="23">
      <c r="A23" s="42" t="str">
        <f>CONFERENCIAS!A23</f>
        <v/>
      </c>
      <c r="D23" s="42" t="str">
        <f>CONFERENCIAS!C23</f>
        <v/>
      </c>
      <c r="E23" s="42" t="str">
        <f>CONFERENCIAS!K23</f>
        <v/>
      </c>
      <c r="F23" s="49" t="str">
        <f>CONFERENCIAS!J23</f>
        <v/>
      </c>
      <c r="G23" s="42" t="str">
        <f>CONFERENCIAS!O23</f>
        <v/>
      </c>
      <c r="H23" s="42" t="str">
        <f>CONFERENCIAS!X23</f>
        <v/>
      </c>
      <c r="I23" s="42" t="str">
        <f>CONFERENCIAS!AA23</f>
        <v/>
      </c>
      <c r="J23" s="44" t="str">
        <f>CONFERENCIAS!P23</f>
        <v/>
      </c>
      <c r="K23" s="45" t="str">
        <f>CONFERENCIAS!R23</f>
        <v/>
      </c>
      <c r="L23" s="45">
        <f>IF(D23="",0,
 IF(E23=1,
   IF(H23="Presencial",
      VLOOKUP(D23,TARIFAS!A:K,3,FALSE) + IF(I23="Sí",VLOOKUP(D23,TARIFAS!A:K,5,FALSE),0),
      VLOOKUP(D23,TARIFAS!A:K,4,FALSE) + IF(I23="Sí",VLOOKUP(D23,TARIFAS!A:K,5,FALSE),0)
   ),
   IF(H23="Presencial",
      VLOOKUP(D23,TARIFAS!A:K,9,FALSE) + IF(I23="Sí",VLOOKUP(D23,TARIFAS!A:K,11,FALSE),0),
      VLOOKUP(D23,TARIFAS!A:K,10,FALSE) + IF(I23="Sí",VLOOKUP(D23,TARIFAS!A:K,11,FALSE),0)
   )
 )
)
</f>
        <v>0</v>
      </c>
      <c r="M23" s="45">
        <f>IF(J23="",0,MAX(0,J23 - TARIFAS!G$2) * TARIFAS!F$2)
</f>
        <v>0</v>
      </c>
      <c r="N23" s="45">
        <f>+L23*TARIFAS!$K$2</f>
        <v>0</v>
      </c>
      <c r="O23" s="45">
        <f t="shared" si="1"/>
        <v>0</v>
      </c>
      <c r="P23" s="45">
        <f>+M23+O23+K23+(+I23-(I23*TARIFAS!$K$2))</f>
        <v>0</v>
      </c>
      <c r="Q23" s="42" t="str">
        <f>CONFERENCIAS!T23</f>
        <v/>
      </c>
      <c r="R23" s="45" t="str">
        <f>CONFERENCIAS!U23</f>
        <v/>
      </c>
      <c r="S23" s="45" t="str">
        <f>CONFERENCIAS!W23</f>
        <v/>
      </c>
      <c r="T23" s="48">
        <f>IF(Q23="",0,
   IF(E23=1,
      IF(H23="Presencial",
         VLOOKUP(D23,TARIFAS!A:K,3,FALSE) + IF(I23="Sí",VLOOKUP(D23,TARIFAS!A:K,5,FALSE),0),
         VLOOKUP(D23,TARIFAS!A:K,4,FALSE) + IF(I23="Sí",VLOOKUP(D23,TARIFAS!A:K,5,FALSE),0)
      ),
      IF(H23="Presencial",
         VLOOKUP(D23,TARIFAS!A:K,9,FALSE) + IF(I23="Sí",VLOOKUP(D23,TARIFAS!A:K,11,FALSE),0),
         VLOOKUP(D23,TARIFAS!A:K,10,FALSE) + IF(I23="Sí",VLOOKUP(D23,TARIFAS!A:K,11,FALSE),0)
      )
   )
)
</f>
        <v>0</v>
      </c>
      <c r="U23" s="45">
        <f>IF(R23="",0,MAX(0,R23 - TARIFAS!G$2) * TARIFAS!F$2)
</f>
        <v>0</v>
      </c>
      <c r="V23" s="45">
        <f>+T23*TARIFAS!$K$2</f>
        <v>0</v>
      </c>
      <c r="W23" s="45">
        <f t="shared" si="2"/>
        <v>0</v>
      </c>
      <c r="X23" s="45">
        <f t="shared" si="3"/>
        <v>0</v>
      </c>
      <c r="Y23" s="45">
        <f t="shared" si="4"/>
        <v>0</v>
      </c>
      <c r="Z23" s="42" t="str">
        <f>CONFERENCIAS!AB23</f>
        <v/>
      </c>
      <c r="AA23" s="42" t="str">
        <f>CONFERENCIAS!AC23</f>
        <v/>
      </c>
      <c r="AB23" s="47" t="str">
        <f t="shared" si="5"/>
        <v/>
      </c>
      <c r="AC23" s="9" t="str">
        <f t="shared" si="6"/>
        <v/>
      </c>
    </row>
    <row r="24">
      <c r="A24" s="42" t="str">
        <f>CONFERENCIAS!A24</f>
        <v/>
      </c>
      <c r="D24" s="42" t="str">
        <f>CONFERENCIAS!C24</f>
        <v/>
      </c>
      <c r="E24" s="42" t="str">
        <f>CONFERENCIAS!K24</f>
        <v/>
      </c>
      <c r="F24" s="49" t="str">
        <f>CONFERENCIAS!J24</f>
        <v/>
      </c>
      <c r="G24" s="42" t="str">
        <f>CONFERENCIAS!O24</f>
        <v/>
      </c>
      <c r="H24" s="42" t="str">
        <f>CONFERENCIAS!X24</f>
        <v/>
      </c>
      <c r="I24" s="42" t="str">
        <f>CONFERENCIAS!AA24</f>
        <v/>
      </c>
      <c r="J24" s="44" t="str">
        <f>CONFERENCIAS!P24</f>
        <v/>
      </c>
      <c r="K24" s="45" t="str">
        <f>CONFERENCIAS!R24</f>
        <v/>
      </c>
      <c r="L24" s="45">
        <f>IF(D24="",0,
 IF(E24=1,
   IF(H24="Presencial",
      VLOOKUP(D24,TARIFAS!A:K,3,FALSE) + IF(I24="Sí",VLOOKUP(D24,TARIFAS!A:K,5,FALSE),0),
      VLOOKUP(D24,TARIFAS!A:K,4,FALSE) + IF(I24="Sí",VLOOKUP(D24,TARIFAS!A:K,5,FALSE),0)
   ),
   IF(H24="Presencial",
      VLOOKUP(D24,TARIFAS!A:K,9,FALSE) + IF(I24="Sí",VLOOKUP(D24,TARIFAS!A:K,11,FALSE),0),
      VLOOKUP(D24,TARIFAS!A:K,10,FALSE) + IF(I24="Sí",VLOOKUP(D24,TARIFAS!A:K,11,FALSE),0)
   )
 )
)
</f>
        <v>0</v>
      </c>
      <c r="M24" s="45">
        <f>IF(J24="",0,MAX(0,J24 - TARIFAS!G$2) * TARIFAS!F$2)
</f>
        <v>0</v>
      </c>
      <c r="N24" s="45">
        <f>+L24*TARIFAS!$K$2</f>
        <v>0</v>
      </c>
      <c r="O24" s="45">
        <f t="shared" si="1"/>
        <v>0</v>
      </c>
      <c r="P24" s="45">
        <f>+M24+O24+K24+(+I24-(I24*TARIFAS!$K$2))</f>
        <v>0</v>
      </c>
      <c r="Q24" s="42" t="str">
        <f>CONFERENCIAS!T24</f>
        <v/>
      </c>
      <c r="R24" s="45" t="str">
        <f>CONFERENCIAS!U24</f>
        <v/>
      </c>
      <c r="S24" s="45" t="str">
        <f>CONFERENCIAS!W24</f>
        <v/>
      </c>
      <c r="T24" s="48">
        <f>IF(Q24="",0,
   IF(E24=1,
      IF(H24="Presencial",
         VLOOKUP(D24,TARIFAS!A:K,3,FALSE) + IF(I24="Sí",VLOOKUP(D24,TARIFAS!A:K,5,FALSE),0),
         VLOOKUP(D24,TARIFAS!A:K,4,FALSE) + IF(I24="Sí",VLOOKUP(D24,TARIFAS!A:K,5,FALSE),0)
      ),
      IF(H24="Presencial",
         VLOOKUP(D24,TARIFAS!A:K,9,FALSE) + IF(I24="Sí",VLOOKUP(D24,TARIFAS!A:K,11,FALSE),0),
         VLOOKUP(D24,TARIFAS!A:K,10,FALSE) + IF(I24="Sí",VLOOKUP(D24,TARIFAS!A:K,11,FALSE),0)
      )
   )
)
</f>
        <v>0</v>
      </c>
      <c r="U24" s="45">
        <f>IF(R24="",0,MAX(0,R24 - TARIFAS!G$2) * TARIFAS!F$2)
</f>
        <v>0</v>
      </c>
      <c r="V24" s="45">
        <f>+T24*TARIFAS!$K$2</f>
        <v>0</v>
      </c>
      <c r="W24" s="45">
        <f t="shared" si="2"/>
        <v>0</v>
      </c>
      <c r="X24" s="45">
        <f t="shared" si="3"/>
        <v>0</v>
      </c>
      <c r="Y24" s="45">
        <f t="shared" si="4"/>
        <v>0</v>
      </c>
      <c r="Z24" s="42" t="str">
        <f>CONFERENCIAS!AB24</f>
        <v/>
      </c>
      <c r="AA24" s="42" t="str">
        <f>CONFERENCIAS!AC24</f>
        <v/>
      </c>
      <c r="AB24" s="47" t="str">
        <f t="shared" si="5"/>
        <v/>
      </c>
      <c r="AC24" s="9" t="str">
        <f t="shared" si="6"/>
        <v/>
      </c>
    </row>
    <row r="25">
      <c r="A25" s="42" t="str">
        <f>CONFERENCIAS!A25</f>
        <v/>
      </c>
      <c r="D25" s="42" t="str">
        <f>CONFERENCIAS!C25</f>
        <v/>
      </c>
      <c r="E25" s="42" t="str">
        <f>CONFERENCIAS!K25</f>
        <v/>
      </c>
      <c r="F25" s="49" t="str">
        <f>CONFERENCIAS!J25</f>
        <v/>
      </c>
      <c r="G25" s="42" t="str">
        <f>CONFERENCIAS!O25</f>
        <v/>
      </c>
      <c r="H25" s="42" t="str">
        <f>CONFERENCIAS!X25</f>
        <v/>
      </c>
      <c r="I25" s="42" t="str">
        <f>CONFERENCIAS!AA25</f>
        <v/>
      </c>
      <c r="J25" s="44" t="str">
        <f>CONFERENCIAS!P25</f>
        <v/>
      </c>
      <c r="K25" s="45" t="str">
        <f>CONFERENCIAS!R25</f>
        <v/>
      </c>
      <c r="L25" s="45">
        <f>IF(D25="",0,
 IF(E25=1,
   IF(H25="Presencial",
      VLOOKUP(D25,TARIFAS!A:K,3,FALSE) + IF(I25="Sí",VLOOKUP(D25,TARIFAS!A:K,5,FALSE),0),
      VLOOKUP(D25,TARIFAS!A:K,4,FALSE) + IF(I25="Sí",VLOOKUP(D25,TARIFAS!A:K,5,FALSE),0)
   ),
   IF(H25="Presencial",
      VLOOKUP(D25,TARIFAS!A:K,9,FALSE) + IF(I25="Sí",VLOOKUP(D25,TARIFAS!A:K,11,FALSE),0),
      VLOOKUP(D25,TARIFAS!A:K,10,FALSE) + IF(I25="Sí",VLOOKUP(D25,TARIFAS!A:K,11,FALSE),0)
   )
 )
)
</f>
        <v>0</v>
      </c>
      <c r="M25" s="45">
        <f>IF(J25="",0,MAX(0,J25 - TARIFAS!G$2) * TARIFAS!F$2)
</f>
        <v>0</v>
      </c>
      <c r="N25" s="45">
        <f>+L25*TARIFAS!$K$2</f>
        <v>0</v>
      </c>
      <c r="O25" s="45">
        <f t="shared" si="1"/>
        <v>0</v>
      </c>
      <c r="P25" s="45">
        <f>+M25+O25+K25+(+I25-(I25*TARIFAS!$K$2))</f>
        <v>0</v>
      </c>
      <c r="Q25" s="42" t="str">
        <f>CONFERENCIAS!T25</f>
        <v/>
      </c>
      <c r="R25" s="45" t="str">
        <f>CONFERENCIAS!U25</f>
        <v/>
      </c>
      <c r="S25" s="45" t="str">
        <f>CONFERENCIAS!W25</f>
        <v/>
      </c>
      <c r="T25" s="48">
        <f>IF(Q25="",0,
   IF(E25=1,
      IF(H25="Presencial",
         VLOOKUP(D25,TARIFAS!A:K,3,FALSE) + IF(I25="Sí",VLOOKUP(D25,TARIFAS!A:K,5,FALSE),0),
         VLOOKUP(D25,TARIFAS!A:K,4,FALSE) + IF(I25="Sí",VLOOKUP(D25,TARIFAS!A:K,5,FALSE),0)
      ),
      IF(H25="Presencial",
         VLOOKUP(D25,TARIFAS!A:K,9,FALSE) + IF(I25="Sí",VLOOKUP(D25,TARIFAS!A:K,11,FALSE),0),
         VLOOKUP(D25,TARIFAS!A:K,10,FALSE) + IF(I25="Sí",VLOOKUP(D25,TARIFAS!A:K,11,FALSE),0)
      )
   )
)
</f>
        <v>0</v>
      </c>
      <c r="U25" s="45">
        <f>IF(R25="",0,MAX(0,R25 - TARIFAS!G$2) * TARIFAS!F$2)
</f>
        <v>0</v>
      </c>
      <c r="V25" s="45">
        <f>+T25*TARIFAS!$K$2</f>
        <v>0</v>
      </c>
      <c r="W25" s="45">
        <f t="shared" si="2"/>
        <v>0</v>
      </c>
      <c r="X25" s="45">
        <f t="shared" si="3"/>
        <v>0</v>
      </c>
      <c r="Y25" s="45">
        <f t="shared" si="4"/>
        <v>0</v>
      </c>
      <c r="Z25" s="42" t="str">
        <f>CONFERENCIAS!AB25</f>
        <v/>
      </c>
      <c r="AA25" s="42" t="str">
        <f>CONFERENCIAS!AC25</f>
        <v/>
      </c>
      <c r="AB25" s="47" t="str">
        <f t="shared" si="5"/>
        <v/>
      </c>
      <c r="AC25" s="9" t="str">
        <f t="shared" si="6"/>
        <v/>
      </c>
    </row>
    <row r="26">
      <c r="A26" s="42" t="str">
        <f>CONFERENCIAS!A26</f>
        <v/>
      </c>
      <c r="D26" s="42" t="str">
        <f>CONFERENCIAS!C26</f>
        <v/>
      </c>
      <c r="E26" s="42" t="str">
        <f>CONFERENCIAS!K26</f>
        <v/>
      </c>
      <c r="F26" s="49" t="str">
        <f>CONFERENCIAS!J26</f>
        <v/>
      </c>
      <c r="G26" s="42" t="str">
        <f>CONFERENCIAS!O26</f>
        <v/>
      </c>
      <c r="H26" s="42" t="str">
        <f>CONFERENCIAS!X26</f>
        <v/>
      </c>
      <c r="I26" s="42" t="str">
        <f>CONFERENCIAS!AA26</f>
        <v/>
      </c>
      <c r="J26" s="44" t="str">
        <f>CONFERENCIAS!P26</f>
        <v/>
      </c>
      <c r="K26" s="45" t="str">
        <f>CONFERENCIAS!R26</f>
        <v/>
      </c>
      <c r="L26" s="45">
        <f>IF(D26="",0,
 IF(E26=1,
   IF(H26="Presencial",
      VLOOKUP(D26,TARIFAS!A:K,3,FALSE) + IF(I26="Sí",VLOOKUP(D26,TARIFAS!A:K,5,FALSE),0),
      VLOOKUP(D26,TARIFAS!A:K,4,FALSE) + IF(I26="Sí",VLOOKUP(D26,TARIFAS!A:K,5,FALSE),0)
   ),
   IF(H26="Presencial",
      VLOOKUP(D26,TARIFAS!A:K,9,FALSE) + IF(I26="Sí",VLOOKUP(D26,TARIFAS!A:K,11,FALSE),0),
      VLOOKUP(D26,TARIFAS!A:K,10,FALSE) + IF(I26="Sí",VLOOKUP(D26,TARIFAS!A:K,11,FALSE),0)
   )
 )
)
</f>
        <v>0</v>
      </c>
      <c r="M26" s="45">
        <f>IF(J26="",0,MAX(0,J26 - TARIFAS!G$2) * TARIFAS!F$2)
</f>
        <v>0</v>
      </c>
      <c r="N26" s="45">
        <f>+L26*TARIFAS!$K$2</f>
        <v>0</v>
      </c>
      <c r="O26" s="45">
        <f t="shared" si="1"/>
        <v>0</v>
      </c>
      <c r="P26" s="45">
        <f>+M26+O26+K26+(+I26-(I26*TARIFAS!$K$2))</f>
        <v>0</v>
      </c>
      <c r="Q26" s="42" t="str">
        <f>CONFERENCIAS!T26</f>
        <v/>
      </c>
      <c r="R26" s="45" t="str">
        <f>CONFERENCIAS!U26</f>
        <v/>
      </c>
      <c r="S26" s="45" t="str">
        <f>CONFERENCIAS!W26</f>
        <v/>
      </c>
      <c r="T26" s="48">
        <f>IF(Q26="",0,
   IF(E26=1,
      IF(H26="Presencial",
         VLOOKUP(D26,TARIFAS!A:K,3,FALSE) + IF(I26="Sí",VLOOKUP(D26,TARIFAS!A:K,5,FALSE),0),
         VLOOKUP(D26,TARIFAS!A:K,4,FALSE) + IF(I26="Sí",VLOOKUP(D26,TARIFAS!A:K,5,FALSE),0)
      ),
      IF(H26="Presencial",
         VLOOKUP(D26,TARIFAS!A:K,9,FALSE) + IF(I26="Sí",VLOOKUP(D26,TARIFAS!A:K,11,FALSE),0),
         VLOOKUP(D26,TARIFAS!A:K,10,FALSE) + IF(I26="Sí",VLOOKUP(D26,TARIFAS!A:K,11,FALSE),0)
      )
   )
)
</f>
        <v>0</v>
      </c>
      <c r="U26" s="45">
        <f>IF(R26="",0,MAX(0,R26 - TARIFAS!G$2) * TARIFAS!F$2)
</f>
        <v>0</v>
      </c>
      <c r="V26" s="45">
        <f>+T26*TARIFAS!$K$2</f>
        <v>0</v>
      </c>
      <c r="W26" s="45">
        <f t="shared" si="2"/>
        <v>0</v>
      </c>
      <c r="X26" s="45">
        <f t="shared" si="3"/>
        <v>0</v>
      </c>
      <c r="Y26" s="45">
        <f t="shared" si="4"/>
        <v>0</v>
      </c>
      <c r="Z26" s="42" t="str">
        <f>CONFERENCIAS!AB26</f>
        <v/>
      </c>
      <c r="AA26" s="42" t="str">
        <f>CONFERENCIAS!AC26</f>
        <v/>
      </c>
      <c r="AB26" s="47" t="str">
        <f t="shared" si="5"/>
        <v/>
      </c>
      <c r="AC26" s="9" t="str">
        <f t="shared" si="6"/>
        <v/>
      </c>
    </row>
    <row r="27">
      <c r="A27" s="42" t="str">
        <f>CONFERENCIAS!A27</f>
        <v/>
      </c>
      <c r="D27" s="42" t="str">
        <f>CONFERENCIAS!C27</f>
        <v/>
      </c>
      <c r="E27" s="42" t="str">
        <f>CONFERENCIAS!K27</f>
        <v/>
      </c>
      <c r="F27" s="49" t="str">
        <f>CONFERENCIAS!J27</f>
        <v/>
      </c>
      <c r="G27" s="42" t="str">
        <f>CONFERENCIAS!O27</f>
        <v/>
      </c>
      <c r="H27" s="42" t="str">
        <f>CONFERENCIAS!X27</f>
        <v/>
      </c>
      <c r="I27" s="42" t="str">
        <f>CONFERENCIAS!AA27</f>
        <v/>
      </c>
      <c r="J27" s="44" t="str">
        <f>CONFERENCIAS!P27</f>
        <v/>
      </c>
      <c r="K27" s="45" t="str">
        <f>CONFERENCIAS!R27</f>
        <v/>
      </c>
      <c r="L27" s="45">
        <f>IF(D27="",0,
 IF(E27=1,
   IF(H27="Presencial",
      VLOOKUP(D27,TARIFAS!A:K,3,FALSE) + IF(I27="Sí",VLOOKUP(D27,TARIFAS!A:K,5,FALSE),0),
      VLOOKUP(D27,TARIFAS!A:K,4,FALSE) + IF(I27="Sí",VLOOKUP(D27,TARIFAS!A:K,5,FALSE),0)
   ),
   IF(H27="Presencial",
      VLOOKUP(D27,TARIFAS!A:K,9,FALSE) + IF(I27="Sí",VLOOKUP(D27,TARIFAS!A:K,11,FALSE),0),
      VLOOKUP(D27,TARIFAS!A:K,10,FALSE) + IF(I27="Sí",VLOOKUP(D27,TARIFAS!A:K,11,FALSE),0)
   )
 )
)
</f>
        <v>0</v>
      </c>
      <c r="M27" s="45">
        <f>IF(J27="",0,MAX(0,J27 - TARIFAS!G$2) * TARIFAS!F$2)
</f>
        <v>0</v>
      </c>
      <c r="N27" s="45">
        <f>+L27*TARIFAS!$K$2</f>
        <v>0</v>
      </c>
      <c r="O27" s="45">
        <f t="shared" si="1"/>
        <v>0</v>
      </c>
      <c r="P27" s="45">
        <f>+M27+O27+K27+(+I27-(I27*TARIFAS!$K$2))</f>
        <v>0</v>
      </c>
      <c r="Q27" s="42" t="str">
        <f>CONFERENCIAS!T27</f>
        <v/>
      </c>
      <c r="R27" s="45" t="str">
        <f>CONFERENCIAS!U27</f>
        <v/>
      </c>
      <c r="S27" s="45" t="str">
        <f>CONFERENCIAS!W27</f>
        <v/>
      </c>
      <c r="T27" s="48">
        <f>IF(Q27="",0,
   IF(E27=1,
      IF(H27="Presencial",
         VLOOKUP(D27,TARIFAS!A:K,3,FALSE) + IF(I27="Sí",VLOOKUP(D27,TARIFAS!A:K,5,FALSE),0),
         VLOOKUP(D27,TARIFAS!A:K,4,FALSE) + IF(I27="Sí",VLOOKUP(D27,TARIFAS!A:K,5,FALSE),0)
      ),
      IF(H27="Presencial",
         VLOOKUP(D27,TARIFAS!A:K,9,FALSE) + IF(I27="Sí",VLOOKUP(D27,TARIFAS!A:K,11,FALSE),0),
         VLOOKUP(D27,TARIFAS!A:K,10,FALSE) + IF(I27="Sí",VLOOKUP(D27,TARIFAS!A:K,11,FALSE),0)
      )
   )
)
</f>
        <v>0</v>
      </c>
      <c r="U27" s="45">
        <f>IF(R27="",0,MAX(0,R27 - TARIFAS!G$2) * TARIFAS!F$2)
</f>
        <v>0</v>
      </c>
      <c r="V27" s="45">
        <f>+T27*TARIFAS!$K$2</f>
        <v>0</v>
      </c>
      <c r="W27" s="45">
        <f t="shared" si="2"/>
        <v>0</v>
      </c>
      <c r="X27" s="45">
        <f t="shared" si="3"/>
        <v>0</v>
      </c>
      <c r="Y27" s="45">
        <f t="shared" si="4"/>
        <v>0</v>
      </c>
      <c r="Z27" s="42" t="str">
        <f>CONFERENCIAS!AB27</f>
        <v/>
      </c>
      <c r="AA27" s="42" t="str">
        <f>CONFERENCIAS!AC27</f>
        <v/>
      </c>
      <c r="AB27" s="47" t="str">
        <f t="shared" si="5"/>
        <v/>
      </c>
      <c r="AC27" s="9" t="str">
        <f t="shared" si="6"/>
        <v/>
      </c>
    </row>
    <row r="28">
      <c r="A28" s="42" t="str">
        <f>CONFERENCIAS!A28</f>
        <v/>
      </c>
      <c r="D28" s="42" t="str">
        <f>CONFERENCIAS!C28</f>
        <v/>
      </c>
      <c r="E28" s="42" t="str">
        <f>CONFERENCIAS!K28</f>
        <v/>
      </c>
      <c r="F28" s="49" t="str">
        <f>CONFERENCIAS!J28</f>
        <v/>
      </c>
      <c r="G28" s="42" t="str">
        <f>CONFERENCIAS!O28</f>
        <v/>
      </c>
      <c r="H28" s="42" t="str">
        <f>CONFERENCIAS!X28</f>
        <v/>
      </c>
      <c r="I28" s="42" t="str">
        <f>CONFERENCIAS!AA28</f>
        <v/>
      </c>
      <c r="J28" s="44" t="str">
        <f>CONFERENCIAS!P28</f>
        <v/>
      </c>
      <c r="K28" s="45" t="str">
        <f>CONFERENCIAS!R28</f>
        <v/>
      </c>
      <c r="L28" s="45">
        <f>IF(D28="",0,
 IF(E28=1,
   IF(H28="Presencial",
      VLOOKUP(D28,TARIFAS!A:K,3,FALSE) + IF(I28="Sí",VLOOKUP(D28,TARIFAS!A:K,5,FALSE),0),
      VLOOKUP(D28,TARIFAS!A:K,4,FALSE) + IF(I28="Sí",VLOOKUP(D28,TARIFAS!A:K,5,FALSE),0)
   ),
   IF(H28="Presencial",
      VLOOKUP(D28,TARIFAS!A:K,9,FALSE) + IF(I28="Sí",VLOOKUP(D28,TARIFAS!A:K,11,FALSE),0),
      VLOOKUP(D28,TARIFAS!A:K,10,FALSE) + IF(I28="Sí",VLOOKUP(D28,TARIFAS!A:K,11,FALSE),0)
   )
 )
)
</f>
        <v>0</v>
      </c>
      <c r="M28" s="45">
        <f>IF(J28="",0,MAX(0,J28 - TARIFAS!G$2) * TARIFAS!F$2)
</f>
        <v>0</v>
      </c>
      <c r="N28" s="45">
        <f>+L28*TARIFAS!$K$2</f>
        <v>0</v>
      </c>
      <c r="O28" s="45">
        <f t="shared" si="1"/>
        <v>0</v>
      </c>
      <c r="P28" s="45">
        <f>+M28+O28+K28+(+I28-(I28*TARIFAS!$K$2))</f>
        <v>0</v>
      </c>
      <c r="Q28" s="42" t="str">
        <f>CONFERENCIAS!T28</f>
        <v/>
      </c>
      <c r="R28" s="45" t="str">
        <f>CONFERENCIAS!U28</f>
        <v/>
      </c>
      <c r="S28" s="45" t="str">
        <f>CONFERENCIAS!W28</f>
        <v/>
      </c>
      <c r="T28" s="48">
        <f>IF(Q28="",0,
   IF(E28=1,
      IF(H28="Presencial",
         VLOOKUP(D28,TARIFAS!A:K,3,FALSE) + IF(I28="Sí",VLOOKUP(D28,TARIFAS!A:K,5,FALSE),0),
         VLOOKUP(D28,TARIFAS!A:K,4,FALSE) + IF(I28="Sí",VLOOKUP(D28,TARIFAS!A:K,5,FALSE),0)
      ),
      IF(H28="Presencial",
         VLOOKUP(D28,TARIFAS!A:K,9,FALSE) + IF(I28="Sí",VLOOKUP(D28,TARIFAS!A:K,11,FALSE),0),
         VLOOKUP(D28,TARIFAS!A:K,10,FALSE) + IF(I28="Sí",VLOOKUP(D28,TARIFAS!A:K,11,FALSE),0)
      )
   )
)
</f>
        <v>0</v>
      </c>
      <c r="U28" s="45">
        <f>IF(R28="",0,MAX(0,R28 - TARIFAS!G$2) * TARIFAS!F$2)
</f>
        <v>0</v>
      </c>
      <c r="V28" s="45">
        <f>+T28*TARIFAS!$K$2</f>
        <v>0</v>
      </c>
      <c r="W28" s="45">
        <f t="shared" si="2"/>
        <v>0</v>
      </c>
      <c r="X28" s="45">
        <f t="shared" si="3"/>
        <v>0</v>
      </c>
      <c r="Y28" s="45">
        <f t="shared" si="4"/>
        <v>0</v>
      </c>
      <c r="Z28" s="42" t="str">
        <f>CONFERENCIAS!AB28</f>
        <v/>
      </c>
      <c r="AA28" s="42" t="str">
        <f>CONFERENCIAS!AC28</f>
        <v/>
      </c>
      <c r="AB28" s="47" t="str">
        <f t="shared" si="5"/>
        <v/>
      </c>
      <c r="AC28" s="9" t="str">
        <f t="shared" si="6"/>
        <v/>
      </c>
    </row>
    <row r="29">
      <c r="A29" s="42" t="str">
        <f>CONFERENCIAS!A29</f>
        <v/>
      </c>
      <c r="D29" s="42" t="str">
        <f>CONFERENCIAS!C29</f>
        <v/>
      </c>
      <c r="E29" s="42" t="str">
        <f>CONFERENCIAS!K29</f>
        <v/>
      </c>
      <c r="F29" s="49" t="str">
        <f>CONFERENCIAS!J29</f>
        <v/>
      </c>
      <c r="G29" s="42" t="str">
        <f>CONFERENCIAS!O29</f>
        <v/>
      </c>
      <c r="H29" s="42" t="str">
        <f>CONFERENCIAS!X29</f>
        <v/>
      </c>
      <c r="I29" s="42" t="str">
        <f>CONFERENCIAS!AA29</f>
        <v/>
      </c>
      <c r="J29" s="44" t="str">
        <f>CONFERENCIAS!P29</f>
        <v/>
      </c>
      <c r="K29" s="45" t="str">
        <f>CONFERENCIAS!R29</f>
        <v/>
      </c>
      <c r="L29" s="45">
        <f>IF(D29="",0,
 IF(E29=1,
   IF(H29="Presencial",
      VLOOKUP(D29,TARIFAS!A:K,3,FALSE) + IF(I29="Sí",VLOOKUP(D29,TARIFAS!A:K,5,FALSE),0),
      VLOOKUP(D29,TARIFAS!A:K,4,FALSE) + IF(I29="Sí",VLOOKUP(D29,TARIFAS!A:K,5,FALSE),0)
   ),
   IF(H29="Presencial",
      VLOOKUP(D29,TARIFAS!A:K,9,FALSE) + IF(I29="Sí",VLOOKUP(D29,TARIFAS!A:K,11,FALSE),0),
      VLOOKUP(D29,TARIFAS!A:K,10,FALSE) + IF(I29="Sí",VLOOKUP(D29,TARIFAS!A:K,11,FALSE),0)
   )
 )
)
</f>
        <v>0</v>
      </c>
      <c r="M29" s="45">
        <f>IF(J29="",0,MAX(0,J29 - TARIFAS!G$2) * TARIFAS!F$2)
</f>
        <v>0</v>
      </c>
      <c r="N29" s="45">
        <f>+L29*TARIFAS!$K$2</f>
        <v>0</v>
      </c>
      <c r="O29" s="45">
        <f t="shared" si="1"/>
        <v>0</v>
      </c>
      <c r="P29" s="45">
        <f>+M29+O29+K29+(+I29-(I29*TARIFAS!$K$2))</f>
        <v>0</v>
      </c>
      <c r="Q29" s="42" t="str">
        <f>CONFERENCIAS!T29</f>
        <v/>
      </c>
      <c r="R29" s="45" t="str">
        <f>CONFERENCIAS!U29</f>
        <v/>
      </c>
      <c r="S29" s="45" t="str">
        <f>CONFERENCIAS!W29</f>
        <v/>
      </c>
      <c r="T29" s="48">
        <f>IF(Q29="",0,
   IF(E29=1,
      IF(H29="Presencial",
         VLOOKUP(D29,TARIFAS!A:K,3,FALSE) + IF(I29="Sí",VLOOKUP(D29,TARIFAS!A:K,5,FALSE),0),
         VLOOKUP(D29,TARIFAS!A:K,4,FALSE) + IF(I29="Sí",VLOOKUP(D29,TARIFAS!A:K,5,FALSE),0)
      ),
      IF(H29="Presencial",
         VLOOKUP(D29,TARIFAS!A:K,9,FALSE) + IF(I29="Sí",VLOOKUP(D29,TARIFAS!A:K,11,FALSE),0),
         VLOOKUP(D29,TARIFAS!A:K,10,FALSE) + IF(I29="Sí",VLOOKUP(D29,TARIFAS!A:K,11,FALSE),0)
      )
   )
)
</f>
        <v>0</v>
      </c>
      <c r="U29" s="45">
        <f>IF(R29="",0,MAX(0,R29 - TARIFAS!G$2) * TARIFAS!F$2)
</f>
        <v>0</v>
      </c>
      <c r="V29" s="45">
        <f>+T29*TARIFAS!$K$2</f>
        <v>0</v>
      </c>
      <c r="W29" s="45">
        <f t="shared" si="2"/>
        <v>0</v>
      </c>
      <c r="X29" s="45">
        <f t="shared" si="3"/>
        <v>0</v>
      </c>
      <c r="Y29" s="45">
        <f t="shared" si="4"/>
        <v>0</v>
      </c>
      <c r="Z29" s="42" t="str">
        <f>CONFERENCIAS!AB29</f>
        <v/>
      </c>
      <c r="AA29" s="42" t="str">
        <f>CONFERENCIAS!AC29</f>
        <v/>
      </c>
      <c r="AB29" s="47" t="str">
        <f t="shared" si="5"/>
        <v/>
      </c>
      <c r="AC29" s="9" t="str">
        <f t="shared" si="6"/>
        <v/>
      </c>
    </row>
    <row r="30">
      <c r="A30" s="42" t="str">
        <f>CONFERENCIAS!A30</f>
        <v/>
      </c>
      <c r="D30" s="42" t="str">
        <f>CONFERENCIAS!C30</f>
        <v/>
      </c>
      <c r="E30" s="42" t="str">
        <f>CONFERENCIAS!K30</f>
        <v/>
      </c>
      <c r="F30" s="49" t="str">
        <f>CONFERENCIAS!J30</f>
        <v/>
      </c>
      <c r="G30" s="42" t="str">
        <f>CONFERENCIAS!O30</f>
        <v/>
      </c>
      <c r="H30" s="42" t="str">
        <f>CONFERENCIAS!X30</f>
        <v/>
      </c>
      <c r="I30" s="42" t="str">
        <f>CONFERENCIAS!AA30</f>
        <v/>
      </c>
      <c r="J30" s="44" t="str">
        <f>CONFERENCIAS!P30</f>
        <v/>
      </c>
      <c r="K30" s="45" t="str">
        <f>CONFERENCIAS!R30</f>
        <v/>
      </c>
      <c r="L30" s="45">
        <f>IF(D30="",0,
 IF(E30=1,
   IF(H30="Presencial",
      VLOOKUP(D30,TARIFAS!A:K,3,FALSE) + IF(I30="Sí",VLOOKUP(D30,TARIFAS!A:K,5,FALSE),0),
      VLOOKUP(D30,TARIFAS!A:K,4,FALSE) + IF(I30="Sí",VLOOKUP(D30,TARIFAS!A:K,5,FALSE),0)
   ),
   IF(H30="Presencial",
      VLOOKUP(D30,TARIFAS!A:K,9,FALSE) + IF(I30="Sí",VLOOKUP(D30,TARIFAS!A:K,11,FALSE),0),
      VLOOKUP(D30,TARIFAS!A:K,10,FALSE) + IF(I30="Sí",VLOOKUP(D30,TARIFAS!A:K,11,FALSE),0)
   )
 )
)
</f>
        <v>0</v>
      </c>
      <c r="M30" s="45">
        <f>IF(J30="",0,MAX(0,J30 - TARIFAS!G$2) * TARIFAS!F$2)
</f>
        <v>0</v>
      </c>
      <c r="N30" s="45">
        <f>+L30*TARIFAS!$K$2</f>
        <v>0</v>
      </c>
      <c r="O30" s="45">
        <f t="shared" si="1"/>
        <v>0</v>
      </c>
      <c r="P30" s="45">
        <f>+M30+O30+K30+(+I30-(I30*TARIFAS!$K$2))</f>
        <v>0</v>
      </c>
      <c r="Q30" s="42" t="str">
        <f>CONFERENCIAS!T30</f>
        <v/>
      </c>
      <c r="R30" s="45" t="str">
        <f>CONFERENCIAS!U30</f>
        <v/>
      </c>
      <c r="S30" s="45" t="str">
        <f>CONFERENCIAS!W30</f>
        <v/>
      </c>
      <c r="T30" s="48">
        <f>IF(Q30="",0,
   IF(E30=1,
      IF(H30="Presencial",
         VLOOKUP(D30,TARIFAS!A:K,3,FALSE) + IF(I30="Sí",VLOOKUP(D30,TARIFAS!A:K,5,FALSE),0),
         VLOOKUP(D30,TARIFAS!A:K,4,FALSE) + IF(I30="Sí",VLOOKUP(D30,TARIFAS!A:K,5,FALSE),0)
      ),
      IF(H30="Presencial",
         VLOOKUP(D30,TARIFAS!A:K,9,FALSE) + IF(I30="Sí",VLOOKUP(D30,TARIFAS!A:K,11,FALSE),0),
         VLOOKUP(D30,TARIFAS!A:K,10,FALSE) + IF(I30="Sí",VLOOKUP(D30,TARIFAS!A:K,11,FALSE),0)
      )
   )
)
</f>
        <v>0</v>
      </c>
      <c r="U30" s="45">
        <f>IF(R30="",0,MAX(0,R30 - TARIFAS!G$2) * TARIFAS!F$2)
</f>
        <v>0</v>
      </c>
      <c r="V30" s="45">
        <f>+T30*TARIFAS!$K$2</f>
        <v>0</v>
      </c>
      <c r="W30" s="45">
        <f t="shared" si="2"/>
        <v>0</v>
      </c>
      <c r="X30" s="45">
        <f t="shared" si="3"/>
        <v>0</v>
      </c>
      <c r="Y30" s="45">
        <f t="shared" si="4"/>
        <v>0</v>
      </c>
      <c r="Z30" s="42" t="str">
        <f>CONFERENCIAS!AB30</f>
        <v/>
      </c>
      <c r="AA30" s="42" t="str">
        <f>CONFERENCIAS!AC30</f>
        <v/>
      </c>
      <c r="AB30" s="47" t="str">
        <f t="shared" si="5"/>
        <v/>
      </c>
      <c r="AC30" s="9" t="str">
        <f t="shared" si="6"/>
        <v/>
      </c>
    </row>
    <row r="31">
      <c r="A31" s="42" t="str">
        <f>CONFERENCIAS!A31</f>
        <v/>
      </c>
      <c r="D31" s="42" t="str">
        <f>CONFERENCIAS!C31</f>
        <v/>
      </c>
      <c r="E31" s="42" t="str">
        <f>CONFERENCIAS!K31</f>
        <v/>
      </c>
      <c r="F31" s="49" t="str">
        <f>CONFERENCIAS!J31</f>
        <v/>
      </c>
      <c r="G31" s="42" t="str">
        <f>CONFERENCIAS!O31</f>
        <v/>
      </c>
      <c r="H31" s="42" t="str">
        <f>CONFERENCIAS!X31</f>
        <v/>
      </c>
      <c r="I31" s="42" t="str">
        <f>CONFERENCIAS!AA31</f>
        <v/>
      </c>
      <c r="J31" s="44" t="str">
        <f>CONFERENCIAS!P31</f>
        <v/>
      </c>
      <c r="K31" s="45" t="str">
        <f>CONFERENCIAS!R31</f>
        <v/>
      </c>
      <c r="L31" s="45">
        <f>IF(D31="",0,
 IF(E31=1,
   IF(H31="Presencial",
      VLOOKUP(D31,TARIFAS!A:K,3,FALSE) + IF(I31="Sí",VLOOKUP(D31,TARIFAS!A:K,5,FALSE),0),
      VLOOKUP(D31,TARIFAS!A:K,4,FALSE) + IF(I31="Sí",VLOOKUP(D31,TARIFAS!A:K,5,FALSE),0)
   ),
   IF(H31="Presencial",
      VLOOKUP(D31,TARIFAS!A:K,9,FALSE) + IF(I31="Sí",VLOOKUP(D31,TARIFAS!A:K,11,FALSE),0),
      VLOOKUP(D31,TARIFAS!A:K,10,FALSE) + IF(I31="Sí",VLOOKUP(D31,TARIFAS!A:K,11,FALSE),0)
   )
 )
)
</f>
        <v>0</v>
      </c>
      <c r="M31" s="45">
        <f>IF(J31="",0,MAX(0,J31 - TARIFAS!G$2) * TARIFAS!F$2)
</f>
        <v>0</v>
      </c>
      <c r="N31" s="45">
        <f>+L31*TARIFAS!$K$2</f>
        <v>0</v>
      </c>
      <c r="O31" s="45">
        <f t="shared" si="1"/>
        <v>0</v>
      </c>
      <c r="P31" s="45">
        <f>+M31+O31+K31+(+I31-(I31*TARIFAS!$K$2))</f>
        <v>0</v>
      </c>
      <c r="Q31" s="42" t="str">
        <f>CONFERENCIAS!T31</f>
        <v/>
      </c>
      <c r="R31" s="45" t="str">
        <f>CONFERENCIAS!U31</f>
        <v/>
      </c>
      <c r="S31" s="45" t="str">
        <f>CONFERENCIAS!W31</f>
        <v/>
      </c>
      <c r="T31" s="48">
        <f>IF(Q31="",0,
   IF(E31=1,
      IF(H31="Presencial",
         VLOOKUP(D31,TARIFAS!A:K,3,FALSE) + IF(I31="Sí",VLOOKUP(D31,TARIFAS!A:K,5,FALSE),0),
         VLOOKUP(D31,TARIFAS!A:K,4,FALSE) + IF(I31="Sí",VLOOKUP(D31,TARIFAS!A:K,5,FALSE),0)
      ),
      IF(H31="Presencial",
         VLOOKUP(D31,TARIFAS!A:K,9,FALSE) + IF(I31="Sí",VLOOKUP(D31,TARIFAS!A:K,11,FALSE),0),
         VLOOKUP(D31,TARIFAS!A:K,10,FALSE) + IF(I31="Sí",VLOOKUP(D31,TARIFAS!A:K,11,FALSE),0)
      )
   )
)
</f>
        <v>0</v>
      </c>
      <c r="U31" s="45">
        <f>IF(R31="",0,MAX(0,R31 - TARIFAS!G$2) * TARIFAS!F$2)
</f>
        <v>0</v>
      </c>
      <c r="V31" s="45">
        <f>+T31*TARIFAS!$K$2</f>
        <v>0</v>
      </c>
      <c r="W31" s="45">
        <f t="shared" si="2"/>
        <v>0</v>
      </c>
      <c r="X31" s="45">
        <f t="shared" si="3"/>
        <v>0</v>
      </c>
      <c r="Y31" s="45">
        <f t="shared" si="4"/>
        <v>0</v>
      </c>
      <c r="Z31" s="42" t="str">
        <f>CONFERENCIAS!AB31</f>
        <v/>
      </c>
      <c r="AA31" s="42" t="str">
        <f>CONFERENCIAS!AC31</f>
        <v/>
      </c>
      <c r="AB31" s="47" t="str">
        <f t="shared" si="5"/>
        <v/>
      </c>
      <c r="AC31" s="9" t="str">
        <f t="shared" si="6"/>
        <v/>
      </c>
    </row>
    <row r="32">
      <c r="A32" s="42" t="str">
        <f>CONFERENCIAS!A32</f>
        <v/>
      </c>
      <c r="D32" s="42" t="str">
        <f>CONFERENCIAS!C32</f>
        <v/>
      </c>
      <c r="E32" s="42" t="str">
        <f>CONFERENCIAS!K32</f>
        <v/>
      </c>
      <c r="F32" s="49" t="str">
        <f>CONFERENCIAS!J32</f>
        <v/>
      </c>
      <c r="G32" s="42" t="str">
        <f>CONFERENCIAS!O32</f>
        <v/>
      </c>
      <c r="H32" s="42" t="str">
        <f>CONFERENCIAS!X32</f>
        <v/>
      </c>
      <c r="I32" s="42" t="str">
        <f>CONFERENCIAS!AA32</f>
        <v/>
      </c>
      <c r="J32" s="44" t="str">
        <f>CONFERENCIAS!P32</f>
        <v/>
      </c>
      <c r="K32" s="45" t="str">
        <f>CONFERENCIAS!R32</f>
        <v/>
      </c>
      <c r="L32" s="45">
        <f>IF(D32="",0,
 IF(E32=1,
   IF(H32="Presencial",
      VLOOKUP(D32,TARIFAS!A:K,3,FALSE) + IF(I32="Sí",VLOOKUP(D32,TARIFAS!A:K,5,FALSE),0),
      VLOOKUP(D32,TARIFAS!A:K,4,FALSE) + IF(I32="Sí",VLOOKUP(D32,TARIFAS!A:K,5,FALSE),0)
   ),
   IF(H32="Presencial",
      VLOOKUP(D32,TARIFAS!A:K,9,FALSE) + IF(I32="Sí",VLOOKUP(D32,TARIFAS!A:K,11,FALSE),0),
      VLOOKUP(D32,TARIFAS!A:K,10,FALSE) + IF(I32="Sí",VLOOKUP(D32,TARIFAS!A:K,11,FALSE),0)
   )
 )
)
</f>
        <v>0</v>
      </c>
      <c r="M32" s="45">
        <f>IF(J32="",0,MAX(0,J32 - TARIFAS!G$2) * TARIFAS!F$2)
</f>
        <v>0</v>
      </c>
      <c r="N32" s="45">
        <f>+L32*TARIFAS!$K$2</f>
        <v>0</v>
      </c>
      <c r="O32" s="45">
        <f t="shared" si="1"/>
        <v>0</v>
      </c>
      <c r="P32" s="45">
        <f>+M32+O32+K32+(+I32-(I32*TARIFAS!$K$2))</f>
        <v>0</v>
      </c>
      <c r="Q32" s="42" t="str">
        <f>CONFERENCIAS!T32</f>
        <v/>
      </c>
      <c r="R32" s="45" t="str">
        <f>CONFERENCIAS!U32</f>
        <v/>
      </c>
      <c r="S32" s="45" t="str">
        <f>CONFERENCIAS!W32</f>
        <v/>
      </c>
      <c r="T32" s="48">
        <f>IF(Q32="",0,
   IF(E32=1,
      IF(H32="Presencial",
         VLOOKUP(D32,TARIFAS!A:K,3,FALSE) + IF(I32="Sí",VLOOKUP(D32,TARIFAS!A:K,5,FALSE),0),
         VLOOKUP(D32,TARIFAS!A:K,4,FALSE) + IF(I32="Sí",VLOOKUP(D32,TARIFAS!A:K,5,FALSE),0)
      ),
      IF(H32="Presencial",
         VLOOKUP(D32,TARIFAS!A:K,9,FALSE) + IF(I32="Sí",VLOOKUP(D32,TARIFAS!A:K,11,FALSE),0),
         VLOOKUP(D32,TARIFAS!A:K,10,FALSE) + IF(I32="Sí",VLOOKUP(D32,TARIFAS!A:K,11,FALSE),0)
      )
   )
)
</f>
        <v>0</v>
      </c>
      <c r="U32" s="45">
        <f>IF(R32="",0,MAX(0,R32 - TARIFAS!G$2) * TARIFAS!F$2)
</f>
        <v>0</v>
      </c>
      <c r="V32" s="45">
        <f>+T32*TARIFAS!$K$2</f>
        <v>0</v>
      </c>
      <c r="W32" s="45">
        <f t="shared" si="2"/>
        <v>0</v>
      </c>
      <c r="X32" s="45">
        <f t="shared" si="3"/>
        <v>0</v>
      </c>
      <c r="Y32" s="45">
        <f t="shared" si="4"/>
        <v>0</v>
      </c>
      <c r="Z32" s="42" t="str">
        <f>CONFERENCIAS!AB32</f>
        <v/>
      </c>
      <c r="AA32" s="42" t="str">
        <f>CONFERENCIAS!AC32</f>
        <v/>
      </c>
      <c r="AB32" s="47" t="str">
        <f t="shared" si="5"/>
        <v/>
      </c>
      <c r="AC32" s="9" t="str">
        <f t="shared" si="6"/>
        <v/>
      </c>
    </row>
    <row r="33">
      <c r="A33" s="42" t="str">
        <f>CONFERENCIAS!A33</f>
        <v/>
      </c>
      <c r="D33" s="42" t="str">
        <f>CONFERENCIAS!C33</f>
        <v/>
      </c>
      <c r="E33" s="42" t="str">
        <f>CONFERENCIAS!K33</f>
        <v/>
      </c>
      <c r="F33" s="49" t="str">
        <f>CONFERENCIAS!J33</f>
        <v/>
      </c>
      <c r="G33" s="42" t="str">
        <f>CONFERENCIAS!O33</f>
        <v/>
      </c>
      <c r="H33" s="42" t="str">
        <f>CONFERENCIAS!X33</f>
        <v/>
      </c>
      <c r="I33" s="42" t="str">
        <f>CONFERENCIAS!AA33</f>
        <v/>
      </c>
      <c r="J33" s="44" t="str">
        <f>CONFERENCIAS!P33</f>
        <v/>
      </c>
      <c r="K33" s="45" t="str">
        <f>CONFERENCIAS!R33</f>
        <v/>
      </c>
      <c r="L33" s="45">
        <f>IF(D33="",0,
 IF(E33=1,
   IF(H33="Presencial",
      VLOOKUP(D33,TARIFAS!A:K,3,FALSE) + IF(I33="Sí",VLOOKUP(D33,TARIFAS!A:K,5,FALSE),0),
      VLOOKUP(D33,TARIFAS!A:K,4,FALSE) + IF(I33="Sí",VLOOKUP(D33,TARIFAS!A:K,5,FALSE),0)
   ),
   IF(H33="Presencial",
      VLOOKUP(D33,TARIFAS!A:K,9,FALSE) + IF(I33="Sí",VLOOKUP(D33,TARIFAS!A:K,11,FALSE),0),
      VLOOKUP(D33,TARIFAS!A:K,10,FALSE) + IF(I33="Sí",VLOOKUP(D33,TARIFAS!A:K,11,FALSE),0)
   )
 )
)
</f>
        <v>0</v>
      </c>
      <c r="M33" s="45">
        <f>IF(J33="",0,MAX(0,J33 - TARIFAS!G$2) * TARIFAS!F$2)
</f>
        <v>0</v>
      </c>
      <c r="N33" s="45">
        <f>+L33*TARIFAS!$K$2</f>
        <v>0</v>
      </c>
      <c r="O33" s="45">
        <f t="shared" si="1"/>
        <v>0</v>
      </c>
      <c r="P33" s="45">
        <f>+M33+O33+K33+(+I33-(I33*TARIFAS!$K$2))</f>
        <v>0</v>
      </c>
      <c r="Q33" s="42" t="str">
        <f>CONFERENCIAS!T33</f>
        <v/>
      </c>
      <c r="R33" s="45" t="str">
        <f>CONFERENCIAS!U33</f>
        <v/>
      </c>
      <c r="S33" s="45" t="str">
        <f>CONFERENCIAS!W33</f>
        <v/>
      </c>
      <c r="T33" s="48">
        <f>IF(Q33="",0,
   IF(E33=1,
      IF(H33="Presencial",
         VLOOKUP(D33,TARIFAS!A:K,3,FALSE) + IF(I33="Sí",VLOOKUP(D33,TARIFAS!A:K,5,FALSE),0),
         VLOOKUP(D33,TARIFAS!A:K,4,FALSE) + IF(I33="Sí",VLOOKUP(D33,TARIFAS!A:K,5,FALSE),0)
      ),
      IF(H33="Presencial",
         VLOOKUP(D33,TARIFAS!A:K,9,FALSE) + IF(I33="Sí",VLOOKUP(D33,TARIFAS!A:K,11,FALSE),0),
         VLOOKUP(D33,TARIFAS!A:K,10,FALSE) + IF(I33="Sí",VLOOKUP(D33,TARIFAS!A:K,11,FALSE),0)
      )
   )
)
</f>
        <v>0</v>
      </c>
      <c r="U33" s="45">
        <f>IF(R33="",0,MAX(0,R33 - TARIFAS!G$2) * TARIFAS!F$2)
</f>
        <v>0</v>
      </c>
      <c r="V33" s="45">
        <f>+T33*TARIFAS!$K$2</f>
        <v>0</v>
      </c>
      <c r="W33" s="45">
        <f t="shared" si="2"/>
        <v>0</v>
      </c>
      <c r="X33" s="45">
        <f t="shared" si="3"/>
        <v>0</v>
      </c>
      <c r="Y33" s="45">
        <f t="shared" si="4"/>
        <v>0</v>
      </c>
      <c r="Z33" s="42" t="str">
        <f>CONFERENCIAS!AB33</f>
        <v/>
      </c>
      <c r="AA33" s="42" t="str">
        <f>CONFERENCIAS!AC33</f>
        <v/>
      </c>
      <c r="AB33" s="47" t="str">
        <f t="shared" si="5"/>
        <v/>
      </c>
      <c r="AC33" s="9" t="str">
        <f t="shared" si="6"/>
        <v/>
      </c>
    </row>
    <row r="34">
      <c r="A34" s="42" t="str">
        <f>CONFERENCIAS!A34</f>
        <v/>
      </c>
      <c r="D34" s="42" t="str">
        <f>CONFERENCIAS!C34</f>
        <v/>
      </c>
      <c r="E34" s="42" t="str">
        <f>CONFERENCIAS!K34</f>
        <v/>
      </c>
      <c r="F34" s="49" t="str">
        <f>CONFERENCIAS!J34</f>
        <v/>
      </c>
      <c r="G34" s="42" t="str">
        <f>CONFERENCIAS!O34</f>
        <v/>
      </c>
      <c r="H34" s="42" t="str">
        <f>CONFERENCIAS!X34</f>
        <v/>
      </c>
      <c r="I34" s="42" t="str">
        <f>CONFERENCIAS!AA34</f>
        <v/>
      </c>
      <c r="J34" s="44" t="str">
        <f>CONFERENCIAS!P34</f>
        <v/>
      </c>
      <c r="K34" s="45" t="str">
        <f>CONFERENCIAS!R34</f>
        <v/>
      </c>
      <c r="L34" s="45">
        <f>IF(D34="",0,
 IF(E34=1,
   IF(H34="Presencial",
      VLOOKUP(D34,TARIFAS!A:K,3,FALSE) + IF(I34="Sí",VLOOKUP(D34,TARIFAS!A:K,5,FALSE),0),
      VLOOKUP(D34,TARIFAS!A:K,4,FALSE) + IF(I34="Sí",VLOOKUP(D34,TARIFAS!A:K,5,FALSE),0)
   ),
   IF(H34="Presencial",
      VLOOKUP(D34,TARIFAS!A:K,9,FALSE) + IF(I34="Sí",VLOOKUP(D34,TARIFAS!A:K,11,FALSE),0),
      VLOOKUP(D34,TARIFAS!A:K,10,FALSE) + IF(I34="Sí",VLOOKUP(D34,TARIFAS!A:K,11,FALSE),0)
   )
 )
)
</f>
        <v>0</v>
      </c>
      <c r="M34" s="45">
        <f>IF(J34="",0,MAX(0,J34 - TARIFAS!G$2) * TARIFAS!F$2)
</f>
        <v>0</v>
      </c>
      <c r="N34" s="45">
        <f>+L34*TARIFAS!$K$2</f>
        <v>0</v>
      </c>
      <c r="O34" s="45">
        <f t="shared" si="1"/>
        <v>0</v>
      </c>
      <c r="P34" s="45">
        <f>+M34+O34+K34+(+I34-(I34*TARIFAS!$K$2))</f>
        <v>0</v>
      </c>
      <c r="Q34" s="42" t="str">
        <f>CONFERENCIAS!T34</f>
        <v/>
      </c>
      <c r="R34" s="45" t="str">
        <f>CONFERENCIAS!U34</f>
        <v/>
      </c>
      <c r="S34" s="45" t="str">
        <f>CONFERENCIAS!W34</f>
        <v/>
      </c>
      <c r="T34" s="48">
        <f>IF(Q34="",0,
   IF(E34=1,
      IF(H34="Presencial",
         VLOOKUP(D34,TARIFAS!A:K,3,FALSE) + IF(I34="Sí",VLOOKUP(D34,TARIFAS!A:K,5,FALSE),0),
         VLOOKUP(D34,TARIFAS!A:K,4,FALSE) + IF(I34="Sí",VLOOKUP(D34,TARIFAS!A:K,5,FALSE),0)
      ),
      IF(H34="Presencial",
         VLOOKUP(D34,TARIFAS!A:K,9,FALSE) + IF(I34="Sí",VLOOKUP(D34,TARIFAS!A:K,11,FALSE),0),
         VLOOKUP(D34,TARIFAS!A:K,10,FALSE) + IF(I34="Sí",VLOOKUP(D34,TARIFAS!A:K,11,FALSE),0)
      )
   )
)
</f>
        <v>0</v>
      </c>
      <c r="U34" s="45">
        <f>IF(R34="",0,MAX(0,R34 - TARIFAS!G$2) * TARIFAS!F$2)
</f>
        <v>0</v>
      </c>
      <c r="V34" s="45">
        <f>+T34*TARIFAS!$K$2</f>
        <v>0</v>
      </c>
      <c r="W34" s="45">
        <f t="shared" si="2"/>
        <v>0</v>
      </c>
      <c r="X34" s="45">
        <f t="shared" si="3"/>
        <v>0</v>
      </c>
      <c r="Y34" s="45">
        <f t="shared" si="4"/>
        <v>0</v>
      </c>
      <c r="Z34" s="42" t="str">
        <f>CONFERENCIAS!AB34</f>
        <v/>
      </c>
      <c r="AA34" s="42" t="str">
        <f>CONFERENCIAS!AC34</f>
        <v/>
      </c>
      <c r="AB34" s="47" t="str">
        <f t="shared" si="5"/>
        <v/>
      </c>
      <c r="AC34" s="9" t="str">
        <f t="shared" si="6"/>
        <v/>
      </c>
    </row>
    <row r="35">
      <c r="A35" s="42" t="str">
        <f>CONFERENCIAS!A35</f>
        <v/>
      </c>
      <c r="D35" s="42" t="str">
        <f>CONFERENCIAS!C35</f>
        <v/>
      </c>
      <c r="E35" s="42" t="str">
        <f>CONFERENCIAS!K35</f>
        <v/>
      </c>
      <c r="F35" s="49" t="str">
        <f>CONFERENCIAS!J35</f>
        <v/>
      </c>
      <c r="G35" s="42" t="str">
        <f>CONFERENCIAS!O35</f>
        <v/>
      </c>
      <c r="H35" s="42" t="str">
        <f>CONFERENCIAS!X35</f>
        <v/>
      </c>
      <c r="I35" s="42" t="str">
        <f>CONFERENCIAS!AA35</f>
        <v/>
      </c>
      <c r="J35" s="44" t="str">
        <f>CONFERENCIAS!P35</f>
        <v/>
      </c>
      <c r="K35" s="45" t="str">
        <f>CONFERENCIAS!R35</f>
        <v/>
      </c>
      <c r="L35" s="45">
        <f>IF(D35="",0,
 IF(E35=1,
   IF(H35="Presencial",
      VLOOKUP(D35,TARIFAS!A:K,3,FALSE) + IF(I35="Sí",VLOOKUP(D35,TARIFAS!A:K,5,FALSE),0),
      VLOOKUP(D35,TARIFAS!A:K,4,FALSE) + IF(I35="Sí",VLOOKUP(D35,TARIFAS!A:K,5,FALSE),0)
   ),
   IF(H35="Presencial",
      VLOOKUP(D35,TARIFAS!A:K,9,FALSE) + IF(I35="Sí",VLOOKUP(D35,TARIFAS!A:K,11,FALSE),0),
      VLOOKUP(D35,TARIFAS!A:K,10,FALSE) + IF(I35="Sí",VLOOKUP(D35,TARIFAS!A:K,11,FALSE),0)
   )
 )
)
</f>
        <v>0</v>
      </c>
      <c r="M35" s="45">
        <f>IF(J35="",0,MAX(0,J35 - TARIFAS!G$2) * TARIFAS!F$2)
</f>
        <v>0</v>
      </c>
      <c r="N35" s="45">
        <f>+L35*TARIFAS!$K$2</f>
        <v>0</v>
      </c>
      <c r="O35" s="45">
        <f t="shared" si="1"/>
        <v>0</v>
      </c>
      <c r="P35" s="45">
        <f>+M35+O35+K35+(+I35-(I35*TARIFAS!$K$2))</f>
        <v>0</v>
      </c>
      <c r="Q35" s="42" t="str">
        <f>CONFERENCIAS!T35</f>
        <v/>
      </c>
      <c r="R35" s="45" t="str">
        <f>CONFERENCIAS!U35</f>
        <v/>
      </c>
      <c r="S35" s="45" t="str">
        <f>CONFERENCIAS!W35</f>
        <v/>
      </c>
      <c r="T35" s="48">
        <f>IF(Q35="",0,
   IF(E35=1,
      IF(H35="Presencial",
         VLOOKUP(D35,TARIFAS!A:K,3,FALSE) + IF(I35="Sí",VLOOKUP(D35,TARIFAS!A:K,5,FALSE),0),
         VLOOKUP(D35,TARIFAS!A:K,4,FALSE) + IF(I35="Sí",VLOOKUP(D35,TARIFAS!A:K,5,FALSE),0)
      ),
      IF(H35="Presencial",
         VLOOKUP(D35,TARIFAS!A:K,9,FALSE) + IF(I35="Sí",VLOOKUP(D35,TARIFAS!A:K,11,FALSE),0),
         VLOOKUP(D35,TARIFAS!A:K,10,FALSE) + IF(I35="Sí",VLOOKUP(D35,TARIFAS!A:K,11,FALSE),0)
      )
   )
)
</f>
        <v>0</v>
      </c>
      <c r="U35" s="45">
        <f>IF(R35="",0,MAX(0,R35 - TARIFAS!G$2) * TARIFAS!F$2)
</f>
        <v>0</v>
      </c>
      <c r="V35" s="45">
        <f>+T35*TARIFAS!$K$2</f>
        <v>0</v>
      </c>
      <c r="W35" s="45">
        <f t="shared" si="2"/>
        <v>0</v>
      </c>
      <c r="X35" s="45">
        <f t="shared" si="3"/>
        <v>0</v>
      </c>
      <c r="Y35" s="45">
        <f t="shared" si="4"/>
        <v>0</v>
      </c>
      <c r="Z35" s="42" t="str">
        <f>CONFERENCIAS!AB35</f>
        <v/>
      </c>
      <c r="AA35" s="42" t="str">
        <f>CONFERENCIAS!AC35</f>
        <v/>
      </c>
      <c r="AB35" s="47" t="str">
        <f t="shared" si="5"/>
        <v/>
      </c>
      <c r="AC35" s="9" t="str">
        <f t="shared" si="6"/>
        <v/>
      </c>
    </row>
    <row r="36">
      <c r="A36" s="42" t="str">
        <f>CONFERENCIAS!A36</f>
        <v/>
      </c>
      <c r="D36" s="42" t="str">
        <f>CONFERENCIAS!C36</f>
        <v/>
      </c>
      <c r="E36" s="42" t="str">
        <f>CONFERENCIAS!K36</f>
        <v/>
      </c>
      <c r="F36" s="49" t="str">
        <f>CONFERENCIAS!J36</f>
        <v/>
      </c>
      <c r="G36" s="42" t="str">
        <f>CONFERENCIAS!O36</f>
        <v/>
      </c>
      <c r="H36" s="42" t="str">
        <f>CONFERENCIAS!X36</f>
        <v/>
      </c>
      <c r="I36" s="42" t="str">
        <f>CONFERENCIAS!AA36</f>
        <v/>
      </c>
      <c r="J36" s="44" t="str">
        <f>CONFERENCIAS!P36</f>
        <v/>
      </c>
      <c r="K36" s="45" t="str">
        <f>CONFERENCIAS!R36</f>
        <v/>
      </c>
      <c r="L36" s="45">
        <f>IF(D36="",0,
 IF(E36=1,
   IF(H36="Presencial",
      VLOOKUP(D36,TARIFAS!A:K,3,FALSE) + IF(I36="Sí",VLOOKUP(D36,TARIFAS!A:K,5,FALSE),0),
      VLOOKUP(D36,TARIFAS!A:K,4,FALSE) + IF(I36="Sí",VLOOKUP(D36,TARIFAS!A:K,5,FALSE),0)
   ),
   IF(H36="Presencial",
      VLOOKUP(D36,TARIFAS!A:K,9,FALSE) + IF(I36="Sí",VLOOKUP(D36,TARIFAS!A:K,11,FALSE),0),
      VLOOKUP(D36,TARIFAS!A:K,10,FALSE) + IF(I36="Sí",VLOOKUP(D36,TARIFAS!A:K,11,FALSE),0)
   )
 )
)
</f>
        <v>0</v>
      </c>
      <c r="M36" s="45">
        <f>IF(J36="",0,MAX(0,J36 - TARIFAS!G$2) * TARIFAS!F$2)
</f>
        <v>0</v>
      </c>
      <c r="N36" s="45">
        <f>+L36*TARIFAS!$K$2</f>
        <v>0</v>
      </c>
      <c r="O36" s="45">
        <f t="shared" si="1"/>
        <v>0</v>
      </c>
      <c r="P36" s="45">
        <f>+M36+O36+K36+(+I36-(I36*TARIFAS!$K$2))</f>
        <v>0</v>
      </c>
      <c r="Q36" s="42" t="str">
        <f>CONFERENCIAS!T36</f>
        <v/>
      </c>
      <c r="R36" s="45" t="str">
        <f>CONFERENCIAS!U36</f>
        <v/>
      </c>
      <c r="S36" s="45" t="str">
        <f>CONFERENCIAS!W36</f>
        <v/>
      </c>
      <c r="T36" s="48">
        <f>IF(Q36="",0,
   IF(E36=1,
      IF(H36="Presencial",
         VLOOKUP(D36,TARIFAS!A:K,3,FALSE) + IF(I36="Sí",VLOOKUP(D36,TARIFAS!A:K,5,FALSE),0),
         VLOOKUP(D36,TARIFAS!A:K,4,FALSE) + IF(I36="Sí",VLOOKUP(D36,TARIFAS!A:K,5,FALSE),0)
      ),
      IF(H36="Presencial",
         VLOOKUP(D36,TARIFAS!A:K,9,FALSE) + IF(I36="Sí",VLOOKUP(D36,TARIFAS!A:K,11,FALSE),0),
         VLOOKUP(D36,TARIFAS!A:K,10,FALSE) + IF(I36="Sí",VLOOKUP(D36,TARIFAS!A:K,11,FALSE),0)
      )
   )
)
</f>
        <v>0</v>
      </c>
      <c r="U36" s="45">
        <f>IF(R36="",0,MAX(0,R36 - TARIFAS!G$2) * TARIFAS!F$2)
</f>
        <v>0</v>
      </c>
      <c r="V36" s="45">
        <f>+T36*TARIFAS!$K$2</f>
        <v>0</v>
      </c>
      <c r="W36" s="45">
        <f t="shared" si="2"/>
        <v>0</v>
      </c>
      <c r="X36" s="45">
        <f t="shared" si="3"/>
        <v>0</v>
      </c>
      <c r="Y36" s="45">
        <f t="shared" si="4"/>
        <v>0</v>
      </c>
      <c r="Z36" s="42" t="str">
        <f>CONFERENCIAS!AB36</f>
        <v/>
      </c>
      <c r="AA36" s="42" t="str">
        <f>CONFERENCIAS!AC36</f>
        <v/>
      </c>
      <c r="AB36" s="47" t="str">
        <f t="shared" si="5"/>
        <v/>
      </c>
      <c r="AC36" s="9" t="str">
        <f t="shared" si="6"/>
        <v/>
      </c>
    </row>
    <row r="37">
      <c r="A37" s="42" t="str">
        <f>CONFERENCIAS!A37</f>
        <v/>
      </c>
      <c r="D37" s="42" t="str">
        <f>CONFERENCIAS!C37</f>
        <v/>
      </c>
      <c r="E37" s="42" t="str">
        <f>CONFERENCIAS!K37</f>
        <v/>
      </c>
      <c r="F37" s="49" t="str">
        <f>CONFERENCIAS!J37</f>
        <v/>
      </c>
      <c r="G37" s="42" t="str">
        <f>CONFERENCIAS!O37</f>
        <v/>
      </c>
      <c r="H37" s="42" t="str">
        <f>CONFERENCIAS!X37</f>
        <v/>
      </c>
      <c r="I37" s="42" t="str">
        <f>CONFERENCIAS!AA37</f>
        <v/>
      </c>
      <c r="J37" s="44" t="str">
        <f>CONFERENCIAS!P37</f>
        <v/>
      </c>
      <c r="K37" s="45" t="str">
        <f>CONFERENCIAS!R37</f>
        <v/>
      </c>
      <c r="L37" s="45">
        <f>IF(D37="",0,
 IF(E37=1,
   IF(H37="Presencial",
      VLOOKUP(D37,TARIFAS!A:K,3,FALSE) + IF(I37="Sí",VLOOKUP(D37,TARIFAS!A:K,5,FALSE),0),
      VLOOKUP(D37,TARIFAS!A:K,4,FALSE) + IF(I37="Sí",VLOOKUP(D37,TARIFAS!A:K,5,FALSE),0)
   ),
   IF(H37="Presencial",
      VLOOKUP(D37,TARIFAS!A:K,9,FALSE) + IF(I37="Sí",VLOOKUP(D37,TARIFAS!A:K,11,FALSE),0),
      VLOOKUP(D37,TARIFAS!A:K,10,FALSE) + IF(I37="Sí",VLOOKUP(D37,TARIFAS!A:K,11,FALSE),0)
   )
 )
)
</f>
        <v>0</v>
      </c>
      <c r="M37" s="45">
        <f>IF(J37="",0,MAX(0,J37 - TARIFAS!G$2) * TARIFAS!F$2)
</f>
        <v>0</v>
      </c>
      <c r="N37" s="45">
        <f>+L37*TARIFAS!$K$2</f>
        <v>0</v>
      </c>
      <c r="O37" s="45">
        <f t="shared" si="1"/>
        <v>0</v>
      </c>
      <c r="P37" s="45">
        <f>+M37+O37+K37+(+I37-(I37*TARIFAS!$K$2))</f>
        <v>0</v>
      </c>
      <c r="Q37" s="42" t="str">
        <f>CONFERENCIAS!T37</f>
        <v/>
      </c>
      <c r="R37" s="45" t="str">
        <f>CONFERENCIAS!U37</f>
        <v/>
      </c>
      <c r="S37" s="45" t="str">
        <f>CONFERENCIAS!W37</f>
        <v/>
      </c>
      <c r="T37" s="48">
        <f>IF(Q37="",0,
   IF(E37=1,
      IF(H37="Presencial",
         VLOOKUP(D37,TARIFAS!A:K,3,FALSE) + IF(I37="Sí",VLOOKUP(D37,TARIFAS!A:K,5,FALSE),0),
         VLOOKUP(D37,TARIFAS!A:K,4,FALSE) + IF(I37="Sí",VLOOKUP(D37,TARIFAS!A:K,5,FALSE),0)
      ),
      IF(H37="Presencial",
         VLOOKUP(D37,TARIFAS!A:K,9,FALSE) + IF(I37="Sí",VLOOKUP(D37,TARIFAS!A:K,11,FALSE),0),
         VLOOKUP(D37,TARIFAS!A:K,10,FALSE) + IF(I37="Sí",VLOOKUP(D37,TARIFAS!A:K,11,FALSE),0)
      )
   )
)
</f>
        <v>0</v>
      </c>
      <c r="U37" s="45">
        <f>IF(R37="",0,MAX(0,R37 - TARIFAS!G$2) * TARIFAS!F$2)
</f>
        <v>0</v>
      </c>
      <c r="V37" s="45">
        <f>+T37*TARIFAS!$K$2</f>
        <v>0</v>
      </c>
      <c r="W37" s="45">
        <f t="shared" si="2"/>
        <v>0</v>
      </c>
      <c r="X37" s="45">
        <f t="shared" si="3"/>
        <v>0</v>
      </c>
      <c r="Y37" s="45">
        <f t="shared" si="4"/>
        <v>0</v>
      </c>
      <c r="Z37" s="42" t="str">
        <f>CONFERENCIAS!AB37</f>
        <v/>
      </c>
      <c r="AA37" s="42" t="str">
        <f>CONFERENCIAS!AC37</f>
        <v/>
      </c>
      <c r="AB37" s="47" t="str">
        <f t="shared" si="5"/>
        <v/>
      </c>
      <c r="AC37" s="9" t="str">
        <f t="shared" si="6"/>
        <v/>
      </c>
    </row>
    <row r="38">
      <c r="A38" s="42" t="str">
        <f>CONFERENCIAS!A38</f>
        <v/>
      </c>
      <c r="D38" s="42" t="str">
        <f>CONFERENCIAS!C38</f>
        <v/>
      </c>
      <c r="E38" s="42" t="str">
        <f>CONFERENCIAS!K38</f>
        <v/>
      </c>
      <c r="F38" s="49" t="str">
        <f>CONFERENCIAS!J38</f>
        <v/>
      </c>
      <c r="G38" s="42" t="str">
        <f>CONFERENCIAS!O38</f>
        <v/>
      </c>
      <c r="H38" s="42" t="str">
        <f>CONFERENCIAS!X38</f>
        <v/>
      </c>
      <c r="I38" s="42" t="str">
        <f>CONFERENCIAS!AA38</f>
        <v/>
      </c>
      <c r="J38" s="44" t="str">
        <f>CONFERENCIAS!P38</f>
        <v/>
      </c>
      <c r="K38" s="45" t="str">
        <f>CONFERENCIAS!R38</f>
        <v/>
      </c>
      <c r="L38" s="45">
        <f>IF(D38="",0,
 IF(E38=1,
   IF(H38="Presencial",
      VLOOKUP(D38,TARIFAS!A:K,3,FALSE) + IF(I38="Sí",VLOOKUP(D38,TARIFAS!A:K,5,FALSE),0),
      VLOOKUP(D38,TARIFAS!A:K,4,FALSE) + IF(I38="Sí",VLOOKUP(D38,TARIFAS!A:K,5,FALSE),0)
   ),
   IF(H38="Presencial",
      VLOOKUP(D38,TARIFAS!A:K,9,FALSE) + IF(I38="Sí",VLOOKUP(D38,TARIFAS!A:K,11,FALSE),0),
      VLOOKUP(D38,TARIFAS!A:K,10,FALSE) + IF(I38="Sí",VLOOKUP(D38,TARIFAS!A:K,11,FALSE),0)
   )
 )
)
</f>
        <v>0</v>
      </c>
      <c r="M38" s="45">
        <f>IF(J38="",0,MAX(0,J38 - TARIFAS!G$2) * TARIFAS!F$2)
</f>
        <v>0</v>
      </c>
      <c r="N38" s="45">
        <f>+L38*TARIFAS!$K$2</f>
        <v>0</v>
      </c>
      <c r="O38" s="45">
        <f t="shared" si="1"/>
        <v>0</v>
      </c>
      <c r="P38" s="45">
        <f>+M38+O38+K38+(+I38-(I38*TARIFAS!$K$2))</f>
        <v>0</v>
      </c>
      <c r="Q38" s="42" t="str">
        <f>CONFERENCIAS!T38</f>
        <v/>
      </c>
      <c r="R38" s="45" t="str">
        <f>CONFERENCIAS!U38</f>
        <v/>
      </c>
      <c r="S38" s="45" t="str">
        <f>CONFERENCIAS!W38</f>
        <v/>
      </c>
      <c r="T38" s="48">
        <f>IF(Q38="",0,
   IF(E38=1,
      IF(H38="Presencial",
         VLOOKUP(D38,TARIFAS!A:K,3,FALSE) + IF(I38="Sí",VLOOKUP(D38,TARIFAS!A:K,5,FALSE),0),
         VLOOKUP(D38,TARIFAS!A:K,4,FALSE) + IF(I38="Sí",VLOOKUP(D38,TARIFAS!A:K,5,FALSE),0)
      ),
      IF(H38="Presencial",
         VLOOKUP(D38,TARIFAS!A:K,9,FALSE) + IF(I38="Sí",VLOOKUP(D38,TARIFAS!A:K,11,FALSE),0),
         VLOOKUP(D38,TARIFAS!A:K,10,FALSE) + IF(I38="Sí",VLOOKUP(D38,TARIFAS!A:K,11,FALSE),0)
      )
   )
)
</f>
        <v>0</v>
      </c>
      <c r="U38" s="45">
        <f>IF(R38="",0,MAX(0,R38 - TARIFAS!G$2) * TARIFAS!F$2)
</f>
        <v>0</v>
      </c>
      <c r="V38" s="45">
        <f>+T38*TARIFAS!$K$2</f>
        <v>0</v>
      </c>
      <c r="W38" s="45">
        <f t="shared" si="2"/>
        <v>0</v>
      </c>
      <c r="X38" s="45">
        <f t="shared" si="3"/>
        <v>0</v>
      </c>
      <c r="Y38" s="45">
        <f t="shared" si="4"/>
        <v>0</v>
      </c>
      <c r="Z38" s="42" t="str">
        <f>CONFERENCIAS!AB38</f>
        <v/>
      </c>
      <c r="AA38" s="42" t="str">
        <f>CONFERENCIAS!AC38</f>
        <v/>
      </c>
      <c r="AB38" s="47" t="str">
        <f t="shared" si="5"/>
        <v/>
      </c>
      <c r="AC38" s="9" t="str">
        <f t="shared" si="6"/>
        <v/>
      </c>
    </row>
    <row r="39">
      <c r="A39" s="42" t="str">
        <f>CONFERENCIAS!A39</f>
        <v/>
      </c>
      <c r="D39" s="42" t="str">
        <f>CONFERENCIAS!C39</f>
        <v/>
      </c>
      <c r="E39" s="42" t="str">
        <f>CONFERENCIAS!K39</f>
        <v/>
      </c>
      <c r="F39" s="49" t="str">
        <f>CONFERENCIAS!J39</f>
        <v/>
      </c>
      <c r="G39" s="42" t="str">
        <f>CONFERENCIAS!O39</f>
        <v/>
      </c>
      <c r="H39" s="42" t="str">
        <f>CONFERENCIAS!X39</f>
        <v/>
      </c>
      <c r="I39" s="42" t="str">
        <f>CONFERENCIAS!AA39</f>
        <v/>
      </c>
      <c r="J39" s="44" t="str">
        <f>CONFERENCIAS!P39</f>
        <v/>
      </c>
      <c r="K39" s="45" t="str">
        <f>CONFERENCIAS!R39</f>
        <v/>
      </c>
      <c r="L39" s="45">
        <f>IF(D39="",0,
 IF(E39=1,
   IF(H39="Presencial",
      VLOOKUP(D39,TARIFAS!A:K,3,FALSE) + IF(I39="Sí",VLOOKUP(D39,TARIFAS!A:K,5,FALSE),0),
      VLOOKUP(D39,TARIFAS!A:K,4,FALSE) + IF(I39="Sí",VLOOKUP(D39,TARIFAS!A:K,5,FALSE),0)
   ),
   IF(H39="Presencial",
      VLOOKUP(D39,TARIFAS!A:K,9,FALSE) + IF(I39="Sí",VLOOKUP(D39,TARIFAS!A:K,11,FALSE),0),
      VLOOKUP(D39,TARIFAS!A:K,10,FALSE) + IF(I39="Sí",VLOOKUP(D39,TARIFAS!A:K,11,FALSE),0)
   )
 )
)
</f>
        <v>0</v>
      </c>
      <c r="M39" s="45">
        <f>IF(J39="",0,MAX(0,J39 - TARIFAS!G$2) * TARIFAS!F$2)
</f>
        <v>0</v>
      </c>
      <c r="N39" s="45">
        <f>+L39*TARIFAS!$K$2</f>
        <v>0</v>
      </c>
      <c r="O39" s="45">
        <f t="shared" si="1"/>
        <v>0</v>
      </c>
      <c r="P39" s="45">
        <f>+M39+O39+K39+(+I39-(I39*TARIFAS!$K$2))</f>
        <v>0</v>
      </c>
      <c r="Q39" s="42" t="str">
        <f>CONFERENCIAS!T39</f>
        <v/>
      </c>
      <c r="R39" s="45" t="str">
        <f>CONFERENCIAS!U39</f>
        <v/>
      </c>
      <c r="S39" s="45" t="str">
        <f>CONFERENCIAS!W39</f>
        <v/>
      </c>
      <c r="T39" s="48">
        <f>IF(Q39="",0,
   IF(E39=1,
      IF(H39="Presencial",
         VLOOKUP(D39,TARIFAS!A:K,3,FALSE) + IF(I39="Sí",VLOOKUP(D39,TARIFAS!A:K,5,FALSE),0),
         VLOOKUP(D39,TARIFAS!A:K,4,FALSE) + IF(I39="Sí",VLOOKUP(D39,TARIFAS!A:K,5,FALSE),0)
      ),
      IF(H39="Presencial",
         VLOOKUP(D39,TARIFAS!A:K,9,FALSE) + IF(I39="Sí",VLOOKUP(D39,TARIFAS!A:K,11,FALSE),0),
         VLOOKUP(D39,TARIFAS!A:K,10,FALSE) + IF(I39="Sí",VLOOKUP(D39,TARIFAS!A:K,11,FALSE),0)
      )
   )
)
</f>
        <v>0</v>
      </c>
      <c r="U39" s="45">
        <f>IF(R39="",0,MAX(0,R39 - TARIFAS!G$2) * TARIFAS!F$2)
</f>
        <v>0</v>
      </c>
      <c r="V39" s="45">
        <f>+T39*TARIFAS!$K$2</f>
        <v>0</v>
      </c>
      <c r="W39" s="45">
        <f t="shared" si="2"/>
        <v>0</v>
      </c>
      <c r="X39" s="45">
        <f t="shared" si="3"/>
        <v>0</v>
      </c>
      <c r="Y39" s="45">
        <f t="shared" si="4"/>
        <v>0</v>
      </c>
      <c r="Z39" s="42" t="str">
        <f>CONFERENCIAS!AB39</f>
        <v/>
      </c>
      <c r="AA39" s="42" t="str">
        <f>CONFERENCIAS!AC39</f>
        <v/>
      </c>
      <c r="AB39" s="47" t="str">
        <f t="shared" si="5"/>
        <v/>
      </c>
      <c r="AC39" s="9" t="str">
        <f t="shared" si="6"/>
        <v/>
      </c>
    </row>
    <row r="40">
      <c r="A40" s="42" t="str">
        <f>CONFERENCIAS!A40</f>
        <v/>
      </c>
      <c r="D40" s="42" t="str">
        <f>CONFERENCIAS!C40</f>
        <v/>
      </c>
      <c r="E40" s="42" t="str">
        <f>CONFERENCIAS!K40</f>
        <v/>
      </c>
      <c r="F40" s="49" t="str">
        <f>CONFERENCIAS!J40</f>
        <v/>
      </c>
      <c r="G40" s="42" t="str">
        <f>CONFERENCIAS!O40</f>
        <v/>
      </c>
      <c r="H40" s="42" t="str">
        <f>CONFERENCIAS!X40</f>
        <v/>
      </c>
      <c r="I40" s="42" t="str">
        <f>CONFERENCIAS!AA40</f>
        <v/>
      </c>
      <c r="J40" s="44" t="str">
        <f>CONFERENCIAS!P40</f>
        <v/>
      </c>
      <c r="K40" s="45" t="str">
        <f>CONFERENCIAS!R40</f>
        <v/>
      </c>
      <c r="L40" s="45">
        <f>IF(D40="",0,
 IF(E40=1,
   IF(H40="Presencial",
      VLOOKUP(D40,TARIFAS!A:K,3,FALSE) + IF(I40="Sí",VLOOKUP(D40,TARIFAS!A:K,5,FALSE),0),
      VLOOKUP(D40,TARIFAS!A:K,4,FALSE) + IF(I40="Sí",VLOOKUP(D40,TARIFAS!A:K,5,FALSE),0)
   ),
   IF(H40="Presencial",
      VLOOKUP(D40,TARIFAS!A:K,9,FALSE) + IF(I40="Sí",VLOOKUP(D40,TARIFAS!A:K,11,FALSE),0),
      VLOOKUP(D40,TARIFAS!A:K,10,FALSE) + IF(I40="Sí",VLOOKUP(D40,TARIFAS!A:K,11,FALSE),0)
   )
 )
)
</f>
        <v>0</v>
      </c>
      <c r="M40" s="45">
        <f>IF(J40="",0,MAX(0,J40 - TARIFAS!G$2) * TARIFAS!F$2)
</f>
        <v>0</v>
      </c>
      <c r="N40" s="45">
        <f>+L40*TARIFAS!$K$2</f>
        <v>0</v>
      </c>
      <c r="O40" s="45">
        <f t="shared" si="1"/>
        <v>0</v>
      </c>
      <c r="P40" s="45">
        <f>+M40+O40+K40+(+I40-(I40*TARIFAS!$K$2))</f>
        <v>0</v>
      </c>
      <c r="Q40" s="42" t="str">
        <f>CONFERENCIAS!T40</f>
        <v/>
      </c>
      <c r="R40" s="45" t="str">
        <f>CONFERENCIAS!U40</f>
        <v/>
      </c>
      <c r="S40" s="45" t="str">
        <f>CONFERENCIAS!W40</f>
        <v/>
      </c>
      <c r="T40" s="48">
        <f>IF(Q40="",0,
   IF(E40=1,
      IF(H40="Presencial",
         VLOOKUP(D40,TARIFAS!A:K,3,FALSE) + IF(I40="Sí",VLOOKUP(D40,TARIFAS!A:K,5,FALSE),0),
         VLOOKUP(D40,TARIFAS!A:K,4,FALSE) + IF(I40="Sí",VLOOKUP(D40,TARIFAS!A:K,5,FALSE),0)
      ),
      IF(H40="Presencial",
         VLOOKUP(D40,TARIFAS!A:K,9,FALSE) + IF(I40="Sí",VLOOKUP(D40,TARIFAS!A:K,11,FALSE),0),
         VLOOKUP(D40,TARIFAS!A:K,10,FALSE) + IF(I40="Sí",VLOOKUP(D40,TARIFAS!A:K,11,FALSE),0)
      )
   )
)
</f>
        <v>0</v>
      </c>
      <c r="U40" s="45">
        <f>IF(R40="",0,MAX(0,R40 - TARIFAS!G$2) * TARIFAS!F$2)
</f>
        <v>0</v>
      </c>
      <c r="V40" s="45">
        <f>+T40*TARIFAS!$K$2</f>
        <v>0</v>
      </c>
      <c r="W40" s="45">
        <f t="shared" si="2"/>
        <v>0</v>
      </c>
      <c r="X40" s="45">
        <f t="shared" si="3"/>
        <v>0</v>
      </c>
      <c r="Y40" s="45">
        <f t="shared" si="4"/>
        <v>0</v>
      </c>
      <c r="Z40" s="42" t="str">
        <f>CONFERENCIAS!AB40</f>
        <v/>
      </c>
      <c r="AA40" s="42" t="str">
        <f>CONFERENCIAS!AC40</f>
        <v/>
      </c>
      <c r="AB40" s="47" t="str">
        <f t="shared" si="5"/>
        <v/>
      </c>
      <c r="AC40" s="9" t="str">
        <f t="shared" si="6"/>
        <v/>
      </c>
    </row>
    <row r="41">
      <c r="A41" s="42" t="str">
        <f>CONFERENCIAS!A41</f>
        <v/>
      </c>
      <c r="D41" s="42" t="str">
        <f>CONFERENCIAS!C41</f>
        <v/>
      </c>
      <c r="E41" s="42" t="str">
        <f>CONFERENCIAS!K41</f>
        <v/>
      </c>
      <c r="F41" s="49" t="str">
        <f>CONFERENCIAS!J41</f>
        <v/>
      </c>
      <c r="G41" s="42" t="str">
        <f>CONFERENCIAS!O41</f>
        <v/>
      </c>
      <c r="H41" s="42" t="str">
        <f>CONFERENCIAS!X41</f>
        <v/>
      </c>
      <c r="I41" s="42" t="str">
        <f>CONFERENCIAS!AA41</f>
        <v/>
      </c>
      <c r="J41" s="44" t="str">
        <f>CONFERENCIAS!P41</f>
        <v/>
      </c>
      <c r="K41" s="45" t="str">
        <f>CONFERENCIAS!R41</f>
        <v/>
      </c>
      <c r="L41" s="45">
        <f>IF(D41="",0,
 IF(E41=1,
   IF(H41="Presencial",
      VLOOKUP(D41,TARIFAS!A:K,3,FALSE) + IF(I41="Sí",VLOOKUP(D41,TARIFAS!A:K,5,FALSE),0),
      VLOOKUP(D41,TARIFAS!A:K,4,FALSE) + IF(I41="Sí",VLOOKUP(D41,TARIFAS!A:K,5,FALSE),0)
   ),
   IF(H41="Presencial",
      VLOOKUP(D41,TARIFAS!A:K,9,FALSE) + IF(I41="Sí",VLOOKUP(D41,TARIFAS!A:K,11,FALSE),0),
      VLOOKUP(D41,TARIFAS!A:K,10,FALSE) + IF(I41="Sí",VLOOKUP(D41,TARIFAS!A:K,11,FALSE),0)
   )
 )
)
</f>
        <v>0</v>
      </c>
      <c r="M41" s="45">
        <f>IF(J41="",0,MAX(0,J41 - TARIFAS!G$2) * TARIFAS!F$2)
</f>
        <v>0</v>
      </c>
      <c r="N41" s="45">
        <f>+L41*TARIFAS!$K$2</f>
        <v>0</v>
      </c>
      <c r="O41" s="45">
        <f t="shared" si="1"/>
        <v>0</v>
      </c>
      <c r="P41" s="45">
        <f>+M41+O41+K41+(+I41-(I41*TARIFAS!$K$2))</f>
        <v>0</v>
      </c>
      <c r="Q41" s="42" t="str">
        <f>CONFERENCIAS!T41</f>
        <v/>
      </c>
      <c r="R41" s="45" t="str">
        <f>CONFERENCIAS!U41</f>
        <v/>
      </c>
      <c r="S41" s="45" t="str">
        <f>CONFERENCIAS!W41</f>
        <v/>
      </c>
      <c r="T41" s="48">
        <f>IF(Q41="",0,
   IF(E41=1,
      IF(H41="Presencial",
         VLOOKUP(D41,TARIFAS!A:K,3,FALSE) + IF(I41="Sí",VLOOKUP(D41,TARIFAS!A:K,5,FALSE),0),
         VLOOKUP(D41,TARIFAS!A:K,4,FALSE) + IF(I41="Sí",VLOOKUP(D41,TARIFAS!A:K,5,FALSE),0)
      ),
      IF(H41="Presencial",
         VLOOKUP(D41,TARIFAS!A:K,9,FALSE) + IF(I41="Sí",VLOOKUP(D41,TARIFAS!A:K,11,FALSE),0),
         VLOOKUP(D41,TARIFAS!A:K,10,FALSE) + IF(I41="Sí",VLOOKUP(D41,TARIFAS!A:K,11,FALSE),0)
      )
   )
)
</f>
        <v>0</v>
      </c>
      <c r="U41" s="45">
        <f>IF(R41="",0,MAX(0,R41 - TARIFAS!G$2) * TARIFAS!F$2)
</f>
        <v>0</v>
      </c>
      <c r="V41" s="45">
        <f>+T41*TARIFAS!$K$2</f>
        <v>0</v>
      </c>
      <c r="W41" s="45">
        <f t="shared" si="2"/>
        <v>0</v>
      </c>
      <c r="X41" s="45">
        <f t="shared" si="3"/>
        <v>0</v>
      </c>
      <c r="Y41" s="45">
        <f t="shared" si="4"/>
        <v>0</v>
      </c>
      <c r="Z41" s="42" t="str">
        <f>CONFERENCIAS!AB41</f>
        <v/>
      </c>
      <c r="AA41" s="42" t="str">
        <f>CONFERENCIAS!AC41</f>
        <v/>
      </c>
      <c r="AB41" s="47" t="str">
        <f t="shared" si="5"/>
        <v/>
      </c>
      <c r="AC41" s="9" t="str">
        <f t="shared" si="6"/>
        <v/>
      </c>
    </row>
    <row r="42">
      <c r="A42" s="42" t="str">
        <f>CONFERENCIAS!A42</f>
        <v/>
      </c>
      <c r="D42" s="42" t="str">
        <f>CONFERENCIAS!C42</f>
        <v/>
      </c>
      <c r="E42" s="42" t="str">
        <f>CONFERENCIAS!K42</f>
        <v/>
      </c>
      <c r="F42" s="49" t="str">
        <f>CONFERENCIAS!J42</f>
        <v/>
      </c>
      <c r="G42" s="42" t="str">
        <f>CONFERENCIAS!O42</f>
        <v/>
      </c>
      <c r="H42" s="42" t="str">
        <f>CONFERENCIAS!X42</f>
        <v/>
      </c>
      <c r="I42" s="42" t="str">
        <f>CONFERENCIAS!AA42</f>
        <v/>
      </c>
      <c r="J42" s="44" t="str">
        <f>CONFERENCIAS!P42</f>
        <v/>
      </c>
      <c r="K42" s="45" t="str">
        <f>CONFERENCIAS!R42</f>
        <v/>
      </c>
      <c r="L42" s="45">
        <f>IF(D42="",0,
 IF(E42=1,
   IF(H42="Presencial",
      VLOOKUP(D42,TARIFAS!A:K,3,FALSE) + IF(I42="Sí",VLOOKUP(D42,TARIFAS!A:K,5,FALSE),0),
      VLOOKUP(D42,TARIFAS!A:K,4,FALSE) + IF(I42="Sí",VLOOKUP(D42,TARIFAS!A:K,5,FALSE),0)
   ),
   IF(H42="Presencial",
      VLOOKUP(D42,TARIFAS!A:K,9,FALSE) + IF(I42="Sí",VLOOKUP(D42,TARIFAS!A:K,11,FALSE),0),
      VLOOKUP(D42,TARIFAS!A:K,10,FALSE) + IF(I42="Sí",VLOOKUP(D42,TARIFAS!A:K,11,FALSE),0)
   )
 )
)
</f>
        <v>0</v>
      </c>
      <c r="M42" s="45">
        <f>IF(J42="",0,MAX(0,J42 - TARIFAS!G$2) * TARIFAS!F$2)
</f>
        <v>0</v>
      </c>
      <c r="N42" s="45">
        <f>+L42*TARIFAS!$K$2</f>
        <v>0</v>
      </c>
      <c r="O42" s="45">
        <f t="shared" si="1"/>
        <v>0</v>
      </c>
      <c r="P42" s="45">
        <f>+M42+O42+K42+(+I42-(I42*TARIFAS!$K$2))</f>
        <v>0</v>
      </c>
      <c r="Q42" s="42" t="str">
        <f>CONFERENCIAS!T42</f>
        <v/>
      </c>
      <c r="R42" s="45" t="str">
        <f>CONFERENCIAS!U42</f>
        <v/>
      </c>
      <c r="S42" s="45" t="str">
        <f>CONFERENCIAS!W42</f>
        <v/>
      </c>
      <c r="T42" s="48">
        <f>IF(Q42="",0,
   IF(E42=1,
      IF(H42="Presencial",
         VLOOKUP(D42,TARIFAS!A:K,3,FALSE) + IF(I42="Sí",VLOOKUP(D42,TARIFAS!A:K,5,FALSE),0),
         VLOOKUP(D42,TARIFAS!A:K,4,FALSE) + IF(I42="Sí",VLOOKUP(D42,TARIFAS!A:K,5,FALSE),0)
      ),
      IF(H42="Presencial",
         VLOOKUP(D42,TARIFAS!A:K,9,FALSE) + IF(I42="Sí",VLOOKUP(D42,TARIFAS!A:K,11,FALSE),0),
         VLOOKUP(D42,TARIFAS!A:K,10,FALSE) + IF(I42="Sí",VLOOKUP(D42,TARIFAS!A:K,11,FALSE),0)
      )
   )
)
</f>
        <v>0</v>
      </c>
      <c r="U42" s="45">
        <f>IF(R42="",0,MAX(0,R42 - TARIFAS!G$2) * TARIFAS!F$2)
</f>
        <v>0</v>
      </c>
      <c r="V42" s="45">
        <f>+T42*TARIFAS!$K$2</f>
        <v>0</v>
      </c>
      <c r="W42" s="45">
        <f t="shared" si="2"/>
        <v>0</v>
      </c>
      <c r="X42" s="45">
        <f t="shared" si="3"/>
        <v>0</v>
      </c>
      <c r="Y42" s="45">
        <f t="shared" si="4"/>
        <v>0</v>
      </c>
      <c r="Z42" s="42" t="str">
        <f>CONFERENCIAS!AB42</f>
        <v/>
      </c>
      <c r="AA42" s="42" t="str">
        <f>CONFERENCIAS!AC42</f>
        <v/>
      </c>
      <c r="AB42" s="47" t="str">
        <f t="shared" si="5"/>
        <v/>
      </c>
      <c r="AC42" s="9" t="str">
        <f t="shared" si="6"/>
        <v/>
      </c>
    </row>
    <row r="43">
      <c r="A43" s="42" t="str">
        <f>CONFERENCIAS!A43</f>
        <v/>
      </c>
      <c r="D43" s="42" t="str">
        <f>CONFERENCIAS!C43</f>
        <v/>
      </c>
      <c r="E43" s="42" t="str">
        <f>CONFERENCIAS!K43</f>
        <v/>
      </c>
      <c r="F43" s="49" t="str">
        <f>CONFERENCIAS!J43</f>
        <v/>
      </c>
      <c r="G43" s="42" t="str">
        <f>CONFERENCIAS!O43</f>
        <v/>
      </c>
      <c r="H43" s="42" t="str">
        <f>CONFERENCIAS!X43</f>
        <v/>
      </c>
      <c r="I43" s="42" t="str">
        <f>CONFERENCIAS!AA43</f>
        <v/>
      </c>
      <c r="J43" s="44" t="str">
        <f>CONFERENCIAS!P43</f>
        <v/>
      </c>
      <c r="K43" s="45" t="str">
        <f>CONFERENCIAS!R43</f>
        <v/>
      </c>
      <c r="L43" s="45">
        <f>IF(D43="",0,
 IF(E43=1,
   IF(H43="Presencial",
      VLOOKUP(D43,TARIFAS!A:K,3,FALSE) + IF(I43="Sí",VLOOKUP(D43,TARIFAS!A:K,5,FALSE),0),
      VLOOKUP(D43,TARIFAS!A:K,4,FALSE) + IF(I43="Sí",VLOOKUP(D43,TARIFAS!A:K,5,FALSE),0)
   ),
   IF(H43="Presencial",
      VLOOKUP(D43,TARIFAS!A:K,9,FALSE) + IF(I43="Sí",VLOOKUP(D43,TARIFAS!A:K,11,FALSE),0),
      VLOOKUP(D43,TARIFAS!A:K,10,FALSE) + IF(I43="Sí",VLOOKUP(D43,TARIFAS!A:K,11,FALSE),0)
   )
 )
)
</f>
        <v>0</v>
      </c>
      <c r="M43" s="45">
        <f>IF(J43="",0,MAX(0,J43 - TARIFAS!G$2) * TARIFAS!F$2)
</f>
        <v>0</v>
      </c>
      <c r="N43" s="45">
        <f>+L43*TARIFAS!$K$2</f>
        <v>0</v>
      </c>
      <c r="O43" s="45">
        <f t="shared" si="1"/>
        <v>0</v>
      </c>
      <c r="P43" s="45">
        <f>+M43+O43+K43+(+I43-(I43*TARIFAS!$K$2))</f>
        <v>0</v>
      </c>
      <c r="Q43" s="42" t="str">
        <f>CONFERENCIAS!T43</f>
        <v/>
      </c>
      <c r="R43" s="45" t="str">
        <f>CONFERENCIAS!U43</f>
        <v/>
      </c>
      <c r="S43" s="45" t="str">
        <f>CONFERENCIAS!W43</f>
        <v/>
      </c>
      <c r="T43" s="48">
        <f>IF(Q43="",0,
   IF(E43=1,
      IF(H43="Presencial",
         VLOOKUP(D43,TARIFAS!A:K,3,FALSE) + IF(I43="Sí",VLOOKUP(D43,TARIFAS!A:K,5,FALSE),0),
         VLOOKUP(D43,TARIFAS!A:K,4,FALSE) + IF(I43="Sí",VLOOKUP(D43,TARIFAS!A:K,5,FALSE),0)
      ),
      IF(H43="Presencial",
         VLOOKUP(D43,TARIFAS!A:K,9,FALSE) + IF(I43="Sí",VLOOKUP(D43,TARIFAS!A:K,11,FALSE),0),
         VLOOKUP(D43,TARIFAS!A:K,10,FALSE) + IF(I43="Sí",VLOOKUP(D43,TARIFAS!A:K,11,FALSE),0)
      )
   )
)
</f>
        <v>0</v>
      </c>
      <c r="U43" s="45">
        <f>IF(R43="",0,MAX(0,R43 - TARIFAS!G$2) * TARIFAS!F$2)
</f>
        <v>0</v>
      </c>
      <c r="V43" s="45">
        <f>+T43*TARIFAS!$K$2</f>
        <v>0</v>
      </c>
      <c r="W43" s="45">
        <f t="shared" si="2"/>
        <v>0</v>
      </c>
      <c r="X43" s="45">
        <f t="shared" si="3"/>
        <v>0</v>
      </c>
      <c r="Y43" s="45">
        <f t="shared" si="4"/>
        <v>0</v>
      </c>
      <c r="Z43" s="42" t="str">
        <f>CONFERENCIAS!AB43</f>
        <v/>
      </c>
      <c r="AA43" s="42" t="str">
        <f>CONFERENCIAS!AC43</f>
        <v/>
      </c>
      <c r="AB43" s="47" t="str">
        <f t="shared" si="5"/>
        <v/>
      </c>
      <c r="AC43" s="9" t="str">
        <f t="shared" si="6"/>
        <v/>
      </c>
    </row>
    <row r="44">
      <c r="A44" s="42" t="str">
        <f>CONFERENCIAS!A44</f>
        <v/>
      </c>
      <c r="D44" s="42" t="str">
        <f>CONFERENCIAS!C44</f>
        <v/>
      </c>
      <c r="E44" s="42" t="str">
        <f>CONFERENCIAS!K44</f>
        <v/>
      </c>
      <c r="F44" s="49" t="str">
        <f>CONFERENCIAS!J44</f>
        <v/>
      </c>
      <c r="G44" s="42" t="str">
        <f>CONFERENCIAS!O44</f>
        <v/>
      </c>
      <c r="H44" s="42" t="str">
        <f>CONFERENCIAS!X44</f>
        <v/>
      </c>
      <c r="I44" s="42" t="str">
        <f>CONFERENCIAS!AA44</f>
        <v/>
      </c>
      <c r="J44" s="44" t="str">
        <f>CONFERENCIAS!P44</f>
        <v/>
      </c>
      <c r="K44" s="45" t="str">
        <f>CONFERENCIAS!R44</f>
        <v/>
      </c>
      <c r="L44" s="45">
        <f>IF(D44="",0,
 IF(E44=1,
   IF(H44="Presencial",
      VLOOKUP(D44,TARIFAS!A:K,3,FALSE) + IF(I44="Sí",VLOOKUP(D44,TARIFAS!A:K,5,FALSE),0),
      VLOOKUP(D44,TARIFAS!A:K,4,FALSE) + IF(I44="Sí",VLOOKUP(D44,TARIFAS!A:K,5,FALSE),0)
   ),
   IF(H44="Presencial",
      VLOOKUP(D44,TARIFAS!A:K,9,FALSE) + IF(I44="Sí",VLOOKUP(D44,TARIFAS!A:K,11,FALSE),0),
      VLOOKUP(D44,TARIFAS!A:K,10,FALSE) + IF(I44="Sí",VLOOKUP(D44,TARIFAS!A:K,11,FALSE),0)
   )
 )
)
</f>
        <v>0</v>
      </c>
      <c r="M44" s="45">
        <f>IF(J44="",0,MAX(0,J44 - TARIFAS!G$2) * TARIFAS!F$2)
</f>
        <v>0</v>
      </c>
      <c r="N44" s="45">
        <f>+L44*TARIFAS!$K$2</f>
        <v>0</v>
      </c>
      <c r="O44" s="45">
        <f t="shared" si="1"/>
        <v>0</v>
      </c>
      <c r="P44" s="45">
        <f>+M44+O44+K44+(+I44-(I44*TARIFAS!$K$2))</f>
        <v>0</v>
      </c>
      <c r="Q44" s="42" t="str">
        <f>CONFERENCIAS!T44</f>
        <v/>
      </c>
      <c r="R44" s="45" t="str">
        <f>CONFERENCIAS!U44</f>
        <v/>
      </c>
      <c r="S44" s="45" t="str">
        <f>CONFERENCIAS!W44</f>
        <v/>
      </c>
      <c r="T44" s="48">
        <f>IF(Q44="",0,
   IF(E44=1,
      IF(H44="Presencial",
         VLOOKUP(D44,TARIFAS!A:K,3,FALSE) + IF(I44="Sí",VLOOKUP(D44,TARIFAS!A:K,5,FALSE),0),
         VLOOKUP(D44,TARIFAS!A:K,4,FALSE) + IF(I44="Sí",VLOOKUP(D44,TARIFAS!A:K,5,FALSE),0)
      ),
      IF(H44="Presencial",
         VLOOKUP(D44,TARIFAS!A:K,9,FALSE) + IF(I44="Sí",VLOOKUP(D44,TARIFAS!A:K,11,FALSE),0),
         VLOOKUP(D44,TARIFAS!A:K,10,FALSE) + IF(I44="Sí",VLOOKUP(D44,TARIFAS!A:K,11,FALSE),0)
      )
   )
)
</f>
        <v>0</v>
      </c>
      <c r="U44" s="45">
        <f>IF(R44="",0,MAX(0,R44 - TARIFAS!G$2) * TARIFAS!F$2)
</f>
        <v>0</v>
      </c>
      <c r="V44" s="45">
        <f>+T44*TARIFAS!$K$2</f>
        <v>0</v>
      </c>
      <c r="W44" s="45">
        <f t="shared" si="2"/>
        <v>0</v>
      </c>
      <c r="X44" s="45">
        <f t="shared" si="3"/>
        <v>0</v>
      </c>
      <c r="Y44" s="45">
        <f t="shared" si="4"/>
        <v>0</v>
      </c>
      <c r="Z44" s="42" t="str">
        <f>CONFERENCIAS!AB44</f>
        <v/>
      </c>
      <c r="AA44" s="42" t="str">
        <f>CONFERENCIAS!AC44</f>
        <v/>
      </c>
      <c r="AB44" s="47" t="str">
        <f t="shared" si="5"/>
        <v/>
      </c>
      <c r="AC44" s="9" t="str">
        <f t="shared" si="6"/>
        <v/>
      </c>
    </row>
    <row r="45">
      <c r="A45" s="42" t="str">
        <f>CONFERENCIAS!A45</f>
        <v/>
      </c>
      <c r="D45" s="42" t="str">
        <f>CONFERENCIAS!C45</f>
        <v/>
      </c>
      <c r="E45" s="42" t="str">
        <f>CONFERENCIAS!K45</f>
        <v/>
      </c>
      <c r="F45" s="49" t="str">
        <f>CONFERENCIAS!J45</f>
        <v/>
      </c>
      <c r="G45" s="42" t="str">
        <f>CONFERENCIAS!O45</f>
        <v/>
      </c>
      <c r="H45" s="42" t="str">
        <f>CONFERENCIAS!X45</f>
        <v/>
      </c>
      <c r="I45" s="42" t="str">
        <f>CONFERENCIAS!AA45</f>
        <v/>
      </c>
      <c r="J45" s="44" t="str">
        <f>CONFERENCIAS!P45</f>
        <v/>
      </c>
      <c r="K45" s="45" t="str">
        <f>CONFERENCIAS!R45</f>
        <v/>
      </c>
      <c r="L45" s="45">
        <f>IF(D45="",0,
 IF(E45=1,
   IF(H45="Presencial",
      VLOOKUP(D45,TARIFAS!A:K,3,FALSE) + IF(I45="Sí",VLOOKUP(D45,TARIFAS!A:K,5,FALSE),0),
      VLOOKUP(D45,TARIFAS!A:K,4,FALSE) + IF(I45="Sí",VLOOKUP(D45,TARIFAS!A:K,5,FALSE),0)
   ),
   IF(H45="Presencial",
      VLOOKUP(D45,TARIFAS!A:K,9,FALSE) + IF(I45="Sí",VLOOKUP(D45,TARIFAS!A:K,11,FALSE),0),
      VLOOKUP(D45,TARIFAS!A:K,10,FALSE) + IF(I45="Sí",VLOOKUP(D45,TARIFAS!A:K,11,FALSE),0)
   )
 )
)
</f>
        <v>0</v>
      </c>
      <c r="M45" s="45">
        <f>IF(J45="",0,MAX(0,J45 - TARIFAS!G$2) * TARIFAS!F$2)
</f>
        <v>0</v>
      </c>
      <c r="N45" s="45">
        <f>+L45*TARIFAS!$K$2</f>
        <v>0</v>
      </c>
      <c r="O45" s="45">
        <f t="shared" si="1"/>
        <v>0</v>
      </c>
      <c r="P45" s="45">
        <f>+M45+O45+K45+(+I45-(I45*TARIFAS!$K$2))</f>
        <v>0</v>
      </c>
      <c r="Q45" s="42" t="str">
        <f>CONFERENCIAS!T45</f>
        <v/>
      </c>
      <c r="R45" s="45" t="str">
        <f>CONFERENCIAS!U45</f>
        <v/>
      </c>
      <c r="S45" s="45" t="str">
        <f>CONFERENCIAS!W45</f>
        <v/>
      </c>
      <c r="T45" s="48">
        <f>IF(Q45="",0,
   IF(E45=1,
      IF(H45="Presencial",
         VLOOKUP(D45,TARIFAS!A:K,3,FALSE) + IF(I45="Sí",VLOOKUP(D45,TARIFAS!A:K,5,FALSE),0),
         VLOOKUP(D45,TARIFAS!A:K,4,FALSE) + IF(I45="Sí",VLOOKUP(D45,TARIFAS!A:K,5,FALSE),0)
      ),
      IF(H45="Presencial",
         VLOOKUP(D45,TARIFAS!A:K,9,FALSE) + IF(I45="Sí",VLOOKUP(D45,TARIFAS!A:K,11,FALSE),0),
         VLOOKUP(D45,TARIFAS!A:K,10,FALSE) + IF(I45="Sí",VLOOKUP(D45,TARIFAS!A:K,11,FALSE),0)
      )
   )
)
</f>
        <v>0</v>
      </c>
      <c r="U45" s="45">
        <f>IF(R45="",0,MAX(0,R45 - TARIFAS!G$2) * TARIFAS!F$2)
</f>
        <v>0</v>
      </c>
      <c r="V45" s="45">
        <f>+T45*TARIFAS!$K$2</f>
        <v>0</v>
      </c>
      <c r="W45" s="45">
        <f t="shared" si="2"/>
        <v>0</v>
      </c>
      <c r="X45" s="45">
        <f t="shared" si="3"/>
        <v>0</v>
      </c>
      <c r="Y45" s="45">
        <f t="shared" si="4"/>
        <v>0</v>
      </c>
      <c r="Z45" s="42" t="str">
        <f>CONFERENCIAS!AB45</f>
        <v/>
      </c>
      <c r="AA45" s="42" t="str">
        <f>CONFERENCIAS!AC45</f>
        <v/>
      </c>
      <c r="AB45" s="47" t="str">
        <f t="shared" si="5"/>
        <v/>
      </c>
      <c r="AC45" s="9" t="str">
        <f t="shared" si="6"/>
        <v/>
      </c>
    </row>
    <row r="46">
      <c r="A46" s="42" t="str">
        <f>CONFERENCIAS!A46</f>
        <v/>
      </c>
      <c r="D46" s="42" t="str">
        <f>CONFERENCIAS!C46</f>
        <v/>
      </c>
      <c r="E46" s="42" t="str">
        <f>CONFERENCIAS!K46</f>
        <v/>
      </c>
      <c r="F46" s="49" t="str">
        <f>CONFERENCIAS!J46</f>
        <v/>
      </c>
      <c r="G46" s="42" t="str">
        <f>CONFERENCIAS!O46</f>
        <v/>
      </c>
      <c r="H46" s="42" t="str">
        <f>CONFERENCIAS!X46</f>
        <v/>
      </c>
      <c r="I46" s="42" t="str">
        <f>CONFERENCIAS!AA46</f>
        <v/>
      </c>
      <c r="J46" s="44" t="str">
        <f>CONFERENCIAS!P46</f>
        <v/>
      </c>
      <c r="K46" s="45" t="str">
        <f>CONFERENCIAS!R46</f>
        <v/>
      </c>
      <c r="L46" s="45">
        <f>IF(D46="",0,
 IF(E46=1,
   IF(H46="Presencial",
      VLOOKUP(D46,TARIFAS!A:K,3,FALSE) + IF(I46="Sí",VLOOKUP(D46,TARIFAS!A:K,5,FALSE),0),
      VLOOKUP(D46,TARIFAS!A:K,4,FALSE) + IF(I46="Sí",VLOOKUP(D46,TARIFAS!A:K,5,FALSE),0)
   ),
   IF(H46="Presencial",
      VLOOKUP(D46,TARIFAS!A:K,9,FALSE) + IF(I46="Sí",VLOOKUP(D46,TARIFAS!A:K,11,FALSE),0),
      VLOOKUP(D46,TARIFAS!A:K,10,FALSE) + IF(I46="Sí",VLOOKUP(D46,TARIFAS!A:K,11,FALSE),0)
   )
 )
)
</f>
        <v>0</v>
      </c>
      <c r="M46" s="45">
        <f>IF(J46="",0,MAX(0,J46 - TARIFAS!G$2) * TARIFAS!F$2)
</f>
        <v>0</v>
      </c>
      <c r="N46" s="45">
        <f>+L46*TARIFAS!$K$2</f>
        <v>0</v>
      </c>
      <c r="O46" s="45">
        <f t="shared" si="1"/>
        <v>0</v>
      </c>
      <c r="P46" s="45">
        <f>+M46+O46+K46+(+I46-(I46*TARIFAS!$K$2))</f>
        <v>0</v>
      </c>
      <c r="Q46" s="42" t="str">
        <f>CONFERENCIAS!T46</f>
        <v/>
      </c>
      <c r="R46" s="45" t="str">
        <f>CONFERENCIAS!U46</f>
        <v/>
      </c>
      <c r="S46" s="45" t="str">
        <f>CONFERENCIAS!W46</f>
        <v/>
      </c>
      <c r="T46" s="48">
        <f>IF(Q46="",0,
   IF(E46=1,
      IF(H46="Presencial",
         VLOOKUP(D46,TARIFAS!A:K,3,FALSE) + IF(I46="Sí",VLOOKUP(D46,TARIFAS!A:K,5,FALSE),0),
         VLOOKUP(D46,TARIFAS!A:K,4,FALSE) + IF(I46="Sí",VLOOKUP(D46,TARIFAS!A:K,5,FALSE),0)
      ),
      IF(H46="Presencial",
         VLOOKUP(D46,TARIFAS!A:K,9,FALSE) + IF(I46="Sí",VLOOKUP(D46,TARIFAS!A:K,11,FALSE),0),
         VLOOKUP(D46,TARIFAS!A:K,10,FALSE) + IF(I46="Sí",VLOOKUP(D46,TARIFAS!A:K,11,FALSE),0)
      )
   )
)
</f>
        <v>0</v>
      </c>
      <c r="U46" s="45">
        <f>IF(R46="",0,MAX(0,R46 - TARIFAS!G$2) * TARIFAS!F$2)
</f>
        <v>0</v>
      </c>
      <c r="V46" s="45">
        <f>+T46*TARIFAS!$K$2</f>
        <v>0</v>
      </c>
      <c r="W46" s="45">
        <f t="shared" si="2"/>
        <v>0</v>
      </c>
      <c r="X46" s="45">
        <f t="shared" si="3"/>
        <v>0</v>
      </c>
      <c r="Y46" s="45">
        <f t="shared" si="4"/>
        <v>0</v>
      </c>
      <c r="Z46" s="42" t="str">
        <f>CONFERENCIAS!AB46</f>
        <v/>
      </c>
      <c r="AA46" s="42" t="str">
        <f>CONFERENCIAS!AC46</f>
        <v/>
      </c>
      <c r="AB46" s="47" t="str">
        <f t="shared" si="5"/>
        <v/>
      </c>
      <c r="AC46" s="9" t="str">
        <f t="shared" si="6"/>
        <v/>
      </c>
    </row>
    <row r="47">
      <c r="A47" s="42" t="str">
        <f>CONFERENCIAS!A47</f>
        <v/>
      </c>
      <c r="D47" s="42" t="str">
        <f>CONFERENCIAS!C47</f>
        <v/>
      </c>
      <c r="E47" s="42" t="str">
        <f>CONFERENCIAS!K47</f>
        <v/>
      </c>
      <c r="F47" s="49" t="str">
        <f>CONFERENCIAS!J47</f>
        <v/>
      </c>
      <c r="G47" s="42" t="str">
        <f>CONFERENCIAS!O47</f>
        <v/>
      </c>
      <c r="H47" s="42" t="str">
        <f>CONFERENCIAS!X47</f>
        <v/>
      </c>
      <c r="I47" s="42" t="str">
        <f>CONFERENCIAS!AA47</f>
        <v/>
      </c>
      <c r="J47" s="44" t="str">
        <f>CONFERENCIAS!P47</f>
        <v/>
      </c>
      <c r="K47" s="45" t="str">
        <f>CONFERENCIAS!R47</f>
        <v/>
      </c>
      <c r="L47" s="45">
        <f>IF(D47="",0,
 IF(E47=1,
   IF(H47="Presencial",
      VLOOKUP(D47,TARIFAS!A:K,3,FALSE) + IF(I47="Sí",VLOOKUP(D47,TARIFAS!A:K,5,FALSE),0),
      VLOOKUP(D47,TARIFAS!A:K,4,FALSE) + IF(I47="Sí",VLOOKUP(D47,TARIFAS!A:K,5,FALSE),0)
   ),
   IF(H47="Presencial",
      VLOOKUP(D47,TARIFAS!A:K,9,FALSE) + IF(I47="Sí",VLOOKUP(D47,TARIFAS!A:K,11,FALSE),0),
      VLOOKUP(D47,TARIFAS!A:K,10,FALSE) + IF(I47="Sí",VLOOKUP(D47,TARIFAS!A:K,11,FALSE),0)
   )
 )
)
</f>
        <v>0</v>
      </c>
      <c r="M47" s="45">
        <f>IF(J47="",0,MAX(0,J47 - TARIFAS!G$2) * TARIFAS!F$2)
</f>
        <v>0</v>
      </c>
      <c r="N47" s="45">
        <f>+L47*TARIFAS!$K$2</f>
        <v>0</v>
      </c>
      <c r="O47" s="45">
        <f t="shared" si="1"/>
        <v>0</v>
      </c>
      <c r="P47" s="45">
        <f>+M47+O47+K47+(+I47-(I47*TARIFAS!$K$2))</f>
        <v>0</v>
      </c>
      <c r="Q47" s="42" t="str">
        <f>CONFERENCIAS!T47</f>
        <v/>
      </c>
      <c r="R47" s="45" t="str">
        <f>CONFERENCIAS!U47</f>
        <v/>
      </c>
      <c r="S47" s="45" t="str">
        <f>CONFERENCIAS!W47</f>
        <v/>
      </c>
      <c r="T47" s="48">
        <f>IF(Q47="",0,
   IF(E47=1,
      IF(H47="Presencial",
         VLOOKUP(D47,TARIFAS!A:K,3,FALSE) + IF(I47="Sí",VLOOKUP(D47,TARIFAS!A:K,5,FALSE),0),
         VLOOKUP(D47,TARIFAS!A:K,4,FALSE) + IF(I47="Sí",VLOOKUP(D47,TARIFAS!A:K,5,FALSE),0)
      ),
      IF(H47="Presencial",
         VLOOKUP(D47,TARIFAS!A:K,9,FALSE) + IF(I47="Sí",VLOOKUP(D47,TARIFAS!A:K,11,FALSE),0),
         VLOOKUP(D47,TARIFAS!A:K,10,FALSE) + IF(I47="Sí",VLOOKUP(D47,TARIFAS!A:K,11,FALSE),0)
      )
   )
)
</f>
        <v>0</v>
      </c>
      <c r="U47" s="45">
        <f>IF(R47="",0,MAX(0,R47 - TARIFAS!G$2) * TARIFAS!F$2)
</f>
        <v>0</v>
      </c>
      <c r="V47" s="45">
        <f>+T47*TARIFAS!$K$2</f>
        <v>0</v>
      </c>
      <c r="W47" s="45">
        <f t="shared" si="2"/>
        <v>0</v>
      </c>
      <c r="X47" s="45">
        <f t="shared" si="3"/>
        <v>0</v>
      </c>
      <c r="Y47" s="45">
        <f t="shared" si="4"/>
        <v>0</v>
      </c>
      <c r="Z47" s="42" t="str">
        <f>CONFERENCIAS!AB47</f>
        <v/>
      </c>
      <c r="AA47" s="42" t="str">
        <f>CONFERENCIAS!AC47</f>
        <v/>
      </c>
      <c r="AB47" s="47" t="str">
        <f t="shared" si="5"/>
        <v/>
      </c>
      <c r="AC47" s="9" t="str">
        <f t="shared" si="6"/>
        <v/>
      </c>
    </row>
    <row r="48">
      <c r="A48" s="42" t="str">
        <f>CONFERENCIAS!A48</f>
        <v/>
      </c>
      <c r="D48" s="42" t="str">
        <f>CONFERENCIAS!C48</f>
        <v/>
      </c>
      <c r="E48" s="42" t="str">
        <f>CONFERENCIAS!K48</f>
        <v/>
      </c>
      <c r="F48" s="49" t="str">
        <f>CONFERENCIAS!J48</f>
        <v/>
      </c>
      <c r="G48" s="42" t="str">
        <f>CONFERENCIAS!O48</f>
        <v/>
      </c>
      <c r="H48" s="42" t="str">
        <f>CONFERENCIAS!X48</f>
        <v/>
      </c>
      <c r="I48" s="42" t="str">
        <f>CONFERENCIAS!AA48</f>
        <v/>
      </c>
      <c r="J48" s="44" t="str">
        <f>CONFERENCIAS!P48</f>
        <v/>
      </c>
      <c r="K48" s="45" t="str">
        <f>CONFERENCIAS!R48</f>
        <v/>
      </c>
      <c r="L48" s="45">
        <f>IF(D48="",0,
 IF(E48=1,
   IF(H48="Presencial",
      VLOOKUP(D48,TARIFAS!A:K,3,FALSE) + IF(I48="Sí",VLOOKUP(D48,TARIFAS!A:K,5,FALSE),0),
      VLOOKUP(D48,TARIFAS!A:K,4,FALSE) + IF(I48="Sí",VLOOKUP(D48,TARIFAS!A:K,5,FALSE),0)
   ),
   IF(H48="Presencial",
      VLOOKUP(D48,TARIFAS!A:K,9,FALSE) + IF(I48="Sí",VLOOKUP(D48,TARIFAS!A:K,11,FALSE),0),
      VLOOKUP(D48,TARIFAS!A:K,10,FALSE) + IF(I48="Sí",VLOOKUP(D48,TARIFAS!A:K,11,FALSE),0)
   )
 )
)
</f>
        <v>0</v>
      </c>
      <c r="M48" s="45">
        <f>IF(J48="",0,MAX(0,J48 - TARIFAS!G$2) * TARIFAS!F$2)
</f>
        <v>0</v>
      </c>
      <c r="N48" s="45">
        <f>+L48*TARIFAS!$K$2</f>
        <v>0</v>
      </c>
      <c r="O48" s="45">
        <f t="shared" si="1"/>
        <v>0</v>
      </c>
      <c r="P48" s="45">
        <f>+M48+O48+K48+(+I48-(I48*TARIFAS!$K$2))</f>
        <v>0</v>
      </c>
      <c r="Q48" s="42" t="str">
        <f>CONFERENCIAS!T48</f>
        <v/>
      </c>
      <c r="R48" s="45" t="str">
        <f>CONFERENCIAS!U48</f>
        <v/>
      </c>
      <c r="S48" s="45" t="str">
        <f>CONFERENCIAS!W48</f>
        <v/>
      </c>
      <c r="T48" s="48">
        <f>IF(Q48="",0,
   IF(E48=1,
      IF(H48="Presencial",
         VLOOKUP(D48,TARIFAS!A:K,3,FALSE) + IF(I48="Sí",VLOOKUP(D48,TARIFAS!A:K,5,FALSE),0),
         VLOOKUP(D48,TARIFAS!A:K,4,FALSE) + IF(I48="Sí",VLOOKUP(D48,TARIFAS!A:K,5,FALSE),0)
      ),
      IF(H48="Presencial",
         VLOOKUP(D48,TARIFAS!A:K,9,FALSE) + IF(I48="Sí",VLOOKUP(D48,TARIFAS!A:K,11,FALSE),0),
         VLOOKUP(D48,TARIFAS!A:K,10,FALSE) + IF(I48="Sí",VLOOKUP(D48,TARIFAS!A:K,11,FALSE),0)
      )
   )
)
</f>
        <v>0</v>
      </c>
      <c r="U48" s="45">
        <f>IF(R48="",0,MAX(0,R48 - TARIFAS!G$2) * TARIFAS!F$2)
</f>
        <v>0</v>
      </c>
      <c r="V48" s="45">
        <f>+T48*TARIFAS!$K$2</f>
        <v>0</v>
      </c>
      <c r="W48" s="45">
        <f t="shared" si="2"/>
        <v>0</v>
      </c>
      <c r="X48" s="45">
        <f t="shared" si="3"/>
        <v>0</v>
      </c>
      <c r="Y48" s="45">
        <f t="shared" si="4"/>
        <v>0</v>
      </c>
      <c r="Z48" s="42" t="str">
        <f>CONFERENCIAS!AB48</f>
        <v/>
      </c>
      <c r="AA48" s="42" t="str">
        <f>CONFERENCIAS!AC48</f>
        <v/>
      </c>
      <c r="AB48" s="47" t="str">
        <f t="shared" si="5"/>
        <v/>
      </c>
      <c r="AC48" s="9" t="str">
        <f t="shared" si="6"/>
        <v/>
      </c>
    </row>
    <row r="49">
      <c r="A49" s="42" t="str">
        <f>CONFERENCIAS!A49</f>
        <v/>
      </c>
      <c r="D49" s="42" t="str">
        <f>CONFERENCIAS!C49</f>
        <v/>
      </c>
      <c r="E49" s="42" t="str">
        <f>CONFERENCIAS!K49</f>
        <v/>
      </c>
      <c r="F49" s="49" t="str">
        <f>CONFERENCIAS!J49</f>
        <v/>
      </c>
      <c r="G49" s="42" t="str">
        <f>CONFERENCIAS!O49</f>
        <v/>
      </c>
      <c r="H49" s="42" t="str">
        <f>CONFERENCIAS!X49</f>
        <v/>
      </c>
      <c r="I49" s="42" t="str">
        <f>CONFERENCIAS!AA49</f>
        <v/>
      </c>
      <c r="J49" s="44" t="str">
        <f>CONFERENCIAS!P49</f>
        <v/>
      </c>
      <c r="K49" s="45" t="str">
        <f>CONFERENCIAS!R49</f>
        <v/>
      </c>
      <c r="L49" s="45">
        <f>IF(D49="",0,
 IF(E49=1,
   IF(H49="Presencial",
      VLOOKUP(D49,TARIFAS!A:K,3,FALSE) + IF(I49="Sí",VLOOKUP(D49,TARIFAS!A:K,5,FALSE),0),
      VLOOKUP(D49,TARIFAS!A:K,4,FALSE) + IF(I49="Sí",VLOOKUP(D49,TARIFAS!A:K,5,FALSE),0)
   ),
   IF(H49="Presencial",
      VLOOKUP(D49,TARIFAS!A:K,9,FALSE) + IF(I49="Sí",VLOOKUP(D49,TARIFAS!A:K,11,FALSE),0),
      VLOOKUP(D49,TARIFAS!A:K,10,FALSE) + IF(I49="Sí",VLOOKUP(D49,TARIFAS!A:K,11,FALSE),0)
   )
 )
)
</f>
        <v>0</v>
      </c>
      <c r="M49" s="45">
        <f>IF(J49="",0,MAX(0,J49 - TARIFAS!G$2) * TARIFAS!F$2)
</f>
        <v>0</v>
      </c>
      <c r="N49" s="45">
        <f>+L49*TARIFAS!$K$2</f>
        <v>0</v>
      </c>
      <c r="O49" s="45">
        <f t="shared" si="1"/>
        <v>0</v>
      </c>
      <c r="P49" s="45">
        <f>+M49+O49+K49+(+I49-(I49*TARIFAS!$K$2))</f>
        <v>0</v>
      </c>
      <c r="Q49" s="42" t="str">
        <f>CONFERENCIAS!T49</f>
        <v/>
      </c>
      <c r="R49" s="45" t="str">
        <f>CONFERENCIAS!U49</f>
        <v/>
      </c>
      <c r="S49" s="45" t="str">
        <f>CONFERENCIAS!W49</f>
        <v/>
      </c>
      <c r="T49" s="48">
        <f>IF(Q49="",0,
   IF(E49=1,
      IF(H49="Presencial",
         VLOOKUP(D49,TARIFAS!A:K,3,FALSE) + IF(I49="Sí",VLOOKUP(D49,TARIFAS!A:K,5,FALSE),0),
         VLOOKUP(D49,TARIFAS!A:K,4,FALSE) + IF(I49="Sí",VLOOKUP(D49,TARIFAS!A:K,5,FALSE),0)
      ),
      IF(H49="Presencial",
         VLOOKUP(D49,TARIFAS!A:K,9,FALSE) + IF(I49="Sí",VLOOKUP(D49,TARIFAS!A:K,11,FALSE),0),
         VLOOKUP(D49,TARIFAS!A:K,10,FALSE) + IF(I49="Sí",VLOOKUP(D49,TARIFAS!A:K,11,FALSE),0)
      )
   )
)
</f>
        <v>0</v>
      </c>
      <c r="U49" s="45">
        <f>IF(R49="",0,MAX(0,R49 - TARIFAS!G$2) * TARIFAS!F$2)
</f>
        <v>0</v>
      </c>
      <c r="V49" s="45">
        <f>+T49*TARIFAS!$K$2</f>
        <v>0</v>
      </c>
      <c r="W49" s="45">
        <f t="shared" si="2"/>
        <v>0</v>
      </c>
      <c r="X49" s="45">
        <f t="shared" si="3"/>
        <v>0</v>
      </c>
      <c r="Y49" s="45">
        <f t="shared" si="4"/>
        <v>0</v>
      </c>
      <c r="Z49" s="42" t="str">
        <f>CONFERENCIAS!AB49</f>
        <v/>
      </c>
      <c r="AA49" s="42" t="str">
        <f>CONFERENCIAS!AC49</f>
        <v/>
      </c>
      <c r="AB49" s="47" t="str">
        <f t="shared" si="5"/>
        <v/>
      </c>
      <c r="AC49" s="9" t="str">
        <f t="shared" si="6"/>
        <v/>
      </c>
    </row>
    <row r="50">
      <c r="A50" s="42" t="str">
        <f>CONFERENCIAS!A50</f>
        <v/>
      </c>
      <c r="D50" s="42" t="str">
        <f>CONFERENCIAS!C50</f>
        <v/>
      </c>
      <c r="E50" s="42" t="str">
        <f>CONFERENCIAS!K50</f>
        <v/>
      </c>
      <c r="F50" s="49" t="str">
        <f>CONFERENCIAS!J50</f>
        <v/>
      </c>
      <c r="G50" s="42" t="str">
        <f>CONFERENCIAS!O50</f>
        <v/>
      </c>
      <c r="H50" s="42" t="str">
        <f>CONFERENCIAS!X50</f>
        <v/>
      </c>
      <c r="I50" s="42" t="str">
        <f>CONFERENCIAS!AA50</f>
        <v/>
      </c>
      <c r="J50" s="44" t="str">
        <f>CONFERENCIAS!P50</f>
        <v/>
      </c>
      <c r="K50" s="45" t="str">
        <f>CONFERENCIAS!R50</f>
        <v/>
      </c>
      <c r="L50" s="45">
        <f>IF(D50="",0,
 IF(E50=1,
   IF(H50="Presencial",
      VLOOKUP(D50,TARIFAS!A:K,3,FALSE) + IF(I50="Sí",VLOOKUP(D50,TARIFAS!A:K,5,FALSE),0),
      VLOOKUP(D50,TARIFAS!A:K,4,FALSE) + IF(I50="Sí",VLOOKUP(D50,TARIFAS!A:K,5,FALSE),0)
   ),
   IF(H50="Presencial",
      VLOOKUP(D50,TARIFAS!A:K,9,FALSE) + IF(I50="Sí",VLOOKUP(D50,TARIFAS!A:K,11,FALSE),0),
      VLOOKUP(D50,TARIFAS!A:K,10,FALSE) + IF(I50="Sí",VLOOKUP(D50,TARIFAS!A:K,11,FALSE),0)
   )
 )
)
</f>
        <v>0</v>
      </c>
      <c r="M50" s="45">
        <f>IF(J50="",0,MAX(0,J50 - TARIFAS!G$2) * TARIFAS!F$2)
</f>
        <v>0</v>
      </c>
      <c r="N50" s="45">
        <f>+L50*TARIFAS!$K$2</f>
        <v>0</v>
      </c>
      <c r="O50" s="45">
        <f t="shared" si="1"/>
        <v>0</v>
      </c>
      <c r="P50" s="45">
        <f>+M50+O50+K50+(+I50-(I50*TARIFAS!$K$2))</f>
        <v>0</v>
      </c>
      <c r="Q50" s="42" t="str">
        <f>CONFERENCIAS!T50</f>
        <v/>
      </c>
      <c r="R50" s="45" t="str">
        <f>CONFERENCIAS!U50</f>
        <v/>
      </c>
      <c r="S50" s="45" t="str">
        <f>CONFERENCIAS!W50</f>
        <v/>
      </c>
      <c r="T50" s="48">
        <f>IF(Q50="",0,
   IF(E50=1,
      IF(H50="Presencial",
         VLOOKUP(D50,TARIFAS!A:K,3,FALSE) + IF(I50="Sí",VLOOKUP(D50,TARIFAS!A:K,5,FALSE),0),
         VLOOKUP(D50,TARIFAS!A:K,4,FALSE) + IF(I50="Sí",VLOOKUP(D50,TARIFAS!A:K,5,FALSE),0)
      ),
      IF(H50="Presencial",
         VLOOKUP(D50,TARIFAS!A:K,9,FALSE) + IF(I50="Sí",VLOOKUP(D50,TARIFAS!A:K,11,FALSE),0),
         VLOOKUP(D50,TARIFAS!A:K,10,FALSE) + IF(I50="Sí",VLOOKUP(D50,TARIFAS!A:K,11,FALSE),0)
      )
   )
)
</f>
        <v>0</v>
      </c>
      <c r="U50" s="45">
        <f>IF(R50="",0,MAX(0,R50 - TARIFAS!G$2) * TARIFAS!F$2)
</f>
        <v>0</v>
      </c>
      <c r="V50" s="45">
        <f>+T50*TARIFAS!$K$2</f>
        <v>0</v>
      </c>
      <c r="W50" s="45">
        <f t="shared" si="2"/>
        <v>0</v>
      </c>
      <c r="X50" s="45">
        <f t="shared" si="3"/>
        <v>0</v>
      </c>
      <c r="Y50" s="45">
        <f t="shared" si="4"/>
        <v>0</v>
      </c>
      <c r="Z50" s="42" t="str">
        <f>CONFERENCIAS!AB50</f>
        <v/>
      </c>
      <c r="AA50" s="42" t="str">
        <f>CONFERENCIAS!AC50</f>
        <v/>
      </c>
      <c r="AB50" s="47" t="str">
        <f t="shared" si="5"/>
        <v/>
      </c>
      <c r="AC50" s="9" t="str">
        <f t="shared" si="6"/>
        <v/>
      </c>
    </row>
    <row r="51">
      <c r="A51" s="42" t="str">
        <f>CONFERENCIAS!A51</f>
        <v/>
      </c>
      <c r="D51" s="42" t="str">
        <f>CONFERENCIAS!C51</f>
        <v/>
      </c>
      <c r="E51" s="42" t="str">
        <f>CONFERENCIAS!K51</f>
        <v/>
      </c>
      <c r="F51" s="49" t="str">
        <f>CONFERENCIAS!J51</f>
        <v/>
      </c>
      <c r="G51" s="42" t="str">
        <f>CONFERENCIAS!O51</f>
        <v/>
      </c>
      <c r="H51" s="42" t="str">
        <f>CONFERENCIAS!X51</f>
        <v/>
      </c>
      <c r="I51" s="42" t="str">
        <f>CONFERENCIAS!AA51</f>
        <v/>
      </c>
      <c r="J51" s="44" t="str">
        <f>CONFERENCIAS!P51</f>
        <v/>
      </c>
      <c r="K51" s="45" t="str">
        <f>CONFERENCIAS!R51</f>
        <v/>
      </c>
      <c r="L51" s="45">
        <f>IF(D51="",0,
 IF(E51=1,
   IF(H51="Presencial",
      VLOOKUP(D51,TARIFAS!A:K,3,FALSE) + IF(I51="Sí",VLOOKUP(D51,TARIFAS!A:K,5,FALSE),0),
      VLOOKUP(D51,TARIFAS!A:K,4,FALSE) + IF(I51="Sí",VLOOKUP(D51,TARIFAS!A:K,5,FALSE),0)
   ),
   IF(H51="Presencial",
      VLOOKUP(D51,TARIFAS!A:K,9,FALSE) + IF(I51="Sí",VLOOKUP(D51,TARIFAS!A:K,11,FALSE),0),
      VLOOKUP(D51,TARIFAS!A:K,10,FALSE) + IF(I51="Sí",VLOOKUP(D51,TARIFAS!A:K,11,FALSE),0)
   )
 )
)
</f>
        <v>0</v>
      </c>
      <c r="M51" s="45">
        <f>IF(J51="",0,MAX(0,J51 - TARIFAS!G$2) * TARIFAS!F$2)
</f>
        <v>0</v>
      </c>
      <c r="N51" s="45">
        <f>+L51*TARIFAS!$K$2</f>
        <v>0</v>
      </c>
      <c r="O51" s="45">
        <f t="shared" si="1"/>
        <v>0</v>
      </c>
      <c r="P51" s="45">
        <f>+M51+O51+K51+(+I51-(I51*TARIFAS!$K$2))</f>
        <v>0</v>
      </c>
      <c r="Q51" s="42" t="str">
        <f>CONFERENCIAS!T51</f>
        <v/>
      </c>
      <c r="R51" s="45" t="str">
        <f>CONFERENCIAS!U51</f>
        <v/>
      </c>
      <c r="S51" s="45" t="str">
        <f>CONFERENCIAS!W51</f>
        <v/>
      </c>
      <c r="T51" s="48">
        <f>IF(Q51="",0,
   IF(E51=1,
      IF(H51="Presencial",
         VLOOKUP(D51,TARIFAS!A:K,3,FALSE) + IF(I51="Sí",VLOOKUP(D51,TARIFAS!A:K,5,FALSE),0),
         VLOOKUP(D51,TARIFAS!A:K,4,FALSE) + IF(I51="Sí",VLOOKUP(D51,TARIFAS!A:K,5,FALSE),0)
      ),
      IF(H51="Presencial",
         VLOOKUP(D51,TARIFAS!A:K,9,FALSE) + IF(I51="Sí",VLOOKUP(D51,TARIFAS!A:K,11,FALSE),0),
         VLOOKUP(D51,TARIFAS!A:K,10,FALSE) + IF(I51="Sí",VLOOKUP(D51,TARIFAS!A:K,11,FALSE),0)
      )
   )
)
</f>
        <v>0</v>
      </c>
      <c r="U51" s="45">
        <f>IF(R51="",0,MAX(0,R51 - TARIFAS!G$2) * TARIFAS!F$2)
</f>
        <v>0</v>
      </c>
      <c r="V51" s="45">
        <f>+T51*TARIFAS!$K$2</f>
        <v>0</v>
      </c>
      <c r="W51" s="45">
        <f t="shared" si="2"/>
        <v>0</v>
      </c>
      <c r="X51" s="45">
        <f t="shared" si="3"/>
        <v>0</v>
      </c>
      <c r="Y51" s="45">
        <f t="shared" si="4"/>
        <v>0</v>
      </c>
      <c r="Z51" s="42" t="str">
        <f>CONFERENCIAS!AB51</f>
        <v/>
      </c>
      <c r="AA51" s="42" t="str">
        <f>CONFERENCIAS!AC51</f>
        <v/>
      </c>
      <c r="AB51" s="47" t="str">
        <f t="shared" si="5"/>
        <v/>
      </c>
      <c r="AC51" s="9" t="str">
        <f t="shared" si="6"/>
        <v/>
      </c>
    </row>
    <row r="52">
      <c r="A52" s="42" t="str">
        <f>CONFERENCIAS!A52</f>
        <v/>
      </c>
      <c r="D52" s="42" t="str">
        <f>CONFERENCIAS!C52</f>
        <v/>
      </c>
      <c r="E52" s="42" t="str">
        <f>CONFERENCIAS!K52</f>
        <v/>
      </c>
      <c r="F52" s="49" t="str">
        <f>CONFERENCIAS!J52</f>
        <v/>
      </c>
      <c r="G52" s="42" t="str">
        <f>CONFERENCIAS!O52</f>
        <v/>
      </c>
      <c r="H52" s="42" t="str">
        <f>CONFERENCIAS!X52</f>
        <v/>
      </c>
      <c r="I52" s="42" t="str">
        <f>CONFERENCIAS!AA52</f>
        <v/>
      </c>
      <c r="J52" s="44" t="str">
        <f>CONFERENCIAS!P52</f>
        <v/>
      </c>
      <c r="K52" s="45" t="str">
        <f>CONFERENCIAS!R52</f>
        <v/>
      </c>
      <c r="L52" s="45">
        <f>IF(D52="",0,
 IF(E52=1,
   IF(H52="Presencial",
      VLOOKUP(D52,TARIFAS!A:K,3,FALSE) + IF(I52="Sí",VLOOKUP(D52,TARIFAS!A:K,5,FALSE),0),
      VLOOKUP(D52,TARIFAS!A:K,4,FALSE) + IF(I52="Sí",VLOOKUP(D52,TARIFAS!A:K,5,FALSE),0)
   ),
   IF(H52="Presencial",
      VLOOKUP(D52,TARIFAS!A:K,9,FALSE) + IF(I52="Sí",VLOOKUP(D52,TARIFAS!A:K,11,FALSE),0),
      VLOOKUP(D52,TARIFAS!A:K,10,FALSE) + IF(I52="Sí",VLOOKUP(D52,TARIFAS!A:K,11,FALSE),0)
   )
 )
)
</f>
        <v>0</v>
      </c>
      <c r="M52" s="45">
        <f>IF(J52="",0,MAX(0,J52 - TARIFAS!G$2) * TARIFAS!F$2)
</f>
        <v>0</v>
      </c>
      <c r="N52" s="45">
        <f>+L52*TARIFAS!$K$2</f>
        <v>0</v>
      </c>
      <c r="O52" s="45">
        <f t="shared" si="1"/>
        <v>0</v>
      </c>
      <c r="P52" s="45">
        <f>+M52+O52+K52+(+I52-(I52*TARIFAS!$K$2))</f>
        <v>0</v>
      </c>
      <c r="Q52" s="42" t="str">
        <f>CONFERENCIAS!T52</f>
        <v/>
      </c>
      <c r="R52" s="45" t="str">
        <f>CONFERENCIAS!U52</f>
        <v/>
      </c>
      <c r="S52" s="45" t="str">
        <f>CONFERENCIAS!W52</f>
        <v/>
      </c>
      <c r="T52" s="48">
        <f>IF(Q52="",0,
   IF(E52=1,
      IF(H52="Presencial",
         VLOOKUP(D52,TARIFAS!A:K,3,FALSE) + IF(I52="Sí",VLOOKUP(D52,TARIFAS!A:K,5,FALSE),0),
         VLOOKUP(D52,TARIFAS!A:K,4,FALSE) + IF(I52="Sí",VLOOKUP(D52,TARIFAS!A:K,5,FALSE),0)
      ),
      IF(H52="Presencial",
         VLOOKUP(D52,TARIFAS!A:K,9,FALSE) + IF(I52="Sí",VLOOKUP(D52,TARIFAS!A:K,11,FALSE),0),
         VLOOKUP(D52,TARIFAS!A:K,10,FALSE) + IF(I52="Sí",VLOOKUP(D52,TARIFAS!A:K,11,FALSE),0)
      )
   )
)
</f>
        <v>0</v>
      </c>
      <c r="U52" s="45">
        <f>IF(R52="",0,MAX(0,R52 - TARIFAS!G$2) * TARIFAS!F$2)
</f>
        <v>0</v>
      </c>
      <c r="V52" s="45">
        <f>+T52*TARIFAS!$K$2</f>
        <v>0</v>
      </c>
      <c r="W52" s="45">
        <f t="shared" si="2"/>
        <v>0</v>
      </c>
      <c r="X52" s="45">
        <f t="shared" si="3"/>
        <v>0</v>
      </c>
      <c r="Y52" s="45">
        <f t="shared" si="4"/>
        <v>0</v>
      </c>
      <c r="Z52" s="42" t="str">
        <f>CONFERENCIAS!AB52</f>
        <v/>
      </c>
      <c r="AA52" s="42" t="str">
        <f>CONFERENCIAS!AC52</f>
        <v/>
      </c>
      <c r="AB52" s="47" t="str">
        <f t="shared" si="5"/>
        <v/>
      </c>
      <c r="AC52" s="9" t="str">
        <f t="shared" si="6"/>
        <v/>
      </c>
    </row>
    <row r="53">
      <c r="A53" s="42" t="str">
        <f>CONFERENCIAS!A53</f>
        <v/>
      </c>
      <c r="D53" s="42" t="str">
        <f>CONFERENCIAS!C53</f>
        <v/>
      </c>
      <c r="E53" s="42" t="str">
        <f>CONFERENCIAS!K53</f>
        <v/>
      </c>
      <c r="F53" s="49" t="str">
        <f>CONFERENCIAS!J53</f>
        <v/>
      </c>
      <c r="G53" s="42" t="str">
        <f>CONFERENCIAS!O53</f>
        <v/>
      </c>
      <c r="H53" s="42" t="str">
        <f>CONFERENCIAS!X53</f>
        <v/>
      </c>
      <c r="I53" s="42" t="str">
        <f>CONFERENCIAS!AA53</f>
        <v/>
      </c>
      <c r="J53" s="44" t="str">
        <f>CONFERENCIAS!P53</f>
        <v/>
      </c>
      <c r="K53" s="45" t="str">
        <f>CONFERENCIAS!R53</f>
        <v/>
      </c>
      <c r="L53" s="45">
        <f>IF(D53="",0,
 IF(E53=1,
   IF(H53="Presencial",
      VLOOKUP(D53,TARIFAS!A:K,3,FALSE) + IF(I53="Sí",VLOOKUP(D53,TARIFAS!A:K,5,FALSE),0),
      VLOOKUP(D53,TARIFAS!A:K,4,FALSE) + IF(I53="Sí",VLOOKUP(D53,TARIFAS!A:K,5,FALSE),0)
   ),
   IF(H53="Presencial",
      VLOOKUP(D53,TARIFAS!A:K,9,FALSE) + IF(I53="Sí",VLOOKUP(D53,TARIFAS!A:K,11,FALSE),0),
      VLOOKUP(D53,TARIFAS!A:K,10,FALSE) + IF(I53="Sí",VLOOKUP(D53,TARIFAS!A:K,11,FALSE),0)
   )
 )
)
</f>
        <v>0</v>
      </c>
      <c r="M53" s="45">
        <f>IF(J53="",0,MAX(0,J53 - TARIFAS!G$2) * TARIFAS!F$2)
</f>
        <v>0</v>
      </c>
      <c r="N53" s="45">
        <f>+L53*TARIFAS!$K$2</f>
        <v>0</v>
      </c>
      <c r="O53" s="45">
        <f t="shared" si="1"/>
        <v>0</v>
      </c>
      <c r="P53" s="45">
        <f>+M53+O53+K53+(+I53-(I53*TARIFAS!$K$2))</f>
        <v>0</v>
      </c>
      <c r="Q53" s="42" t="str">
        <f>CONFERENCIAS!T53</f>
        <v/>
      </c>
      <c r="R53" s="45" t="str">
        <f>CONFERENCIAS!U53</f>
        <v/>
      </c>
      <c r="S53" s="45" t="str">
        <f>CONFERENCIAS!W53</f>
        <v/>
      </c>
      <c r="T53" s="48">
        <f>IF(Q53="",0,
   IF(E53=1,
      IF(H53="Presencial",
         VLOOKUP(D53,TARIFAS!A:K,3,FALSE) + IF(I53="Sí",VLOOKUP(D53,TARIFAS!A:K,5,FALSE),0),
         VLOOKUP(D53,TARIFAS!A:K,4,FALSE) + IF(I53="Sí",VLOOKUP(D53,TARIFAS!A:K,5,FALSE),0)
      ),
      IF(H53="Presencial",
         VLOOKUP(D53,TARIFAS!A:K,9,FALSE) + IF(I53="Sí",VLOOKUP(D53,TARIFAS!A:K,11,FALSE),0),
         VLOOKUP(D53,TARIFAS!A:K,10,FALSE) + IF(I53="Sí",VLOOKUP(D53,TARIFAS!A:K,11,FALSE),0)
      )
   )
)
</f>
        <v>0</v>
      </c>
      <c r="U53" s="45">
        <f>IF(R53="",0,MAX(0,R53 - TARIFAS!G$2) * TARIFAS!F$2)
</f>
        <v>0</v>
      </c>
      <c r="V53" s="45">
        <f>+T53*TARIFAS!$K$2</f>
        <v>0</v>
      </c>
      <c r="W53" s="45">
        <f t="shared" si="2"/>
        <v>0</v>
      </c>
      <c r="X53" s="45">
        <f t="shared" si="3"/>
        <v>0</v>
      </c>
      <c r="Y53" s="45">
        <f t="shared" si="4"/>
        <v>0</v>
      </c>
      <c r="Z53" s="42" t="str">
        <f>CONFERENCIAS!AB53</f>
        <v/>
      </c>
      <c r="AA53" s="42" t="str">
        <f>CONFERENCIAS!AC53</f>
        <v/>
      </c>
      <c r="AB53" s="47" t="str">
        <f t="shared" si="5"/>
        <v/>
      </c>
      <c r="AC53" s="9" t="str">
        <f t="shared" si="6"/>
        <v/>
      </c>
    </row>
    <row r="54">
      <c r="A54" s="42" t="str">
        <f>CONFERENCIAS!A54</f>
        <v/>
      </c>
      <c r="D54" s="42" t="str">
        <f>CONFERENCIAS!C54</f>
        <v/>
      </c>
      <c r="E54" s="42" t="str">
        <f>CONFERENCIAS!K54</f>
        <v/>
      </c>
      <c r="F54" s="49" t="str">
        <f>CONFERENCIAS!J54</f>
        <v/>
      </c>
      <c r="G54" s="42" t="str">
        <f>CONFERENCIAS!O54</f>
        <v/>
      </c>
      <c r="H54" s="42" t="str">
        <f>CONFERENCIAS!X54</f>
        <v/>
      </c>
      <c r="I54" s="42" t="str">
        <f>CONFERENCIAS!AA54</f>
        <v/>
      </c>
      <c r="J54" s="44" t="str">
        <f>CONFERENCIAS!P54</f>
        <v/>
      </c>
      <c r="K54" s="45" t="str">
        <f>CONFERENCIAS!R54</f>
        <v/>
      </c>
      <c r="L54" s="45">
        <f>IF(D54="",0,
 IF(E54=1,
   IF(H54="Presencial",
      VLOOKUP(D54,TARIFAS!A:K,3,FALSE) + IF(I54="Sí",VLOOKUP(D54,TARIFAS!A:K,5,FALSE),0),
      VLOOKUP(D54,TARIFAS!A:K,4,FALSE) + IF(I54="Sí",VLOOKUP(D54,TARIFAS!A:K,5,FALSE),0)
   ),
   IF(H54="Presencial",
      VLOOKUP(D54,TARIFAS!A:K,9,FALSE) + IF(I54="Sí",VLOOKUP(D54,TARIFAS!A:K,11,FALSE),0),
      VLOOKUP(D54,TARIFAS!A:K,10,FALSE) + IF(I54="Sí",VLOOKUP(D54,TARIFAS!A:K,11,FALSE),0)
   )
 )
)
</f>
        <v>0</v>
      </c>
      <c r="M54" s="45">
        <f>IF(J54="",0,MAX(0,J54 - TARIFAS!G$2) * TARIFAS!F$2)
</f>
        <v>0</v>
      </c>
      <c r="N54" s="45">
        <f>+L54*TARIFAS!$K$2</f>
        <v>0</v>
      </c>
      <c r="O54" s="45">
        <f t="shared" si="1"/>
        <v>0</v>
      </c>
      <c r="P54" s="45">
        <f>+M54+O54+K54+(+I54-(I54*TARIFAS!$K$2))</f>
        <v>0</v>
      </c>
      <c r="Q54" s="42" t="str">
        <f>CONFERENCIAS!T54</f>
        <v/>
      </c>
      <c r="R54" s="45" t="str">
        <f>CONFERENCIAS!U54</f>
        <v/>
      </c>
      <c r="S54" s="45" t="str">
        <f>CONFERENCIAS!W54</f>
        <v/>
      </c>
      <c r="T54" s="48">
        <f>IF(Q54="",0,
   IF(E54=1,
      IF(H54="Presencial",
         VLOOKUP(D54,TARIFAS!A:K,3,FALSE) + IF(I54="Sí",VLOOKUP(D54,TARIFAS!A:K,5,FALSE),0),
         VLOOKUP(D54,TARIFAS!A:K,4,FALSE) + IF(I54="Sí",VLOOKUP(D54,TARIFAS!A:K,5,FALSE),0)
      ),
      IF(H54="Presencial",
         VLOOKUP(D54,TARIFAS!A:K,9,FALSE) + IF(I54="Sí",VLOOKUP(D54,TARIFAS!A:K,11,FALSE),0),
         VLOOKUP(D54,TARIFAS!A:K,10,FALSE) + IF(I54="Sí",VLOOKUP(D54,TARIFAS!A:K,11,FALSE),0)
      )
   )
)
</f>
        <v>0</v>
      </c>
      <c r="U54" s="45">
        <f>IF(R54="",0,MAX(0,R54 - TARIFAS!G$2) * TARIFAS!F$2)
</f>
        <v>0</v>
      </c>
      <c r="V54" s="45">
        <f>+T54*TARIFAS!$K$2</f>
        <v>0</v>
      </c>
      <c r="W54" s="45">
        <f t="shared" si="2"/>
        <v>0</v>
      </c>
      <c r="X54" s="45">
        <f t="shared" si="3"/>
        <v>0</v>
      </c>
      <c r="Y54" s="45">
        <f t="shared" si="4"/>
        <v>0</v>
      </c>
      <c r="Z54" s="42" t="str">
        <f>CONFERENCIAS!AB54</f>
        <v/>
      </c>
      <c r="AA54" s="42" t="str">
        <f>CONFERENCIAS!AC54</f>
        <v/>
      </c>
      <c r="AB54" s="47" t="str">
        <f t="shared" si="5"/>
        <v/>
      </c>
      <c r="AC54" s="9" t="str">
        <f t="shared" si="6"/>
        <v/>
      </c>
    </row>
    <row r="55">
      <c r="A55" s="42" t="str">
        <f>CONFERENCIAS!A55</f>
        <v/>
      </c>
      <c r="D55" s="42" t="str">
        <f>CONFERENCIAS!C55</f>
        <v/>
      </c>
      <c r="E55" s="42" t="str">
        <f>CONFERENCIAS!K55</f>
        <v/>
      </c>
      <c r="F55" s="49" t="str">
        <f>CONFERENCIAS!J55</f>
        <v/>
      </c>
      <c r="G55" s="42" t="str">
        <f>CONFERENCIAS!O55</f>
        <v/>
      </c>
      <c r="H55" s="42" t="str">
        <f>CONFERENCIAS!X55</f>
        <v/>
      </c>
      <c r="I55" s="42" t="str">
        <f>CONFERENCIAS!AA55</f>
        <v/>
      </c>
      <c r="J55" s="44" t="str">
        <f>CONFERENCIAS!P55</f>
        <v/>
      </c>
      <c r="K55" s="45" t="str">
        <f>CONFERENCIAS!R55</f>
        <v/>
      </c>
      <c r="L55" s="45">
        <f>IF(D55="",0,
 IF(E55=1,
   IF(H55="Presencial",
      VLOOKUP(D55,TARIFAS!A:K,3,FALSE) + IF(I55="Sí",VLOOKUP(D55,TARIFAS!A:K,5,FALSE),0),
      VLOOKUP(D55,TARIFAS!A:K,4,FALSE) + IF(I55="Sí",VLOOKUP(D55,TARIFAS!A:K,5,FALSE),0)
   ),
   IF(H55="Presencial",
      VLOOKUP(D55,TARIFAS!A:K,9,FALSE) + IF(I55="Sí",VLOOKUP(D55,TARIFAS!A:K,11,FALSE),0),
      VLOOKUP(D55,TARIFAS!A:K,10,FALSE) + IF(I55="Sí",VLOOKUP(D55,TARIFAS!A:K,11,FALSE),0)
   )
 )
)
</f>
        <v>0</v>
      </c>
      <c r="M55" s="45">
        <f>IF(J55="",0,MAX(0,J55 - TARIFAS!G$2) * TARIFAS!F$2)
</f>
        <v>0</v>
      </c>
      <c r="N55" s="45">
        <f>+L55*TARIFAS!$K$2</f>
        <v>0</v>
      </c>
      <c r="O55" s="45">
        <f t="shared" si="1"/>
        <v>0</v>
      </c>
      <c r="P55" s="45">
        <f>+M55+O55+K55+(+I55-(I55*TARIFAS!$K$2))</f>
        <v>0</v>
      </c>
      <c r="Q55" s="42" t="str">
        <f>CONFERENCIAS!T55</f>
        <v/>
      </c>
      <c r="R55" s="45" t="str">
        <f>CONFERENCIAS!U55</f>
        <v/>
      </c>
      <c r="S55" s="45" t="str">
        <f>CONFERENCIAS!W55</f>
        <v/>
      </c>
      <c r="T55" s="48">
        <f>IF(Q55="",0,
   IF(E55=1,
      IF(H55="Presencial",
         VLOOKUP(D55,TARIFAS!A:K,3,FALSE) + IF(I55="Sí",VLOOKUP(D55,TARIFAS!A:K,5,FALSE),0),
         VLOOKUP(D55,TARIFAS!A:K,4,FALSE) + IF(I55="Sí",VLOOKUP(D55,TARIFAS!A:K,5,FALSE),0)
      ),
      IF(H55="Presencial",
         VLOOKUP(D55,TARIFAS!A:K,9,FALSE) + IF(I55="Sí",VLOOKUP(D55,TARIFAS!A:K,11,FALSE),0),
         VLOOKUP(D55,TARIFAS!A:K,10,FALSE) + IF(I55="Sí",VLOOKUP(D55,TARIFAS!A:K,11,FALSE),0)
      )
   )
)
</f>
        <v>0</v>
      </c>
      <c r="U55" s="45">
        <f>IF(R55="",0,MAX(0,R55 - TARIFAS!G$2) * TARIFAS!F$2)
</f>
        <v>0</v>
      </c>
      <c r="V55" s="45">
        <f>+T55*TARIFAS!$K$2</f>
        <v>0</v>
      </c>
      <c r="W55" s="45">
        <f t="shared" si="2"/>
        <v>0</v>
      </c>
      <c r="X55" s="45">
        <f t="shared" si="3"/>
        <v>0</v>
      </c>
      <c r="Y55" s="45">
        <f t="shared" si="4"/>
        <v>0</v>
      </c>
      <c r="Z55" s="42" t="str">
        <f>CONFERENCIAS!AB55</f>
        <v/>
      </c>
      <c r="AA55" s="42" t="str">
        <f>CONFERENCIAS!AC55</f>
        <v/>
      </c>
      <c r="AB55" s="47" t="str">
        <f t="shared" si="5"/>
        <v/>
      </c>
      <c r="AC55" s="9" t="str">
        <f t="shared" si="6"/>
        <v/>
      </c>
    </row>
    <row r="56">
      <c r="A56" s="42" t="str">
        <f>CONFERENCIAS!A56</f>
        <v/>
      </c>
      <c r="D56" s="42" t="str">
        <f>CONFERENCIAS!C56</f>
        <v/>
      </c>
      <c r="E56" s="42" t="str">
        <f>CONFERENCIAS!K56</f>
        <v/>
      </c>
      <c r="F56" s="49" t="str">
        <f>CONFERENCIAS!J56</f>
        <v/>
      </c>
      <c r="G56" s="42" t="str">
        <f>CONFERENCIAS!O56</f>
        <v/>
      </c>
      <c r="H56" s="42" t="str">
        <f>CONFERENCIAS!X56</f>
        <v/>
      </c>
      <c r="I56" s="42" t="str">
        <f>CONFERENCIAS!AA56</f>
        <v/>
      </c>
      <c r="J56" s="44" t="str">
        <f>CONFERENCIAS!P56</f>
        <v/>
      </c>
      <c r="K56" s="45" t="str">
        <f>CONFERENCIAS!R56</f>
        <v/>
      </c>
      <c r="L56" s="45">
        <f>IF(D56="",0,
 IF(E56=1,
   IF(H56="Presencial",
      VLOOKUP(D56,TARIFAS!A:K,3,FALSE) + IF(I56="Sí",VLOOKUP(D56,TARIFAS!A:K,5,FALSE),0),
      VLOOKUP(D56,TARIFAS!A:K,4,FALSE) + IF(I56="Sí",VLOOKUP(D56,TARIFAS!A:K,5,FALSE),0)
   ),
   IF(H56="Presencial",
      VLOOKUP(D56,TARIFAS!A:K,9,FALSE) + IF(I56="Sí",VLOOKUP(D56,TARIFAS!A:K,11,FALSE),0),
      VLOOKUP(D56,TARIFAS!A:K,10,FALSE) + IF(I56="Sí",VLOOKUP(D56,TARIFAS!A:K,11,FALSE),0)
   )
 )
)
</f>
        <v>0</v>
      </c>
      <c r="M56" s="45">
        <f>IF(J56="",0,MAX(0,J56 - TARIFAS!G$2) * TARIFAS!F$2)
</f>
        <v>0</v>
      </c>
      <c r="N56" s="45">
        <f>+L56*TARIFAS!$K$2</f>
        <v>0</v>
      </c>
      <c r="O56" s="45">
        <f t="shared" si="1"/>
        <v>0</v>
      </c>
      <c r="P56" s="45">
        <f>+M56+O56+K56+(+I56-(I56*TARIFAS!$K$2))</f>
        <v>0</v>
      </c>
      <c r="Q56" s="42" t="str">
        <f>CONFERENCIAS!T56</f>
        <v/>
      </c>
      <c r="R56" s="45" t="str">
        <f>CONFERENCIAS!U56</f>
        <v/>
      </c>
      <c r="S56" s="45" t="str">
        <f>CONFERENCIAS!W56</f>
        <v/>
      </c>
      <c r="T56" s="48">
        <f>IF(Q56="",0,
   IF(E56=1,
      IF(H56="Presencial",
         VLOOKUP(D56,TARIFAS!A:K,3,FALSE) + IF(I56="Sí",VLOOKUP(D56,TARIFAS!A:K,5,FALSE),0),
         VLOOKUP(D56,TARIFAS!A:K,4,FALSE) + IF(I56="Sí",VLOOKUP(D56,TARIFAS!A:K,5,FALSE),0)
      ),
      IF(H56="Presencial",
         VLOOKUP(D56,TARIFAS!A:K,9,FALSE) + IF(I56="Sí",VLOOKUP(D56,TARIFAS!A:K,11,FALSE),0),
         VLOOKUP(D56,TARIFAS!A:K,10,FALSE) + IF(I56="Sí",VLOOKUP(D56,TARIFAS!A:K,11,FALSE),0)
      )
   )
)
</f>
        <v>0</v>
      </c>
      <c r="U56" s="45">
        <f>IF(R56="",0,MAX(0,R56 - TARIFAS!G$2) * TARIFAS!F$2)
</f>
        <v>0</v>
      </c>
      <c r="V56" s="45">
        <f>+T56*TARIFAS!$K$2</f>
        <v>0</v>
      </c>
      <c r="W56" s="45">
        <f t="shared" si="2"/>
        <v>0</v>
      </c>
      <c r="X56" s="45">
        <f t="shared" si="3"/>
        <v>0</v>
      </c>
      <c r="Y56" s="45">
        <f t="shared" si="4"/>
        <v>0</v>
      </c>
      <c r="Z56" s="42" t="str">
        <f>CONFERENCIAS!AB56</f>
        <v/>
      </c>
      <c r="AA56" s="42" t="str">
        <f>CONFERENCIAS!AC56</f>
        <v/>
      </c>
      <c r="AB56" s="47" t="str">
        <f t="shared" si="5"/>
        <v/>
      </c>
      <c r="AC56" s="9" t="str">
        <f t="shared" si="6"/>
        <v/>
      </c>
    </row>
    <row r="57">
      <c r="A57" s="42" t="str">
        <f>CONFERENCIAS!A57</f>
        <v/>
      </c>
      <c r="D57" s="42" t="str">
        <f>CONFERENCIAS!C57</f>
        <v/>
      </c>
      <c r="E57" s="42" t="str">
        <f>CONFERENCIAS!K57</f>
        <v/>
      </c>
      <c r="F57" s="49" t="str">
        <f>CONFERENCIAS!J57</f>
        <v/>
      </c>
      <c r="G57" s="42" t="str">
        <f>CONFERENCIAS!O57</f>
        <v/>
      </c>
      <c r="H57" s="42" t="str">
        <f>CONFERENCIAS!X57</f>
        <v/>
      </c>
      <c r="I57" s="42" t="str">
        <f>CONFERENCIAS!AA57</f>
        <v/>
      </c>
      <c r="J57" s="44" t="str">
        <f>CONFERENCIAS!P57</f>
        <v/>
      </c>
      <c r="K57" s="45" t="str">
        <f>CONFERENCIAS!R57</f>
        <v/>
      </c>
      <c r="L57" s="45">
        <f>IF(D57="",0,
 IF(E57=1,
   IF(H57="Presencial",
      VLOOKUP(D57,TARIFAS!A:K,3,FALSE) + IF(I57="Sí",VLOOKUP(D57,TARIFAS!A:K,5,FALSE),0),
      VLOOKUP(D57,TARIFAS!A:K,4,FALSE) + IF(I57="Sí",VLOOKUP(D57,TARIFAS!A:K,5,FALSE),0)
   ),
   IF(H57="Presencial",
      VLOOKUP(D57,TARIFAS!A:K,9,FALSE) + IF(I57="Sí",VLOOKUP(D57,TARIFAS!A:K,11,FALSE),0),
      VLOOKUP(D57,TARIFAS!A:K,10,FALSE) + IF(I57="Sí",VLOOKUP(D57,TARIFAS!A:K,11,FALSE),0)
   )
 )
)
</f>
        <v>0</v>
      </c>
      <c r="M57" s="45">
        <f>IF(J57="",0,MAX(0,J57 - TARIFAS!G$2) * TARIFAS!F$2)
</f>
        <v>0</v>
      </c>
      <c r="N57" s="45">
        <f>+L57*TARIFAS!$K$2</f>
        <v>0</v>
      </c>
      <c r="O57" s="45">
        <f t="shared" si="1"/>
        <v>0</v>
      </c>
      <c r="P57" s="45">
        <f>+M57+O57+K57+(+I57-(I57*TARIFAS!$K$2))</f>
        <v>0</v>
      </c>
      <c r="Q57" s="42" t="str">
        <f>CONFERENCIAS!T57</f>
        <v/>
      </c>
      <c r="R57" s="45" t="str">
        <f>CONFERENCIAS!U57</f>
        <v/>
      </c>
      <c r="S57" s="45" t="str">
        <f>CONFERENCIAS!W57</f>
        <v/>
      </c>
      <c r="T57" s="48">
        <f>IF(Q57="",0,
   IF(E57=1,
      IF(H57="Presencial",
         VLOOKUP(D57,TARIFAS!A:K,3,FALSE) + IF(I57="Sí",VLOOKUP(D57,TARIFAS!A:K,5,FALSE),0),
         VLOOKUP(D57,TARIFAS!A:K,4,FALSE) + IF(I57="Sí",VLOOKUP(D57,TARIFAS!A:K,5,FALSE),0)
      ),
      IF(H57="Presencial",
         VLOOKUP(D57,TARIFAS!A:K,9,FALSE) + IF(I57="Sí",VLOOKUP(D57,TARIFAS!A:K,11,FALSE),0),
         VLOOKUP(D57,TARIFAS!A:K,10,FALSE) + IF(I57="Sí",VLOOKUP(D57,TARIFAS!A:K,11,FALSE),0)
      )
   )
)
</f>
        <v>0</v>
      </c>
      <c r="U57" s="45">
        <f>IF(R57="",0,MAX(0,R57 - TARIFAS!G$2) * TARIFAS!F$2)
</f>
        <v>0</v>
      </c>
      <c r="V57" s="45">
        <f>+T57*TARIFAS!$K$2</f>
        <v>0</v>
      </c>
      <c r="W57" s="45">
        <f t="shared" si="2"/>
        <v>0</v>
      </c>
      <c r="X57" s="45">
        <f t="shared" si="3"/>
        <v>0</v>
      </c>
      <c r="Y57" s="45">
        <f t="shared" si="4"/>
        <v>0</v>
      </c>
      <c r="Z57" s="42" t="str">
        <f>CONFERENCIAS!AB57</f>
        <v/>
      </c>
      <c r="AA57" s="42" t="str">
        <f>CONFERENCIAS!AC57</f>
        <v/>
      </c>
      <c r="AB57" s="47" t="str">
        <f t="shared" si="5"/>
        <v/>
      </c>
      <c r="AC57" s="9" t="str">
        <f t="shared" si="6"/>
        <v/>
      </c>
    </row>
    <row r="58">
      <c r="A58" s="42" t="str">
        <f>CONFERENCIAS!A58</f>
        <v/>
      </c>
      <c r="D58" s="42" t="str">
        <f>CONFERENCIAS!C58</f>
        <v/>
      </c>
      <c r="E58" s="42" t="str">
        <f>CONFERENCIAS!K58</f>
        <v/>
      </c>
      <c r="F58" s="49" t="str">
        <f>CONFERENCIAS!J58</f>
        <v/>
      </c>
      <c r="G58" s="42" t="str">
        <f>CONFERENCIAS!O58</f>
        <v/>
      </c>
      <c r="H58" s="42" t="str">
        <f>CONFERENCIAS!X58</f>
        <v/>
      </c>
      <c r="I58" s="42" t="str">
        <f>CONFERENCIAS!AA58</f>
        <v/>
      </c>
      <c r="J58" s="44" t="str">
        <f>CONFERENCIAS!P58</f>
        <v/>
      </c>
      <c r="K58" s="45" t="str">
        <f>CONFERENCIAS!R58</f>
        <v/>
      </c>
      <c r="L58" s="45">
        <f>IF(D58="",0,
 IF(E58=1,
   IF(H58="Presencial",
      VLOOKUP(D58,TARIFAS!A:K,3,FALSE) + IF(I58="Sí",VLOOKUP(D58,TARIFAS!A:K,5,FALSE),0),
      VLOOKUP(D58,TARIFAS!A:K,4,FALSE) + IF(I58="Sí",VLOOKUP(D58,TARIFAS!A:K,5,FALSE),0)
   ),
   IF(H58="Presencial",
      VLOOKUP(D58,TARIFAS!A:K,9,FALSE) + IF(I58="Sí",VLOOKUP(D58,TARIFAS!A:K,11,FALSE),0),
      VLOOKUP(D58,TARIFAS!A:K,10,FALSE) + IF(I58="Sí",VLOOKUP(D58,TARIFAS!A:K,11,FALSE),0)
   )
 )
)
</f>
        <v>0</v>
      </c>
      <c r="M58" s="45">
        <f>IF(J58="",0,MAX(0,J58 - TARIFAS!G$2) * TARIFAS!F$2)
</f>
        <v>0</v>
      </c>
      <c r="N58" s="45">
        <f>+L58*TARIFAS!$K$2</f>
        <v>0</v>
      </c>
      <c r="O58" s="45">
        <f t="shared" si="1"/>
        <v>0</v>
      </c>
      <c r="P58" s="45">
        <f>+M58+O58+K58+(+I58-(I58*TARIFAS!$K$2))</f>
        <v>0</v>
      </c>
      <c r="Q58" s="42" t="str">
        <f>CONFERENCIAS!T58</f>
        <v/>
      </c>
      <c r="R58" s="45" t="str">
        <f>CONFERENCIAS!U58</f>
        <v/>
      </c>
      <c r="S58" s="45" t="str">
        <f>CONFERENCIAS!W58</f>
        <v/>
      </c>
      <c r="T58" s="48">
        <f>IF(Q58="",0,
   IF(E58=1,
      IF(H58="Presencial",
         VLOOKUP(D58,TARIFAS!A:K,3,FALSE) + IF(I58="Sí",VLOOKUP(D58,TARIFAS!A:K,5,FALSE),0),
         VLOOKUP(D58,TARIFAS!A:K,4,FALSE) + IF(I58="Sí",VLOOKUP(D58,TARIFAS!A:K,5,FALSE),0)
      ),
      IF(H58="Presencial",
         VLOOKUP(D58,TARIFAS!A:K,9,FALSE) + IF(I58="Sí",VLOOKUP(D58,TARIFAS!A:K,11,FALSE),0),
         VLOOKUP(D58,TARIFAS!A:K,10,FALSE) + IF(I58="Sí",VLOOKUP(D58,TARIFAS!A:K,11,FALSE),0)
      )
   )
)
</f>
        <v>0</v>
      </c>
      <c r="U58" s="45">
        <f>IF(R58="",0,MAX(0,R58 - TARIFAS!G$2) * TARIFAS!F$2)
</f>
        <v>0</v>
      </c>
      <c r="V58" s="45">
        <f>+T58*TARIFAS!$K$2</f>
        <v>0</v>
      </c>
      <c r="W58" s="45">
        <f t="shared" si="2"/>
        <v>0</v>
      </c>
      <c r="X58" s="45">
        <f t="shared" si="3"/>
        <v>0</v>
      </c>
      <c r="Y58" s="45">
        <f t="shared" si="4"/>
        <v>0</v>
      </c>
      <c r="Z58" s="42" t="str">
        <f>CONFERENCIAS!AB58</f>
        <v/>
      </c>
      <c r="AA58" s="42" t="str">
        <f>CONFERENCIAS!AC58</f>
        <v/>
      </c>
      <c r="AB58" s="47" t="str">
        <f t="shared" si="5"/>
        <v/>
      </c>
      <c r="AC58" s="9" t="str">
        <f t="shared" si="6"/>
        <v/>
      </c>
    </row>
    <row r="59">
      <c r="A59" s="42" t="str">
        <f>CONFERENCIAS!A59</f>
        <v/>
      </c>
      <c r="D59" s="42" t="str">
        <f>CONFERENCIAS!C59</f>
        <v/>
      </c>
      <c r="E59" s="42" t="str">
        <f>CONFERENCIAS!K59</f>
        <v/>
      </c>
      <c r="F59" s="49" t="str">
        <f>CONFERENCIAS!J59</f>
        <v/>
      </c>
      <c r="G59" s="42" t="str">
        <f>CONFERENCIAS!O59</f>
        <v/>
      </c>
      <c r="H59" s="42" t="str">
        <f>CONFERENCIAS!X59</f>
        <v/>
      </c>
      <c r="I59" s="42" t="str">
        <f>CONFERENCIAS!AA59</f>
        <v/>
      </c>
      <c r="J59" s="44" t="str">
        <f>CONFERENCIAS!P59</f>
        <v/>
      </c>
      <c r="K59" s="45" t="str">
        <f>CONFERENCIAS!R59</f>
        <v/>
      </c>
      <c r="L59" s="45">
        <f>IF(D59="",0,
 IF(E59=1,
   IF(H59="Presencial",
      VLOOKUP(D59,TARIFAS!A:K,3,FALSE) + IF(I59="Sí",VLOOKUP(D59,TARIFAS!A:K,5,FALSE),0),
      VLOOKUP(D59,TARIFAS!A:K,4,FALSE) + IF(I59="Sí",VLOOKUP(D59,TARIFAS!A:K,5,FALSE),0)
   ),
   IF(H59="Presencial",
      VLOOKUP(D59,TARIFAS!A:K,9,FALSE) + IF(I59="Sí",VLOOKUP(D59,TARIFAS!A:K,11,FALSE),0),
      VLOOKUP(D59,TARIFAS!A:K,10,FALSE) + IF(I59="Sí",VLOOKUP(D59,TARIFAS!A:K,11,FALSE),0)
   )
 )
)
</f>
        <v>0</v>
      </c>
      <c r="M59" s="45">
        <f>IF(J59="",0,MAX(0,J59 - TARIFAS!G$2) * TARIFAS!F$2)
</f>
        <v>0</v>
      </c>
      <c r="N59" s="45">
        <f>+L59*TARIFAS!$K$2</f>
        <v>0</v>
      </c>
      <c r="O59" s="45">
        <f t="shared" si="1"/>
        <v>0</v>
      </c>
      <c r="P59" s="45">
        <f>+M59+O59+K59+(+I59-(I59*TARIFAS!$K$2))</f>
        <v>0</v>
      </c>
      <c r="Q59" s="42" t="str">
        <f>CONFERENCIAS!T59</f>
        <v/>
      </c>
      <c r="R59" s="45" t="str">
        <f>CONFERENCIAS!U59</f>
        <v/>
      </c>
      <c r="S59" s="45" t="str">
        <f>CONFERENCIAS!W59</f>
        <v/>
      </c>
      <c r="T59" s="48">
        <f>IF(Q59="",0,
   IF(E59=1,
      IF(H59="Presencial",
         VLOOKUP(D59,TARIFAS!A:K,3,FALSE) + IF(I59="Sí",VLOOKUP(D59,TARIFAS!A:K,5,FALSE),0),
         VLOOKUP(D59,TARIFAS!A:K,4,FALSE) + IF(I59="Sí",VLOOKUP(D59,TARIFAS!A:K,5,FALSE),0)
      ),
      IF(H59="Presencial",
         VLOOKUP(D59,TARIFAS!A:K,9,FALSE) + IF(I59="Sí",VLOOKUP(D59,TARIFAS!A:K,11,FALSE),0),
         VLOOKUP(D59,TARIFAS!A:K,10,FALSE) + IF(I59="Sí",VLOOKUP(D59,TARIFAS!A:K,11,FALSE),0)
      )
   )
)
</f>
        <v>0</v>
      </c>
      <c r="U59" s="45">
        <f>IF(R59="",0,MAX(0,R59 - TARIFAS!G$2) * TARIFAS!F$2)
</f>
        <v>0</v>
      </c>
      <c r="V59" s="45">
        <f>+T59*TARIFAS!$K$2</f>
        <v>0</v>
      </c>
      <c r="W59" s="45">
        <f t="shared" si="2"/>
        <v>0</v>
      </c>
      <c r="X59" s="45">
        <f t="shared" si="3"/>
        <v>0</v>
      </c>
      <c r="Y59" s="45">
        <f t="shared" si="4"/>
        <v>0</v>
      </c>
      <c r="Z59" s="42" t="str">
        <f>CONFERENCIAS!AB59</f>
        <v/>
      </c>
      <c r="AA59" s="42" t="str">
        <f>CONFERENCIAS!AC59</f>
        <v/>
      </c>
      <c r="AB59" s="47" t="str">
        <f t="shared" si="5"/>
        <v/>
      </c>
      <c r="AC59" s="9" t="str">
        <f t="shared" si="6"/>
        <v/>
      </c>
    </row>
    <row r="60">
      <c r="A60" s="42" t="str">
        <f>CONFERENCIAS!A60</f>
        <v/>
      </c>
      <c r="D60" s="42" t="str">
        <f>CONFERENCIAS!C60</f>
        <v/>
      </c>
      <c r="E60" s="42" t="str">
        <f>CONFERENCIAS!K60</f>
        <v/>
      </c>
      <c r="F60" s="49" t="str">
        <f>CONFERENCIAS!J60</f>
        <v/>
      </c>
      <c r="G60" s="42" t="str">
        <f>CONFERENCIAS!O60</f>
        <v/>
      </c>
      <c r="H60" s="42" t="str">
        <f>CONFERENCIAS!X60</f>
        <v/>
      </c>
      <c r="I60" s="42" t="str">
        <f>CONFERENCIAS!AA60</f>
        <v/>
      </c>
      <c r="J60" s="44" t="str">
        <f>CONFERENCIAS!P60</f>
        <v/>
      </c>
      <c r="K60" s="45" t="str">
        <f>CONFERENCIAS!R60</f>
        <v/>
      </c>
      <c r="L60" s="45">
        <f>IF(D60="",0,
 IF(E60=1,
   IF(H60="Presencial",
      VLOOKUP(D60,TARIFAS!A:K,3,FALSE) + IF(I60="Sí",VLOOKUP(D60,TARIFAS!A:K,5,FALSE),0),
      VLOOKUP(D60,TARIFAS!A:K,4,FALSE) + IF(I60="Sí",VLOOKUP(D60,TARIFAS!A:K,5,FALSE),0)
   ),
   IF(H60="Presencial",
      VLOOKUP(D60,TARIFAS!A:K,9,FALSE) + IF(I60="Sí",VLOOKUP(D60,TARIFAS!A:K,11,FALSE),0),
      VLOOKUP(D60,TARIFAS!A:K,10,FALSE) + IF(I60="Sí",VLOOKUP(D60,TARIFAS!A:K,11,FALSE),0)
   )
 )
)
</f>
        <v>0</v>
      </c>
      <c r="M60" s="45">
        <f>IF(J60="",0,MAX(0,J60 - TARIFAS!G$2) * TARIFAS!F$2)
</f>
        <v>0</v>
      </c>
      <c r="N60" s="45">
        <f>+L60*TARIFAS!$K$2</f>
        <v>0</v>
      </c>
      <c r="O60" s="45">
        <f t="shared" si="1"/>
        <v>0</v>
      </c>
      <c r="P60" s="45">
        <f>+M60+O60+K60+(+I60-(I60*TARIFAS!$K$2))</f>
        <v>0</v>
      </c>
      <c r="Q60" s="42" t="str">
        <f>CONFERENCIAS!T60</f>
        <v/>
      </c>
      <c r="R60" s="45" t="str">
        <f>CONFERENCIAS!U60</f>
        <v/>
      </c>
      <c r="S60" s="45" t="str">
        <f>CONFERENCIAS!W60</f>
        <v/>
      </c>
      <c r="T60" s="48">
        <f>IF(Q60="",0,
   IF(E60=1,
      IF(H60="Presencial",
         VLOOKUP(D60,TARIFAS!A:K,3,FALSE) + IF(I60="Sí",VLOOKUP(D60,TARIFAS!A:K,5,FALSE),0),
         VLOOKUP(D60,TARIFAS!A:K,4,FALSE) + IF(I60="Sí",VLOOKUP(D60,TARIFAS!A:K,5,FALSE),0)
      ),
      IF(H60="Presencial",
         VLOOKUP(D60,TARIFAS!A:K,9,FALSE) + IF(I60="Sí",VLOOKUP(D60,TARIFAS!A:K,11,FALSE),0),
         VLOOKUP(D60,TARIFAS!A:K,10,FALSE) + IF(I60="Sí",VLOOKUP(D60,TARIFAS!A:K,11,FALSE),0)
      )
   )
)
</f>
        <v>0</v>
      </c>
      <c r="U60" s="45">
        <f>IF(R60="",0,MAX(0,R60 - TARIFAS!G$2) * TARIFAS!F$2)
</f>
        <v>0</v>
      </c>
      <c r="V60" s="45">
        <f>+T60*TARIFAS!$K$2</f>
        <v>0</v>
      </c>
      <c r="W60" s="45">
        <f t="shared" si="2"/>
        <v>0</v>
      </c>
      <c r="X60" s="45">
        <f t="shared" si="3"/>
        <v>0</v>
      </c>
      <c r="Y60" s="45">
        <f t="shared" si="4"/>
        <v>0</v>
      </c>
      <c r="Z60" s="42" t="str">
        <f>CONFERENCIAS!AB60</f>
        <v/>
      </c>
      <c r="AA60" s="42" t="str">
        <f>CONFERENCIAS!AC60</f>
        <v/>
      </c>
      <c r="AB60" s="47" t="str">
        <f t="shared" si="5"/>
        <v/>
      </c>
      <c r="AC60" s="9" t="str">
        <f t="shared" si="6"/>
        <v/>
      </c>
    </row>
    <row r="61">
      <c r="A61" s="42" t="str">
        <f>CONFERENCIAS!A61</f>
        <v/>
      </c>
      <c r="D61" s="42" t="str">
        <f>CONFERENCIAS!C61</f>
        <v/>
      </c>
      <c r="E61" s="42" t="str">
        <f>CONFERENCIAS!K61</f>
        <v/>
      </c>
      <c r="F61" s="49" t="str">
        <f>CONFERENCIAS!J61</f>
        <v/>
      </c>
      <c r="G61" s="42" t="str">
        <f>CONFERENCIAS!O61</f>
        <v/>
      </c>
      <c r="H61" s="42" t="str">
        <f>CONFERENCIAS!X61</f>
        <v/>
      </c>
      <c r="I61" s="42" t="str">
        <f>CONFERENCIAS!AA61</f>
        <v/>
      </c>
      <c r="J61" s="44" t="str">
        <f>CONFERENCIAS!P61</f>
        <v/>
      </c>
      <c r="K61" s="45" t="str">
        <f>CONFERENCIAS!R61</f>
        <v/>
      </c>
      <c r="L61" s="45">
        <f>IF(D61="",0,
 IF(E61=1,
   IF(H61="Presencial",
      VLOOKUP(D61,TARIFAS!A:K,3,FALSE) + IF(I61="Sí",VLOOKUP(D61,TARIFAS!A:K,5,FALSE),0),
      VLOOKUP(D61,TARIFAS!A:K,4,FALSE) + IF(I61="Sí",VLOOKUP(D61,TARIFAS!A:K,5,FALSE),0)
   ),
   IF(H61="Presencial",
      VLOOKUP(D61,TARIFAS!A:K,9,FALSE) + IF(I61="Sí",VLOOKUP(D61,TARIFAS!A:K,11,FALSE),0),
      VLOOKUP(D61,TARIFAS!A:K,10,FALSE) + IF(I61="Sí",VLOOKUP(D61,TARIFAS!A:K,11,FALSE),0)
   )
 )
)
</f>
        <v>0</v>
      </c>
      <c r="M61" s="45">
        <f>IF(J61="",0,MAX(0,J61 - TARIFAS!G$2) * TARIFAS!F$2)
</f>
        <v>0</v>
      </c>
      <c r="N61" s="45">
        <f>+L61*TARIFAS!$K$2</f>
        <v>0</v>
      </c>
      <c r="O61" s="45">
        <f t="shared" si="1"/>
        <v>0</v>
      </c>
      <c r="P61" s="45">
        <f>+M61+O61+K61+(+I61-(I61*TARIFAS!$K$2))</f>
        <v>0</v>
      </c>
      <c r="Q61" s="42" t="str">
        <f>CONFERENCIAS!T61</f>
        <v/>
      </c>
      <c r="R61" s="45" t="str">
        <f>CONFERENCIAS!U61</f>
        <v/>
      </c>
      <c r="S61" s="45" t="str">
        <f>CONFERENCIAS!W61</f>
        <v/>
      </c>
      <c r="T61" s="48">
        <f>IF(Q61="",0,
   IF(E61=1,
      IF(H61="Presencial",
         VLOOKUP(D61,TARIFAS!A:K,3,FALSE) + IF(I61="Sí",VLOOKUP(D61,TARIFAS!A:K,5,FALSE),0),
         VLOOKUP(D61,TARIFAS!A:K,4,FALSE) + IF(I61="Sí",VLOOKUP(D61,TARIFAS!A:K,5,FALSE),0)
      ),
      IF(H61="Presencial",
         VLOOKUP(D61,TARIFAS!A:K,9,FALSE) + IF(I61="Sí",VLOOKUP(D61,TARIFAS!A:K,11,FALSE),0),
         VLOOKUP(D61,TARIFAS!A:K,10,FALSE) + IF(I61="Sí",VLOOKUP(D61,TARIFAS!A:K,11,FALSE),0)
      )
   )
)
</f>
        <v>0</v>
      </c>
      <c r="U61" s="45">
        <f>IF(R61="",0,MAX(0,R61 - TARIFAS!G$2) * TARIFAS!F$2)
</f>
        <v>0</v>
      </c>
      <c r="V61" s="45">
        <f>+T61*TARIFAS!$K$2</f>
        <v>0</v>
      </c>
      <c r="W61" s="45">
        <f t="shared" si="2"/>
        <v>0</v>
      </c>
      <c r="X61" s="45">
        <f t="shared" si="3"/>
        <v>0</v>
      </c>
      <c r="Y61" s="45">
        <f t="shared" si="4"/>
        <v>0</v>
      </c>
      <c r="Z61" s="42" t="str">
        <f>CONFERENCIAS!AB61</f>
        <v/>
      </c>
      <c r="AA61" s="42" t="str">
        <f>CONFERENCIAS!AC61</f>
        <v/>
      </c>
      <c r="AB61" s="47" t="str">
        <f t="shared" si="5"/>
        <v/>
      </c>
      <c r="AC61" s="9" t="str">
        <f t="shared" si="6"/>
        <v/>
      </c>
    </row>
    <row r="62">
      <c r="A62" s="42" t="str">
        <f>CONFERENCIAS!A62</f>
        <v/>
      </c>
      <c r="D62" s="42" t="str">
        <f>CONFERENCIAS!C62</f>
        <v/>
      </c>
      <c r="E62" s="42" t="str">
        <f>CONFERENCIAS!K62</f>
        <v/>
      </c>
      <c r="F62" s="49" t="str">
        <f>CONFERENCIAS!J62</f>
        <v/>
      </c>
      <c r="G62" s="42" t="str">
        <f>CONFERENCIAS!O62</f>
        <v/>
      </c>
      <c r="H62" s="42" t="str">
        <f>CONFERENCIAS!X62</f>
        <v/>
      </c>
      <c r="I62" s="42" t="str">
        <f>CONFERENCIAS!AA62</f>
        <v/>
      </c>
      <c r="J62" s="44" t="str">
        <f>CONFERENCIAS!P62</f>
        <v/>
      </c>
      <c r="K62" s="45" t="str">
        <f>CONFERENCIAS!R62</f>
        <v/>
      </c>
      <c r="L62" s="45">
        <f>IF(D62="",0,
 IF(E62=1,
   IF(H62="Presencial",
      VLOOKUP(D62,TARIFAS!A:K,3,FALSE) + IF(I62="Sí",VLOOKUP(D62,TARIFAS!A:K,5,FALSE),0),
      VLOOKUP(D62,TARIFAS!A:K,4,FALSE) + IF(I62="Sí",VLOOKUP(D62,TARIFAS!A:K,5,FALSE),0)
   ),
   IF(H62="Presencial",
      VLOOKUP(D62,TARIFAS!A:K,9,FALSE) + IF(I62="Sí",VLOOKUP(D62,TARIFAS!A:K,11,FALSE),0),
      VLOOKUP(D62,TARIFAS!A:K,10,FALSE) + IF(I62="Sí",VLOOKUP(D62,TARIFAS!A:K,11,FALSE),0)
   )
 )
)
</f>
        <v>0</v>
      </c>
      <c r="M62" s="45">
        <f>IF(J62="",0,MAX(0,J62 - TARIFAS!G$2) * TARIFAS!F$2)
</f>
        <v>0</v>
      </c>
      <c r="N62" s="45">
        <f>+L62*TARIFAS!$K$2</f>
        <v>0</v>
      </c>
      <c r="O62" s="45">
        <f t="shared" si="1"/>
        <v>0</v>
      </c>
      <c r="P62" s="45">
        <f>+M62+O62+K62+(+I62-(I62*TARIFAS!$K$2))</f>
        <v>0</v>
      </c>
      <c r="Q62" s="42" t="str">
        <f>CONFERENCIAS!T62</f>
        <v/>
      </c>
      <c r="R62" s="45" t="str">
        <f>CONFERENCIAS!U62</f>
        <v/>
      </c>
      <c r="S62" s="45" t="str">
        <f>CONFERENCIAS!W62</f>
        <v/>
      </c>
      <c r="T62" s="48">
        <f>IF(Q62="",0,
   IF(E62=1,
      IF(H62="Presencial",
         VLOOKUP(D62,TARIFAS!A:K,3,FALSE) + IF(I62="Sí",VLOOKUP(D62,TARIFAS!A:K,5,FALSE),0),
         VLOOKUP(D62,TARIFAS!A:K,4,FALSE) + IF(I62="Sí",VLOOKUP(D62,TARIFAS!A:K,5,FALSE),0)
      ),
      IF(H62="Presencial",
         VLOOKUP(D62,TARIFAS!A:K,9,FALSE) + IF(I62="Sí",VLOOKUP(D62,TARIFAS!A:K,11,FALSE),0),
         VLOOKUP(D62,TARIFAS!A:K,10,FALSE) + IF(I62="Sí",VLOOKUP(D62,TARIFAS!A:K,11,FALSE),0)
      )
   )
)
</f>
        <v>0</v>
      </c>
      <c r="U62" s="45">
        <f>IF(R62="",0,MAX(0,R62 - TARIFAS!G$2) * TARIFAS!F$2)
</f>
        <v>0</v>
      </c>
      <c r="V62" s="45">
        <f>+T62*TARIFAS!$K$2</f>
        <v>0</v>
      </c>
      <c r="W62" s="45">
        <f t="shared" si="2"/>
        <v>0</v>
      </c>
      <c r="X62" s="45">
        <f t="shared" si="3"/>
        <v>0</v>
      </c>
      <c r="Y62" s="45">
        <f t="shared" si="4"/>
        <v>0</v>
      </c>
      <c r="Z62" s="42" t="str">
        <f>CONFERENCIAS!AB62</f>
        <v/>
      </c>
      <c r="AA62" s="42" t="str">
        <f>CONFERENCIAS!AC62</f>
        <v/>
      </c>
      <c r="AB62" s="47" t="str">
        <f t="shared" si="5"/>
        <v/>
      </c>
      <c r="AC62" s="9" t="str">
        <f t="shared" si="6"/>
        <v/>
      </c>
    </row>
    <row r="63">
      <c r="A63" s="42" t="str">
        <f>CONFERENCIAS!A63</f>
        <v/>
      </c>
      <c r="D63" s="42" t="str">
        <f>CONFERENCIAS!C63</f>
        <v/>
      </c>
      <c r="E63" s="42" t="str">
        <f>CONFERENCIAS!K63</f>
        <v/>
      </c>
      <c r="F63" s="49" t="str">
        <f>CONFERENCIAS!J63</f>
        <v/>
      </c>
      <c r="G63" s="42" t="str">
        <f>CONFERENCIAS!O63</f>
        <v/>
      </c>
      <c r="H63" s="42" t="str">
        <f>CONFERENCIAS!X63</f>
        <v/>
      </c>
      <c r="I63" s="42" t="str">
        <f>CONFERENCIAS!AA63</f>
        <v/>
      </c>
      <c r="J63" s="44" t="str">
        <f>CONFERENCIAS!P63</f>
        <v/>
      </c>
      <c r="K63" s="45" t="str">
        <f>CONFERENCIAS!R63</f>
        <v/>
      </c>
      <c r="L63" s="45">
        <f>IF(D63="",0,
 IF(E63=1,
   IF(H63="Presencial",
      VLOOKUP(D63,TARIFAS!A:K,3,FALSE) + IF(I63="Sí",VLOOKUP(D63,TARIFAS!A:K,5,FALSE),0),
      VLOOKUP(D63,TARIFAS!A:K,4,FALSE) + IF(I63="Sí",VLOOKUP(D63,TARIFAS!A:K,5,FALSE),0)
   ),
   IF(H63="Presencial",
      VLOOKUP(D63,TARIFAS!A:K,9,FALSE) + IF(I63="Sí",VLOOKUP(D63,TARIFAS!A:K,11,FALSE),0),
      VLOOKUP(D63,TARIFAS!A:K,10,FALSE) + IF(I63="Sí",VLOOKUP(D63,TARIFAS!A:K,11,FALSE),0)
   )
 )
)
</f>
        <v>0</v>
      </c>
      <c r="M63" s="45">
        <f>IF(J63="",0,MAX(0,J63 - TARIFAS!G$2) * TARIFAS!F$2)
</f>
        <v>0</v>
      </c>
      <c r="N63" s="45">
        <f>+L63*TARIFAS!$K$2</f>
        <v>0</v>
      </c>
      <c r="O63" s="45">
        <f t="shared" si="1"/>
        <v>0</v>
      </c>
      <c r="P63" s="45">
        <f>+M63+O63+K63+(+I63-(I63*TARIFAS!$K$2))</f>
        <v>0</v>
      </c>
      <c r="Q63" s="42" t="str">
        <f>CONFERENCIAS!T63</f>
        <v/>
      </c>
      <c r="R63" s="45" t="str">
        <f>CONFERENCIAS!U63</f>
        <v/>
      </c>
      <c r="S63" s="45" t="str">
        <f>CONFERENCIAS!W63</f>
        <v/>
      </c>
      <c r="T63" s="48">
        <f>IF(Q63="",0,
   IF(E63=1,
      IF(H63="Presencial",
         VLOOKUP(D63,TARIFAS!A:K,3,FALSE) + IF(I63="Sí",VLOOKUP(D63,TARIFAS!A:K,5,FALSE),0),
         VLOOKUP(D63,TARIFAS!A:K,4,FALSE) + IF(I63="Sí",VLOOKUP(D63,TARIFAS!A:K,5,FALSE),0)
      ),
      IF(H63="Presencial",
         VLOOKUP(D63,TARIFAS!A:K,9,FALSE) + IF(I63="Sí",VLOOKUP(D63,TARIFAS!A:K,11,FALSE),0),
         VLOOKUP(D63,TARIFAS!A:K,10,FALSE) + IF(I63="Sí",VLOOKUP(D63,TARIFAS!A:K,11,FALSE),0)
      )
   )
)
</f>
        <v>0</v>
      </c>
      <c r="U63" s="45">
        <f>IF(R63="",0,MAX(0,R63 - TARIFAS!G$2) * TARIFAS!F$2)
</f>
        <v>0</v>
      </c>
      <c r="V63" s="45">
        <f>+T63*TARIFAS!$K$2</f>
        <v>0</v>
      </c>
      <c r="W63" s="45">
        <f t="shared" si="2"/>
        <v>0</v>
      </c>
      <c r="X63" s="45">
        <f t="shared" si="3"/>
        <v>0</v>
      </c>
      <c r="Y63" s="45">
        <f t="shared" si="4"/>
        <v>0</v>
      </c>
      <c r="Z63" s="42" t="str">
        <f>CONFERENCIAS!AB63</f>
        <v/>
      </c>
      <c r="AA63" s="42" t="str">
        <f>CONFERENCIAS!AC63</f>
        <v/>
      </c>
      <c r="AB63" s="47" t="str">
        <f t="shared" si="5"/>
        <v/>
      </c>
      <c r="AC63" s="9" t="str">
        <f t="shared" si="6"/>
        <v/>
      </c>
    </row>
    <row r="64">
      <c r="A64" s="42" t="str">
        <f>CONFERENCIAS!A64</f>
        <v/>
      </c>
      <c r="D64" s="42" t="str">
        <f>CONFERENCIAS!C64</f>
        <v/>
      </c>
      <c r="E64" s="42" t="str">
        <f>CONFERENCIAS!K64</f>
        <v/>
      </c>
      <c r="F64" s="49" t="str">
        <f>CONFERENCIAS!J64</f>
        <v/>
      </c>
      <c r="G64" s="42" t="str">
        <f>CONFERENCIAS!O64</f>
        <v/>
      </c>
      <c r="H64" s="42" t="str">
        <f>CONFERENCIAS!X64</f>
        <v/>
      </c>
      <c r="I64" s="42" t="str">
        <f>CONFERENCIAS!AA64</f>
        <v/>
      </c>
      <c r="J64" s="44" t="str">
        <f>CONFERENCIAS!P64</f>
        <v/>
      </c>
      <c r="K64" s="45" t="str">
        <f>CONFERENCIAS!R64</f>
        <v/>
      </c>
      <c r="L64" s="45">
        <f>IF(D64="",0,
 IF(E64=1,
   IF(H64="Presencial",
      VLOOKUP(D64,TARIFAS!A:K,3,FALSE) + IF(I64="Sí",VLOOKUP(D64,TARIFAS!A:K,5,FALSE),0),
      VLOOKUP(D64,TARIFAS!A:K,4,FALSE) + IF(I64="Sí",VLOOKUP(D64,TARIFAS!A:K,5,FALSE),0)
   ),
   IF(H64="Presencial",
      VLOOKUP(D64,TARIFAS!A:K,9,FALSE) + IF(I64="Sí",VLOOKUP(D64,TARIFAS!A:K,11,FALSE),0),
      VLOOKUP(D64,TARIFAS!A:K,10,FALSE) + IF(I64="Sí",VLOOKUP(D64,TARIFAS!A:K,11,FALSE),0)
   )
 )
)
</f>
        <v>0</v>
      </c>
      <c r="M64" s="45">
        <f>IF(J64="",0,MAX(0,J64 - TARIFAS!G$2) * TARIFAS!F$2)
</f>
        <v>0</v>
      </c>
      <c r="N64" s="45">
        <f>+L64*TARIFAS!$K$2</f>
        <v>0</v>
      </c>
      <c r="O64" s="45">
        <f t="shared" si="1"/>
        <v>0</v>
      </c>
      <c r="P64" s="45">
        <f>+M64+O64+K64+(+I64-(I64*TARIFAS!$K$2))</f>
        <v>0</v>
      </c>
      <c r="Q64" s="42" t="str">
        <f>CONFERENCIAS!T64</f>
        <v/>
      </c>
      <c r="R64" s="45" t="str">
        <f>CONFERENCIAS!U64</f>
        <v/>
      </c>
      <c r="S64" s="45" t="str">
        <f>CONFERENCIAS!W64</f>
        <v/>
      </c>
      <c r="T64" s="48">
        <f>IF(Q64="",0,
   IF(E64=1,
      IF(H64="Presencial",
         VLOOKUP(D64,TARIFAS!A:K,3,FALSE) + IF(I64="Sí",VLOOKUP(D64,TARIFAS!A:K,5,FALSE),0),
         VLOOKUP(D64,TARIFAS!A:K,4,FALSE) + IF(I64="Sí",VLOOKUP(D64,TARIFAS!A:K,5,FALSE),0)
      ),
      IF(H64="Presencial",
         VLOOKUP(D64,TARIFAS!A:K,9,FALSE) + IF(I64="Sí",VLOOKUP(D64,TARIFAS!A:K,11,FALSE),0),
         VLOOKUP(D64,TARIFAS!A:K,10,FALSE) + IF(I64="Sí",VLOOKUP(D64,TARIFAS!A:K,11,FALSE),0)
      )
   )
)
</f>
        <v>0</v>
      </c>
      <c r="U64" s="45">
        <f>IF(R64="",0,MAX(0,R64 - TARIFAS!G$2) * TARIFAS!F$2)
</f>
        <v>0</v>
      </c>
      <c r="V64" s="45">
        <f>+T64*TARIFAS!$K$2</f>
        <v>0</v>
      </c>
      <c r="W64" s="45">
        <f t="shared" si="2"/>
        <v>0</v>
      </c>
      <c r="X64" s="45">
        <f t="shared" si="3"/>
        <v>0</v>
      </c>
      <c r="Y64" s="45">
        <f t="shared" si="4"/>
        <v>0</v>
      </c>
      <c r="Z64" s="42" t="str">
        <f>CONFERENCIAS!AB64</f>
        <v/>
      </c>
      <c r="AA64" s="42" t="str">
        <f>CONFERENCIAS!AC64</f>
        <v/>
      </c>
      <c r="AB64" s="47" t="str">
        <f t="shared" si="5"/>
        <v/>
      </c>
      <c r="AC64" s="9" t="str">
        <f t="shared" si="6"/>
        <v/>
      </c>
    </row>
    <row r="65">
      <c r="A65" s="42" t="str">
        <f>CONFERENCIAS!A65</f>
        <v/>
      </c>
      <c r="D65" s="42" t="str">
        <f>CONFERENCIAS!C65</f>
        <v/>
      </c>
      <c r="E65" s="42" t="str">
        <f>CONFERENCIAS!K65</f>
        <v/>
      </c>
      <c r="F65" s="49" t="str">
        <f>CONFERENCIAS!J65</f>
        <v/>
      </c>
      <c r="G65" s="42" t="str">
        <f>CONFERENCIAS!O65</f>
        <v/>
      </c>
      <c r="H65" s="42" t="str">
        <f>CONFERENCIAS!X65</f>
        <v/>
      </c>
      <c r="I65" s="42" t="str">
        <f>CONFERENCIAS!AA65</f>
        <v/>
      </c>
      <c r="J65" s="44" t="str">
        <f>CONFERENCIAS!P65</f>
        <v/>
      </c>
      <c r="K65" s="45" t="str">
        <f>CONFERENCIAS!R65</f>
        <v/>
      </c>
      <c r="L65" s="45">
        <f>IF(D65="",0,
 IF(E65=1,
   IF(H65="Presencial",
      VLOOKUP(D65,TARIFAS!A:K,3,FALSE) + IF(I65="Sí",VLOOKUP(D65,TARIFAS!A:K,5,FALSE),0),
      VLOOKUP(D65,TARIFAS!A:K,4,FALSE) + IF(I65="Sí",VLOOKUP(D65,TARIFAS!A:K,5,FALSE),0)
   ),
   IF(H65="Presencial",
      VLOOKUP(D65,TARIFAS!A:K,9,FALSE) + IF(I65="Sí",VLOOKUP(D65,TARIFAS!A:K,11,FALSE),0),
      VLOOKUP(D65,TARIFAS!A:K,10,FALSE) + IF(I65="Sí",VLOOKUP(D65,TARIFAS!A:K,11,FALSE),0)
   )
 )
)
</f>
        <v>0</v>
      </c>
      <c r="M65" s="45">
        <f>IF(J65="",0,MAX(0,J65 - TARIFAS!G$2) * TARIFAS!F$2)
</f>
        <v>0</v>
      </c>
      <c r="N65" s="45">
        <f>+L65*TARIFAS!$K$2</f>
        <v>0</v>
      </c>
      <c r="O65" s="45">
        <f t="shared" si="1"/>
        <v>0</v>
      </c>
      <c r="P65" s="45">
        <f>+M65+O65+K65+(+I65-(I65*TARIFAS!$K$2))</f>
        <v>0</v>
      </c>
      <c r="Q65" s="42" t="str">
        <f>CONFERENCIAS!T65</f>
        <v/>
      </c>
      <c r="R65" s="45" t="str">
        <f>CONFERENCIAS!U65</f>
        <v/>
      </c>
      <c r="S65" s="45" t="str">
        <f>CONFERENCIAS!W65</f>
        <v/>
      </c>
      <c r="T65" s="48">
        <f>IF(Q65="",0,
   IF(E65=1,
      IF(H65="Presencial",
         VLOOKUP(D65,TARIFAS!A:K,3,FALSE) + IF(I65="Sí",VLOOKUP(D65,TARIFAS!A:K,5,FALSE),0),
         VLOOKUP(D65,TARIFAS!A:K,4,FALSE) + IF(I65="Sí",VLOOKUP(D65,TARIFAS!A:K,5,FALSE),0)
      ),
      IF(H65="Presencial",
         VLOOKUP(D65,TARIFAS!A:K,9,FALSE) + IF(I65="Sí",VLOOKUP(D65,TARIFAS!A:K,11,FALSE),0),
         VLOOKUP(D65,TARIFAS!A:K,10,FALSE) + IF(I65="Sí",VLOOKUP(D65,TARIFAS!A:K,11,FALSE),0)
      )
   )
)
</f>
        <v>0</v>
      </c>
      <c r="U65" s="45">
        <f>IF(R65="",0,MAX(0,R65 - TARIFAS!G$2) * TARIFAS!F$2)
</f>
        <v>0</v>
      </c>
      <c r="V65" s="45">
        <f>+T65*TARIFAS!$K$2</f>
        <v>0</v>
      </c>
      <c r="W65" s="45">
        <f t="shared" si="2"/>
        <v>0</v>
      </c>
      <c r="X65" s="45">
        <f t="shared" si="3"/>
        <v>0</v>
      </c>
      <c r="Y65" s="45">
        <f t="shared" si="4"/>
        <v>0</v>
      </c>
      <c r="Z65" s="42" t="str">
        <f>CONFERENCIAS!AB65</f>
        <v/>
      </c>
      <c r="AA65" s="42" t="str">
        <f>CONFERENCIAS!AC65</f>
        <v/>
      </c>
      <c r="AB65" s="47" t="str">
        <f t="shared" si="5"/>
        <v/>
      </c>
      <c r="AC65" s="9" t="str">
        <f t="shared" si="6"/>
        <v/>
      </c>
    </row>
    <row r="66">
      <c r="A66" s="42" t="str">
        <f>CONFERENCIAS!A66</f>
        <v/>
      </c>
      <c r="D66" s="42" t="str">
        <f>CONFERENCIAS!C66</f>
        <v/>
      </c>
      <c r="E66" s="42" t="str">
        <f>CONFERENCIAS!K66</f>
        <v/>
      </c>
      <c r="F66" s="49" t="str">
        <f>CONFERENCIAS!J66</f>
        <v/>
      </c>
      <c r="G66" s="42" t="str">
        <f>CONFERENCIAS!O66</f>
        <v/>
      </c>
      <c r="H66" s="42" t="str">
        <f>CONFERENCIAS!X66</f>
        <v/>
      </c>
      <c r="I66" s="42" t="str">
        <f>CONFERENCIAS!AA66</f>
        <v/>
      </c>
      <c r="J66" s="44" t="str">
        <f>CONFERENCIAS!P66</f>
        <v/>
      </c>
      <c r="K66" s="45" t="str">
        <f>CONFERENCIAS!R66</f>
        <v/>
      </c>
      <c r="L66" s="45">
        <f>IF(D66="",0,
 IF(E66=1,
   IF(H66="Presencial",
      VLOOKUP(D66,TARIFAS!A:K,3,FALSE) + IF(I66="Sí",VLOOKUP(D66,TARIFAS!A:K,5,FALSE),0),
      VLOOKUP(D66,TARIFAS!A:K,4,FALSE) + IF(I66="Sí",VLOOKUP(D66,TARIFAS!A:K,5,FALSE),0)
   ),
   IF(H66="Presencial",
      VLOOKUP(D66,TARIFAS!A:K,9,FALSE) + IF(I66="Sí",VLOOKUP(D66,TARIFAS!A:K,11,FALSE),0),
      VLOOKUP(D66,TARIFAS!A:K,10,FALSE) + IF(I66="Sí",VLOOKUP(D66,TARIFAS!A:K,11,FALSE),0)
   )
 )
)
</f>
        <v>0</v>
      </c>
      <c r="M66" s="45">
        <f>IF(J66="",0,MAX(0,J66 - TARIFAS!G$2) * TARIFAS!F$2)
</f>
        <v>0</v>
      </c>
      <c r="N66" s="45">
        <f>+L66*TARIFAS!$K$2</f>
        <v>0</v>
      </c>
      <c r="O66" s="45">
        <f t="shared" si="1"/>
        <v>0</v>
      </c>
      <c r="P66" s="45">
        <f>+M66+O66+K66+(+I66-(I66*TARIFAS!$K$2))</f>
        <v>0</v>
      </c>
      <c r="Q66" s="42" t="str">
        <f>CONFERENCIAS!T66</f>
        <v/>
      </c>
      <c r="R66" s="45" t="str">
        <f>CONFERENCIAS!U66</f>
        <v/>
      </c>
      <c r="S66" s="45" t="str">
        <f>CONFERENCIAS!W66</f>
        <v/>
      </c>
      <c r="T66" s="48">
        <f>IF(Q66="",0,
   IF(E66=1,
      IF(H66="Presencial",
         VLOOKUP(D66,TARIFAS!A:K,3,FALSE) + IF(I66="Sí",VLOOKUP(D66,TARIFAS!A:K,5,FALSE),0),
         VLOOKUP(D66,TARIFAS!A:K,4,FALSE) + IF(I66="Sí",VLOOKUP(D66,TARIFAS!A:K,5,FALSE),0)
      ),
      IF(H66="Presencial",
         VLOOKUP(D66,TARIFAS!A:K,9,FALSE) + IF(I66="Sí",VLOOKUP(D66,TARIFAS!A:K,11,FALSE),0),
         VLOOKUP(D66,TARIFAS!A:K,10,FALSE) + IF(I66="Sí",VLOOKUP(D66,TARIFAS!A:K,11,FALSE),0)
      )
   )
)
</f>
        <v>0</v>
      </c>
      <c r="U66" s="45">
        <f>IF(R66="",0,MAX(0,R66 - TARIFAS!G$2) * TARIFAS!F$2)
</f>
        <v>0</v>
      </c>
      <c r="V66" s="45">
        <f>+T66*TARIFAS!$K$2</f>
        <v>0</v>
      </c>
      <c r="W66" s="45">
        <f t="shared" si="2"/>
        <v>0</v>
      </c>
      <c r="X66" s="45">
        <f t="shared" si="3"/>
        <v>0</v>
      </c>
      <c r="Y66" s="45">
        <f t="shared" si="4"/>
        <v>0</v>
      </c>
      <c r="Z66" s="42" t="str">
        <f>CONFERENCIAS!AB66</f>
        <v/>
      </c>
      <c r="AA66" s="42" t="str">
        <f>CONFERENCIAS!AC66</f>
        <v/>
      </c>
      <c r="AB66" s="47" t="str">
        <f t="shared" si="5"/>
        <v/>
      </c>
      <c r="AC66" s="9" t="str">
        <f t="shared" si="6"/>
        <v/>
      </c>
    </row>
    <row r="67">
      <c r="A67" s="42" t="str">
        <f>CONFERENCIAS!A67</f>
        <v/>
      </c>
      <c r="D67" s="42" t="str">
        <f>CONFERENCIAS!C67</f>
        <v/>
      </c>
      <c r="E67" s="42" t="str">
        <f>CONFERENCIAS!K67</f>
        <v/>
      </c>
      <c r="F67" s="49" t="str">
        <f>CONFERENCIAS!J67</f>
        <v/>
      </c>
      <c r="G67" s="42" t="str">
        <f>CONFERENCIAS!O67</f>
        <v/>
      </c>
      <c r="H67" s="42" t="str">
        <f>CONFERENCIAS!X67</f>
        <v/>
      </c>
      <c r="I67" s="42" t="str">
        <f>CONFERENCIAS!AA67</f>
        <v/>
      </c>
      <c r="J67" s="44" t="str">
        <f>CONFERENCIAS!P67</f>
        <v/>
      </c>
      <c r="K67" s="45" t="str">
        <f>CONFERENCIAS!R67</f>
        <v/>
      </c>
      <c r="L67" s="45">
        <f>IF(D67="",0,
 IF(E67=1,
   IF(H67="Presencial",
      VLOOKUP(D67,TARIFAS!A:K,3,FALSE) + IF(I67="Sí",VLOOKUP(D67,TARIFAS!A:K,5,FALSE),0),
      VLOOKUP(D67,TARIFAS!A:K,4,FALSE) + IF(I67="Sí",VLOOKUP(D67,TARIFAS!A:K,5,FALSE),0)
   ),
   IF(H67="Presencial",
      VLOOKUP(D67,TARIFAS!A:K,9,FALSE) + IF(I67="Sí",VLOOKUP(D67,TARIFAS!A:K,11,FALSE),0),
      VLOOKUP(D67,TARIFAS!A:K,10,FALSE) + IF(I67="Sí",VLOOKUP(D67,TARIFAS!A:K,11,FALSE),0)
   )
 )
)
</f>
        <v>0</v>
      </c>
      <c r="M67" s="45">
        <f>IF(J67="",0,MAX(0,J67 - TARIFAS!G$2) * TARIFAS!F$2)
</f>
        <v>0</v>
      </c>
      <c r="N67" s="45">
        <f>+L67*TARIFAS!$K$2</f>
        <v>0</v>
      </c>
      <c r="O67" s="45">
        <f t="shared" si="1"/>
        <v>0</v>
      </c>
      <c r="P67" s="45">
        <f>+M67+O67+K67+(+I67-(I67*TARIFAS!$K$2))</f>
        <v>0</v>
      </c>
      <c r="Q67" s="42" t="str">
        <f>CONFERENCIAS!T67</f>
        <v/>
      </c>
      <c r="R67" s="45" t="str">
        <f>CONFERENCIAS!U67</f>
        <v/>
      </c>
      <c r="S67" s="45" t="str">
        <f>CONFERENCIAS!W67</f>
        <v/>
      </c>
      <c r="T67" s="48">
        <f>IF(Q67="",0,
   IF(E67=1,
      IF(H67="Presencial",
         VLOOKUP(D67,TARIFAS!A:K,3,FALSE) + IF(I67="Sí",VLOOKUP(D67,TARIFAS!A:K,5,FALSE),0),
         VLOOKUP(D67,TARIFAS!A:K,4,FALSE) + IF(I67="Sí",VLOOKUP(D67,TARIFAS!A:K,5,FALSE),0)
      ),
      IF(H67="Presencial",
         VLOOKUP(D67,TARIFAS!A:K,9,FALSE) + IF(I67="Sí",VLOOKUP(D67,TARIFAS!A:K,11,FALSE),0),
         VLOOKUP(D67,TARIFAS!A:K,10,FALSE) + IF(I67="Sí",VLOOKUP(D67,TARIFAS!A:K,11,FALSE),0)
      )
   )
)
</f>
        <v>0</v>
      </c>
      <c r="U67" s="45">
        <f>IF(R67="",0,MAX(0,R67 - TARIFAS!G$2) * TARIFAS!F$2)
</f>
        <v>0</v>
      </c>
      <c r="V67" s="45">
        <f>+T67*TARIFAS!$K$2</f>
        <v>0</v>
      </c>
      <c r="W67" s="45">
        <f t="shared" si="2"/>
        <v>0</v>
      </c>
      <c r="X67" s="45">
        <f t="shared" si="3"/>
        <v>0</v>
      </c>
      <c r="Y67" s="45">
        <f t="shared" si="4"/>
        <v>0</v>
      </c>
      <c r="Z67" s="42" t="str">
        <f>CONFERENCIAS!AB67</f>
        <v/>
      </c>
      <c r="AA67" s="42" t="str">
        <f>CONFERENCIAS!AC67</f>
        <v/>
      </c>
      <c r="AB67" s="47" t="str">
        <f t="shared" si="5"/>
        <v/>
      </c>
      <c r="AC67" s="9" t="str">
        <f t="shared" si="6"/>
        <v/>
      </c>
    </row>
    <row r="68">
      <c r="A68" s="42" t="str">
        <f>CONFERENCIAS!A68</f>
        <v/>
      </c>
      <c r="D68" s="42" t="str">
        <f>CONFERENCIAS!C68</f>
        <v/>
      </c>
      <c r="E68" s="42" t="str">
        <f>CONFERENCIAS!K68</f>
        <v/>
      </c>
      <c r="F68" s="49" t="str">
        <f>CONFERENCIAS!J68</f>
        <v/>
      </c>
      <c r="G68" s="42" t="str">
        <f>CONFERENCIAS!O68</f>
        <v/>
      </c>
      <c r="H68" s="42" t="str">
        <f>CONFERENCIAS!X68</f>
        <v/>
      </c>
      <c r="I68" s="42" t="str">
        <f>CONFERENCIAS!AA68</f>
        <v/>
      </c>
      <c r="J68" s="44" t="str">
        <f>CONFERENCIAS!P68</f>
        <v/>
      </c>
      <c r="K68" s="45" t="str">
        <f>CONFERENCIAS!R68</f>
        <v/>
      </c>
      <c r="L68" s="45">
        <f>IF(D68="",0,
 IF(E68=1,
   IF(H68="Presencial",
      VLOOKUP(D68,TARIFAS!A:K,3,FALSE) + IF(I68="Sí",VLOOKUP(D68,TARIFAS!A:K,5,FALSE),0),
      VLOOKUP(D68,TARIFAS!A:K,4,FALSE) + IF(I68="Sí",VLOOKUP(D68,TARIFAS!A:K,5,FALSE),0)
   ),
   IF(H68="Presencial",
      VLOOKUP(D68,TARIFAS!A:K,9,FALSE) + IF(I68="Sí",VLOOKUP(D68,TARIFAS!A:K,11,FALSE),0),
      VLOOKUP(D68,TARIFAS!A:K,10,FALSE) + IF(I68="Sí",VLOOKUP(D68,TARIFAS!A:K,11,FALSE),0)
   )
 )
)
</f>
        <v>0</v>
      </c>
      <c r="M68" s="45">
        <f>IF(J68="",0,MAX(0,J68 - TARIFAS!G$2) * TARIFAS!F$2)
</f>
        <v>0</v>
      </c>
      <c r="N68" s="45">
        <f>+L68*TARIFAS!$K$2</f>
        <v>0</v>
      </c>
      <c r="O68" s="45">
        <f t="shared" si="1"/>
        <v>0</v>
      </c>
      <c r="P68" s="45">
        <f>+M68+O68+K68+(+I68-(I68*TARIFAS!$K$2))</f>
        <v>0</v>
      </c>
      <c r="Q68" s="42" t="str">
        <f>CONFERENCIAS!T68</f>
        <v/>
      </c>
      <c r="R68" s="45" t="str">
        <f>CONFERENCIAS!U68</f>
        <v/>
      </c>
      <c r="S68" s="45" t="str">
        <f>CONFERENCIAS!W68</f>
        <v/>
      </c>
      <c r="T68" s="48">
        <f>IF(Q68="",0,
   IF(E68=1,
      IF(H68="Presencial",
         VLOOKUP(D68,TARIFAS!A:K,3,FALSE) + IF(I68="Sí",VLOOKUP(D68,TARIFAS!A:K,5,FALSE),0),
         VLOOKUP(D68,TARIFAS!A:K,4,FALSE) + IF(I68="Sí",VLOOKUP(D68,TARIFAS!A:K,5,FALSE),0)
      ),
      IF(H68="Presencial",
         VLOOKUP(D68,TARIFAS!A:K,9,FALSE) + IF(I68="Sí",VLOOKUP(D68,TARIFAS!A:K,11,FALSE),0),
         VLOOKUP(D68,TARIFAS!A:K,10,FALSE) + IF(I68="Sí",VLOOKUP(D68,TARIFAS!A:K,11,FALSE),0)
      )
   )
)
</f>
        <v>0</v>
      </c>
      <c r="U68" s="45">
        <f>IF(R68="",0,MAX(0,R68 - TARIFAS!G$2) * TARIFAS!F$2)
</f>
        <v>0</v>
      </c>
      <c r="V68" s="45">
        <f>+T68*TARIFAS!$K$2</f>
        <v>0</v>
      </c>
      <c r="W68" s="45">
        <f t="shared" si="2"/>
        <v>0</v>
      </c>
      <c r="X68" s="45">
        <f t="shared" si="3"/>
        <v>0</v>
      </c>
      <c r="Y68" s="45">
        <f t="shared" si="4"/>
        <v>0</v>
      </c>
      <c r="Z68" s="42" t="str">
        <f>CONFERENCIAS!AB68</f>
        <v/>
      </c>
      <c r="AA68" s="42" t="str">
        <f>CONFERENCIAS!AC68</f>
        <v/>
      </c>
      <c r="AB68" s="47" t="str">
        <f t="shared" si="5"/>
        <v/>
      </c>
      <c r="AC68" s="9" t="str">
        <f t="shared" si="6"/>
        <v/>
      </c>
    </row>
    <row r="69">
      <c r="A69" s="42" t="str">
        <f>CONFERENCIAS!A69</f>
        <v/>
      </c>
      <c r="D69" s="42" t="str">
        <f>CONFERENCIAS!C69</f>
        <v/>
      </c>
      <c r="E69" s="42" t="str">
        <f>CONFERENCIAS!K69</f>
        <v/>
      </c>
      <c r="F69" s="49" t="str">
        <f>CONFERENCIAS!J69</f>
        <v/>
      </c>
      <c r="G69" s="42" t="str">
        <f>CONFERENCIAS!O69</f>
        <v/>
      </c>
      <c r="H69" s="42" t="str">
        <f>CONFERENCIAS!X69</f>
        <v/>
      </c>
      <c r="I69" s="42" t="str">
        <f>CONFERENCIAS!AA69</f>
        <v/>
      </c>
      <c r="J69" s="44" t="str">
        <f>CONFERENCIAS!P69</f>
        <v/>
      </c>
      <c r="K69" s="45" t="str">
        <f>CONFERENCIAS!R69</f>
        <v/>
      </c>
      <c r="L69" s="45">
        <f>IF(D69="",0,
 IF(E69=1,
   IF(H69="Presencial",
      VLOOKUP(D69,TARIFAS!A:K,3,FALSE) + IF(I69="Sí",VLOOKUP(D69,TARIFAS!A:K,5,FALSE),0),
      VLOOKUP(D69,TARIFAS!A:K,4,FALSE) + IF(I69="Sí",VLOOKUP(D69,TARIFAS!A:K,5,FALSE),0)
   ),
   IF(H69="Presencial",
      VLOOKUP(D69,TARIFAS!A:K,9,FALSE) + IF(I69="Sí",VLOOKUP(D69,TARIFAS!A:K,11,FALSE),0),
      VLOOKUP(D69,TARIFAS!A:K,10,FALSE) + IF(I69="Sí",VLOOKUP(D69,TARIFAS!A:K,11,FALSE),0)
   )
 )
)
</f>
        <v>0</v>
      </c>
      <c r="M69" s="45">
        <f>IF(J69="",0,MAX(0,J69 - TARIFAS!G$2) * TARIFAS!F$2)
</f>
        <v>0</v>
      </c>
      <c r="N69" s="45">
        <f>+L69*TARIFAS!$K$2</f>
        <v>0</v>
      </c>
      <c r="O69" s="45">
        <f t="shared" si="1"/>
        <v>0</v>
      </c>
      <c r="P69" s="45">
        <f>+M69+O69+K69+(+I69-(I69*TARIFAS!$K$2))</f>
        <v>0</v>
      </c>
      <c r="Q69" s="42" t="str">
        <f>CONFERENCIAS!T69</f>
        <v/>
      </c>
      <c r="R69" s="45" t="str">
        <f>CONFERENCIAS!U69</f>
        <v/>
      </c>
      <c r="S69" s="45" t="str">
        <f>CONFERENCIAS!W69</f>
        <v/>
      </c>
      <c r="T69" s="48">
        <f>IF(Q69="",0,
   IF(E69=1,
      IF(H69="Presencial",
         VLOOKUP(D69,TARIFAS!A:K,3,FALSE) + IF(I69="Sí",VLOOKUP(D69,TARIFAS!A:K,5,FALSE),0),
         VLOOKUP(D69,TARIFAS!A:K,4,FALSE) + IF(I69="Sí",VLOOKUP(D69,TARIFAS!A:K,5,FALSE),0)
      ),
      IF(H69="Presencial",
         VLOOKUP(D69,TARIFAS!A:K,9,FALSE) + IF(I69="Sí",VLOOKUP(D69,TARIFAS!A:K,11,FALSE),0),
         VLOOKUP(D69,TARIFAS!A:K,10,FALSE) + IF(I69="Sí",VLOOKUP(D69,TARIFAS!A:K,11,FALSE),0)
      )
   )
)
</f>
        <v>0</v>
      </c>
      <c r="U69" s="45">
        <f>IF(R69="",0,MAX(0,R69 - TARIFAS!G$2) * TARIFAS!F$2)
</f>
        <v>0</v>
      </c>
      <c r="V69" s="45">
        <f>+T69*TARIFAS!$K$2</f>
        <v>0</v>
      </c>
      <c r="W69" s="45">
        <f t="shared" si="2"/>
        <v>0</v>
      </c>
      <c r="X69" s="45">
        <f t="shared" si="3"/>
        <v>0</v>
      </c>
      <c r="Y69" s="45">
        <f t="shared" si="4"/>
        <v>0</v>
      </c>
      <c r="Z69" s="42" t="str">
        <f>CONFERENCIAS!AB69</f>
        <v/>
      </c>
      <c r="AA69" s="42" t="str">
        <f>CONFERENCIAS!AC69</f>
        <v/>
      </c>
      <c r="AB69" s="47" t="str">
        <f t="shared" si="5"/>
        <v/>
      </c>
      <c r="AC69" s="9" t="str">
        <f t="shared" si="6"/>
        <v/>
      </c>
    </row>
    <row r="70">
      <c r="A70" s="42" t="str">
        <f>CONFERENCIAS!A70</f>
        <v/>
      </c>
      <c r="D70" s="42" t="str">
        <f>CONFERENCIAS!C70</f>
        <v/>
      </c>
      <c r="E70" s="42" t="str">
        <f>CONFERENCIAS!K70</f>
        <v/>
      </c>
      <c r="F70" s="49" t="str">
        <f>CONFERENCIAS!J70</f>
        <v/>
      </c>
      <c r="G70" s="42" t="str">
        <f>CONFERENCIAS!O70</f>
        <v/>
      </c>
      <c r="H70" s="42" t="str">
        <f>CONFERENCIAS!X70</f>
        <v/>
      </c>
      <c r="I70" s="42" t="str">
        <f>CONFERENCIAS!AA70</f>
        <v/>
      </c>
      <c r="J70" s="44" t="str">
        <f>CONFERENCIAS!P70</f>
        <v/>
      </c>
      <c r="K70" s="45" t="str">
        <f>CONFERENCIAS!R70</f>
        <v/>
      </c>
      <c r="L70" s="45">
        <f>IF(D70="",0,
 IF(E70=1,
   IF(H70="Presencial",
      VLOOKUP(D70,TARIFAS!A:K,3,FALSE) + IF(I70="Sí",VLOOKUP(D70,TARIFAS!A:K,5,FALSE),0),
      VLOOKUP(D70,TARIFAS!A:K,4,FALSE) + IF(I70="Sí",VLOOKUP(D70,TARIFAS!A:K,5,FALSE),0)
   ),
   IF(H70="Presencial",
      VLOOKUP(D70,TARIFAS!A:K,9,FALSE) + IF(I70="Sí",VLOOKUP(D70,TARIFAS!A:K,11,FALSE),0),
      VLOOKUP(D70,TARIFAS!A:K,10,FALSE) + IF(I70="Sí",VLOOKUP(D70,TARIFAS!A:K,11,FALSE),0)
   )
 )
)
</f>
        <v>0</v>
      </c>
      <c r="M70" s="45">
        <f>IF(J70="",0,MAX(0,J70 - TARIFAS!G$2) * TARIFAS!F$2)
</f>
        <v>0</v>
      </c>
      <c r="N70" s="45">
        <f>+L70*TARIFAS!$K$2</f>
        <v>0</v>
      </c>
      <c r="O70" s="45">
        <f t="shared" si="1"/>
        <v>0</v>
      </c>
      <c r="P70" s="45">
        <f>+M70+O70+K70+(+I70-(I70*TARIFAS!$K$2))</f>
        <v>0</v>
      </c>
      <c r="Q70" s="42" t="str">
        <f>CONFERENCIAS!T70</f>
        <v/>
      </c>
      <c r="R70" s="45" t="str">
        <f>CONFERENCIAS!U70</f>
        <v/>
      </c>
      <c r="S70" s="45" t="str">
        <f>CONFERENCIAS!W70</f>
        <v/>
      </c>
      <c r="T70" s="48">
        <f>IF(Q70="",0,
   IF(E70=1,
      IF(H70="Presencial",
         VLOOKUP(D70,TARIFAS!A:K,3,FALSE) + IF(I70="Sí",VLOOKUP(D70,TARIFAS!A:K,5,FALSE),0),
         VLOOKUP(D70,TARIFAS!A:K,4,FALSE) + IF(I70="Sí",VLOOKUP(D70,TARIFAS!A:K,5,FALSE),0)
      ),
      IF(H70="Presencial",
         VLOOKUP(D70,TARIFAS!A:K,9,FALSE) + IF(I70="Sí",VLOOKUP(D70,TARIFAS!A:K,11,FALSE),0),
         VLOOKUP(D70,TARIFAS!A:K,10,FALSE) + IF(I70="Sí",VLOOKUP(D70,TARIFAS!A:K,11,FALSE),0)
      )
   )
)
</f>
        <v>0</v>
      </c>
      <c r="U70" s="45">
        <f>IF(R70="",0,MAX(0,R70 - TARIFAS!G$2) * TARIFAS!F$2)
</f>
        <v>0</v>
      </c>
      <c r="V70" s="45">
        <f>+T70*TARIFAS!$K$2</f>
        <v>0</v>
      </c>
      <c r="W70" s="45">
        <f t="shared" si="2"/>
        <v>0</v>
      </c>
      <c r="X70" s="45">
        <f t="shared" si="3"/>
        <v>0</v>
      </c>
      <c r="Y70" s="45">
        <f t="shared" si="4"/>
        <v>0</v>
      </c>
      <c r="Z70" s="42" t="str">
        <f>CONFERENCIAS!AB70</f>
        <v/>
      </c>
      <c r="AA70" s="42" t="str">
        <f>CONFERENCIAS!AC70</f>
        <v/>
      </c>
      <c r="AB70" s="47" t="str">
        <f t="shared" si="5"/>
        <v/>
      </c>
      <c r="AC70" s="9" t="str">
        <f t="shared" si="6"/>
        <v/>
      </c>
    </row>
    <row r="71">
      <c r="A71" s="42" t="str">
        <f>CONFERENCIAS!A71</f>
        <v/>
      </c>
      <c r="D71" s="42" t="str">
        <f>CONFERENCIAS!C71</f>
        <v/>
      </c>
      <c r="E71" s="42" t="str">
        <f>CONFERENCIAS!K71</f>
        <v/>
      </c>
      <c r="F71" s="49" t="str">
        <f>CONFERENCIAS!J71</f>
        <v/>
      </c>
      <c r="G71" s="42" t="str">
        <f>CONFERENCIAS!O71</f>
        <v/>
      </c>
      <c r="H71" s="42" t="str">
        <f>CONFERENCIAS!X71</f>
        <v/>
      </c>
      <c r="I71" s="42" t="str">
        <f>CONFERENCIAS!AA71</f>
        <v/>
      </c>
      <c r="J71" s="44" t="str">
        <f>CONFERENCIAS!P71</f>
        <v/>
      </c>
      <c r="K71" s="45" t="str">
        <f>CONFERENCIAS!R71</f>
        <v/>
      </c>
      <c r="L71" s="45">
        <f>IF(D71="",0,
 IF(E71=1,
   IF(H71="Presencial",
      VLOOKUP(D71,TARIFAS!A:K,3,FALSE) + IF(I71="Sí",VLOOKUP(D71,TARIFAS!A:K,5,FALSE),0),
      VLOOKUP(D71,TARIFAS!A:K,4,FALSE) + IF(I71="Sí",VLOOKUP(D71,TARIFAS!A:K,5,FALSE),0)
   ),
   IF(H71="Presencial",
      VLOOKUP(D71,TARIFAS!A:K,9,FALSE) + IF(I71="Sí",VLOOKUP(D71,TARIFAS!A:K,11,FALSE),0),
      VLOOKUP(D71,TARIFAS!A:K,10,FALSE) + IF(I71="Sí",VLOOKUP(D71,TARIFAS!A:K,11,FALSE),0)
   )
 )
)
</f>
        <v>0</v>
      </c>
      <c r="M71" s="45">
        <f>IF(J71="",0,MAX(0,J71 - TARIFAS!G$2) * TARIFAS!F$2)
</f>
        <v>0</v>
      </c>
      <c r="N71" s="45">
        <f>+L71*TARIFAS!$K$2</f>
        <v>0</v>
      </c>
      <c r="O71" s="45">
        <f t="shared" si="1"/>
        <v>0</v>
      </c>
      <c r="P71" s="45">
        <f>+M71+O71+K71+(+I71-(I71*TARIFAS!$K$2))</f>
        <v>0</v>
      </c>
      <c r="Q71" s="42" t="str">
        <f>CONFERENCIAS!T71</f>
        <v/>
      </c>
      <c r="R71" s="45" t="str">
        <f>CONFERENCIAS!U71</f>
        <v/>
      </c>
      <c r="S71" s="45" t="str">
        <f>CONFERENCIAS!W71</f>
        <v/>
      </c>
      <c r="T71" s="48">
        <f>IF(Q71="",0,
   IF(E71=1,
      IF(H71="Presencial",
         VLOOKUP(D71,TARIFAS!A:K,3,FALSE) + IF(I71="Sí",VLOOKUP(D71,TARIFAS!A:K,5,FALSE),0),
         VLOOKUP(D71,TARIFAS!A:K,4,FALSE) + IF(I71="Sí",VLOOKUP(D71,TARIFAS!A:K,5,FALSE),0)
      ),
      IF(H71="Presencial",
         VLOOKUP(D71,TARIFAS!A:K,9,FALSE) + IF(I71="Sí",VLOOKUP(D71,TARIFAS!A:K,11,FALSE),0),
         VLOOKUP(D71,TARIFAS!A:K,10,FALSE) + IF(I71="Sí",VLOOKUP(D71,TARIFAS!A:K,11,FALSE),0)
      )
   )
)
</f>
        <v>0</v>
      </c>
      <c r="U71" s="45">
        <f>IF(R71="",0,MAX(0,R71 - TARIFAS!G$2) * TARIFAS!F$2)
</f>
        <v>0</v>
      </c>
      <c r="V71" s="45">
        <f>+T71*TARIFAS!$K$2</f>
        <v>0</v>
      </c>
      <c r="W71" s="45">
        <f t="shared" si="2"/>
        <v>0</v>
      </c>
      <c r="X71" s="45">
        <f t="shared" si="3"/>
        <v>0</v>
      </c>
      <c r="Y71" s="45">
        <f t="shared" si="4"/>
        <v>0</v>
      </c>
      <c r="Z71" s="42" t="str">
        <f>CONFERENCIAS!AB71</f>
        <v/>
      </c>
      <c r="AA71" s="42" t="str">
        <f>CONFERENCIAS!AC71</f>
        <v/>
      </c>
      <c r="AB71" s="47" t="str">
        <f t="shared" si="5"/>
        <v/>
      </c>
      <c r="AC71" s="9" t="str">
        <f t="shared" si="6"/>
        <v/>
      </c>
    </row>
    <row r="72">
      <c r="A72" s="42" t="str">
        <f>CONFERENCIAS!A72</f>
        <v/>
      </c>
      <c r="D72" s="42" t="str">
        <f>CONFERENCIAS!C72</f>
        <v/>
      </c>
      <c r="E72" s="42" t="str">
        <f>CONFERENCIAS!K72</f>
        <v/>
      </c>
      <c r="F72" s="49" t="str">
        <f>CONFERENCIAS!J72</f>
        <v/>
      </c>
      <c r="G72" s="42" t="str">
        <f>CONFERENCIAS!O72</f>
        <v/>
      </c>
      <c r="H72" s="42" t="str">
        <f>CONFERENCIAS!X72</f>
        <v/>
      </c>
      <c r="I72" s="42" t="str">
        <f>CONFERENCIAS!AA72</f>
        <v/>
      </c>
      <c r="J72" s="44" t="str">
        <f>CONFERENCIAS!P72</f>
        <v/>
      </c>
      <c r="K72" s="45" t="str">
        <f>CONFERENCIAS!R72</f>
        <v/>
      </c>
      <c r="L72" s="45">
        <f>IF(D72="",0,
 IF(E72=1,
   IF(H72="Presencial",
      VLOOKUP(D72,TARIFAS!A:K,3,FALSE) + IF(I72="Sí",VLOOKUP(D72,TARIFAS!A:K,5,FALSE),0),
      VLOOKUP(D72,TARIFAS!A:K,4,FALSE) + IF(I72="Sí",VLOOKUP(D72,TARIFAS!A:K,5,FALSE),0)
   ),
   IF(H72="Presencial",
      VLOOKUP(D72,TARIFAS!A:K,9,FALSE) + IF(I72="Sí",VLOOKUP(D72,TARIFAS!A:K,11,FALSE),0),
      VLOOKUP(D72,TARIFAS!A:K,10,FALSE) + IF(I72="Sí",VLOOKUP(D72,TARIFAS!A:K,11,FALSE),0)
   )
 )
)
</f>
        <v>0</v>
      </c>
      <c r="M72" s="45">
        <f>IF(J72="",0,MAX(0,J72 - TARIFAS!G$2) * TARIFAS!F$2)
</f>
        <v>0</v>
      </c>
      <c r="N72" s="45">
        <f>+L72*TARIFAS!$K$2</f>
        <v>0</v>
      </c>
      <c r="O72" s="45">
        <f t="shared" si="1"/>
        <v>0</v>
      </c>
      <c r="P72" s="45">
        <f>+M72+O72+K72+(+I72-(I72*TARIFAS!$K$2))</f>
        <v>0</v>
      </c>
      <c r="Q72" s="42" t="str">
        <f>CONFERENCIAS!T72</f>
        <v/>
      </c>
      <c r="R72" s="45" t="str">
        <f>CONFERENCIAS!U72</f>
        <v/>
      </c>
      <c r="S72" s="45" t="str">
        <f>CONFERENCIAS!W72</f>
        <v/>
      </c>
      <c r="T72" s="48">
        <f>IF(Q72="",0,
   IF(E72=1,
      IF(H72="Presencial",
         VLOOKUP(D72,TARIFAS!A:K,3,FALSE) + IF(I72="Sí",VLOOKUP(D72,TARIFAS!A:K,5,FALSE),0),
         VLOOKUP(D72,TARIFAS!A:K,4,FALSE) + IF(I72="Sí",VLOOKUP(D72,TARIFAS!A:K,5,FALSE),0)
      ),
      IF(H72="Presencial",
         VLOOKUP(D72,TARIFAS!A:K,9,FALSE) + IF(I72="Sí",VLOOKUP(D72,TARIFAS!A:K,11,FALSE),0),
         VLOOKUP(D72,TARIFAS!A:K,10,FALSE) + IF(I72="Sí",VLOOKUP(D72,TARIFAS!A:K,11,FALSE),0)
      )
   )
)
</f>
        <v>0</v>
      </c>
      <c r="U72" s="45">
        <f>IF(R72="",0,MAX(0,R72 - TARIFAS!G$2) * TARIFAS!F$2)
</f>
        <v>0</v>
      </c>
      <c r="V72" s="45">
        <f>+T72*TARIFAS!$K$2</f>
        <v>0</v>
      </c>
      <c r="W72" s="45">
        <f t="shared" si="2"/>
        <v>0</v>
      </c>
      <c r="X72" s="45">
        <f t="shared" si="3"/>
        <v>0</v>
      </c>
      <c r="Y72" s="45">
        <f t="shared" si="4"/>
        <v>0</v>
      </c>
      <c r="Z72" s="42" t="str">
        <f>CONFERENCIAS!AB72</f>
        <v/>
      </c>
      <c r="AA72" s="42" t="str">
        <f>CONFERENCIAS!AC72</f>
        <v/>
      </c>
      <c r="AB72" s="47" t="str">
        <f t="shared" si="5"/>
        <v/>
      </c>
      <c r="AC72" s="9" t="str">
        <f t="shared" si="6"/>
        <v/>
      </c>
    </row>
    <row r="73">
      <c r="A73" s="42" t="str">
        <f>CONFERENCIAS!A73</f>
        <v/>
      </c>
      <c r="D73" s="42" t="str">
        <f>CONFERENCIAS!C73</f>
        <v/>
      </c>
      <c r="E73" s="42" t="str">
        <f>CONFERENCIAS!K73</f>
        <v/>
      </c>
      <c r="F73" s="49" t="str">
        <f>CONFERENCIAS!J73</f>
        <v/>
      </c>
      <c r="G73" s="42" t="str">
        <f>CONFERENCIAS!O73</f>
        <v/>
      </c>
      <c r="H73" s="42" t="str">
        <f>CONFERENCIAS!X73</f>
        <v/>
      </c>
      <c r="I73" s="42" t="str">
        <f>CONFERENCIAS!AA73</f>
        <v/>
      </c>
      <c r="J73" s="44" t="str">
        <f>CONFERENCIAS!P73</f>
        <v/>
      </c>
      <c r="K73" s="45" t="str">
        <f>CONFERENCIAS!R73</f>
        <v/>
      </c>
      <c r="L73" s="45">
        <f>IF(D73="",0,
 IF(E73=1,
   IF(H73="Presencial",
      VLOOKUP(D73,TARIFAS!A:K,3,FALSE) + IF(I73="Sí",VLOOKUP(D73,TARIFAS!A:K,5,FALSE),0),
      VLOOKUP(D73,TARIFAS!A:K,4,FALSE) + IF(I73="Sí",VLOOKUP(D73,TARIFAS!A:K,5,FALSE),0)
   ),
   IF(H73="Presencial",
      VLOOKUP(D73,TARIFAS!A:K,9,FALSE) + IF(I73="Sí",VLOOKUP(D73,TARIFAS!A:K,11,FALSE),0),
      VLOOKUP(D73,TARIFAS!A:K,10,FALSE) + IF(I73="Sí",VLOOKUP(D73,TARIFAS!A:K,11,FALSE),0)
   )
 )
)
</f>
        <v>0</v>
      </c>
      <c r="M73" s="45">
        <f>IF(J73="",0,MAX(0,J73 - TARIFAS!G$2) * TARIFAS!F$2)
</f>
        <v>0</v>
      </c>
      <c r="N73" s="45">
        <f>+L73*TARIFAS!$K$2</f>
        <v>0</v>
      </c>
      <c r="O73" s="45">
        <f t="shared" si="1"/>
        <v>0</v>
      </c>
      <c r="P73" s="45">
        <f>+M73+O73+K73+(+I73-(I73*TARIFAS!$K$2))</f>
        <v>0</v>
      </c>
      <c r="Q73" s="42" t="str">
        <f>CONFERENCIAS!T73</f>
        <v/>
      </c>
      <c r="R73" s="45" t="str">
        <f>CONFERENCIAS!U73</f>
        <v/>
      </c>
      <c r="S73" s="45" t="str">
        <f>CONFERENCIAS!W73</f>
        <v/>
      </c>
      <c r="T73" s="48">
        <f>IF(Q73="",0,
   IF(E73=1,
      IF(H73="Presencial",
         VLOOKUP(D73,TARIFAS!A:K,3,FALSE) + IF(I73="Sí",VLOOKUP(D73,TARIFAS!A:K,5,FALSE),0),
         VLOOKUP(D73,TARIFAS!A:K,4,FALSE) + IF(I73="Sí",VLOOKUP(D73,TARIFAS!A:K,5,FALSE),0)
      ),
      IF(H73="Presencial",
         VLOOKUP(D73,TARIFAS!A:K,9,FALSE) + IF(I73="Sí",VLOOKUP(D73,TARIFAS!A:K,11,FALSE),0),
         VLOOKUP(D73,TARIFAS!A:K,10,FALSE) + IF(I73="Sí",VLOOKUP(D73,TARIFAS!A:K,11,FALSE),0)
      )
   )
)
</f>
        <v>0</v>
      </c>
      <c r="U73" s="45">
        <f>IF(R73="",0,MAX(0,R73 - TARIFAS!G$2) * TARIFAS!F$2)
</f>
        <v>0</v>
      </c>
      <c r="V73" s="45">
        <f>+T73*TARIFAS!$K$2</f>
        <v>0</v>
      </c>
      <c r="W73" s="45">
        <f t="shared" si="2"/>
        <v>0</v>
      </c>
      <c r="X73" s="45">
        <f t="shared" si="3"/>
        <v>0</v>
      </c>
      <c r="Y73" s="45">
        <f t="shared" si="4"/>
        <v>0</v>
      </c>
      <c r="Z73" s="42" t="str">
        <f>CONFERENCIAS!AB73</f>
        <v/>
      </c>
      <c r="AA73" s="42" t="str">
        <f>CONFERENCIAS!AC73</f>
        <v/>
      </c>
      <c r="AB73" s="47" t="str">
        <f t="shared" si="5"/>
        <v/>
      </c>
      <c r="AC73" s="9" t="str">
        <f t="shared" si="6"/>
        <v/>
      </c>
    </row>
    <row r="74">
      <c r="A74" s="42" t="str">
        <f>CONFERENCIAS!A74</f>
        <v/>
      </c>
      <c r="D74" s="42" t="str">
        <f>CONFERENCIAS!C74</f>
        <v/>
      </c>
      <c r="E74" s="42" t="str">
        <f>CONFERENCIAS!K74</f>
        <v/>
      </c>
      <c r="F74" s="49" t="str">
        <f>CONFERENCIAS!J74</f>
        <v/>
      </c>
      <c r="G74" s="42" t="str">
        <f>CONFERENCIAS!O74</f>
        <v/>
      </c>
      <c r="H74" s="42" t="str">
        <f>CONFERENCIAS!X74</f>
        <v/>
      </c>
      <c r="I74" s="42" t="str">
        <f>CONFERENCIAS!AA74</f>
        <v/>
      </c>
      <c r="J74" s="44" t="str">
        <f>CONFERENCIAS!P74</f>
        <v/>
      </c>
      <c r="K74" s="45" t="str">
        <f>CONFERENCIAS!R74</f>
        <v/>
      </c>
      <c r="L74" s="45">
        <f>IF(D74="",0,
 IF(E74=1,
   IF(H74="Presencial",
      VLOOKUP(D74,TARIFAS!A:K,3,FALSE) + IF(I74="Sí",VLOOKUP(D74,TARIFAS!A:K,5,FALSE),0),
      VLOOKUP(D74,TARIFAS!A:K,4,FALSE) + IF(I74="Sí",VLOOKUP(D74,TARIFAS!A:K,5,FALSE),0)
   ),
   IF(H74="Presencial",
      VLOOKUP(D74,TARIFAS!A:K,9,FALSE) + IF(I74="Sí",VLOOKUP(D74,TARIFAS!A:K,11,FALSE),0),
      VLOOKUP(D74,TARIFAS!A:K,10,FALSE) + IF(I74="Sí",VLOOKUP(D74,TARIFAS!A:K,11,FALSE),0)
   )
 )
)
</f>
        <v>0</v>
      </c>
      <c r="M74" s="45">
        <f>IF(J74="",0,MAX(0,J74 - TARIFAS!G$2) * TARIFAS!F$2)
</f>
        <v>0</v>
      </c>
      <c r="N74" s="45">
        <f>+L74*TARIFAS!$K$2</f>
        <v>0</v>
      </c>
      <c r="O74" s="45">
        <f t="shared" si="1"/>
        <v>0</v>
      </c>
      <c r="P74" s="45">
        <f>+M74+O74+K74+(+I74-(I74*TARIFAS!$K$2))</f>
        <v>0</v>
      </c>
      <c r="Q74" s="42" t="str">
        <f>CONFERENCIAS!T74</f>
        <v/>
      </c>
      <c r="R74" s="45" t="str">
        <f>CONFERENCIAS!U74</f>
        <v/>
      </c>
      <c r="S74" s="45" t="str">
        <f>CONFERENCIAS!W74</f>
        <v/>
      </c>
      <c r="T74" s="48">
        <f>IF(Q74="",0,
   IF(E74=1,
      IF(H74="Presencial",
         VLOOKUP(D74,TARIFAS!A:K,3,FALSE) + IF(I74="Sí",VLOOKUP(D74,TARIFAS!A:K,5,FALSE),0),
         VLOOKUP(D74,TARIFAS!A:K,4,FALSE) + IF(I74="Sí",VLOOKUP(D74,TARIFAS!A:K,5,FALSE),0)
      ),
      IF(H74="Presencial",
         VLOOKUP(D74,TARIFAS!A:K,9,FALSE) + IF(I74="Sí",VLOOKUP(D74,TARIFAS!A:K,11,FALSE),0),
         VLOOKUP(D74,TARIFAS!A:K,10,FALSE) + IF(I74="Sí",VLOOKUP(D74,TARIFAS!A:K,11,FALSE),0)
      )
   )
)
</f>
        <v>0</v>
      </c>
      <c r="U74" s="45">
        <f>IF(R74="",0,MAX(0,R74 - TARIFAS!G$2) * TARIFAS!F$2)
</f>
        <v>0</v>
      </c>
      <c r="V74" s="45">
        <f>+T74*TARIFAS!$K$2</f>
        <v>0</v>
      </c>
      <c r="W74" s="45">
        <f t="shared" si="2"/>
        <v>0</v>
      </c>
      <c r="X74" s="45">
        <f t="shared" si="3"/>
        <v>0</v>
      </c>
      <c r="Y74" s="45">
        <f t="shared" si="4"/>
        <v>0</v>
      </c>
      <c r="Z74" s="42" t="str">
        <f>CONFERENCIAS!AB74</f>
        <v/>
      </c>
      <c r="AA74" s="42" t="str">
        <f>CONFERENCIAS!AC74</f>
        <v/>
      </c>
      <c r="AB74" s="47" t="str">
        <f t="shared" si="5"/>
        <v/>
      </c>
      <c r="AC74" s="9" t="str">
        <f t="shared" si="6"/>
        <v/>
      </c>
    </row>
    <row r="75">
      <c r="A75" s="42" t="str">
        <f>CONFERENCIAS!A75</f>
        <v/>
      </c>
      <c r="D75" s="42" t="str">
        <f>CONFERENCIAS!C75</f>
        <v/>
      </c>
      <c r="E75" s="42" t="str">
        <f>CONFERENCIAS!K75</f>
        <v/>
      </c>
      <c r="F75" s="49" t="str">
        <f>CONFERENCIAS!J75</f>
        <v/>
      </c>
      <c r="G75" s="42" t="str">
        <f>CONFERENCIAS!O75</f>
        <v/>
      </c>
      <c r="H75" s="42" t="str">
        <f>CONFERENCIAS!X75</f>
        <v/>
      </c>
      <c r="I75" s="42" t="str">
        <f>CONFERENCIAS!AA75</f>
        <v/>
      </c>
      <c r="J75" s="44" t="str">
        <f>CONFERENCIAS!P75</f>
        <v/>
      </c>
      <c r="K75" s="45" t="str">
        <f>CONFERENCIAS!R75</f>
        <v/>
      </c>
      <c r="L75" s="45">
        <f>IF(D75="",0,
 IF(E75=1,
   IF(H75="Presencial",
      VLOOKUP(D75,TARIFAS!A:K,3,FALSE) + IF(I75="Sí",VLOOKUP(D75,TARIFAS!A:K,5,FALSE),0),
      VLOOKUP(D75,TARIFAS!A:K,4,FALSE) + IF(I75="Sí",VLOOKUP(D75,TARIFAS!A:K,5,FALSE),0)
   ),
   IF(H75="Presencial",
      VLOOKUP(D75,TARIFAS!A:K,9,FALSE) + IF(I75="Sí",VLOOKUP(D75,TARIFAS!A:K,11,FALSE),0),
      VLOOKUP(D75,TARIFAS!A:K,10,FALSE) + IF(I75="Sí",VLOOKUP(D75,TARIFAS!A:K,11,FALSE),0)
   )
 )
)
</f>
        <v>0</v>
      </c>
      <c r="M75" s="45">
        <f>IF(J75="",0,MAX(0,J75 - TARIFAS!G$2) * TARIFAS!F$2)
</f>
        <v>0</v>
      </c>
      <c r="N75" s="45">
        <f>+L75*TARIFAS!$K$2</f>
        <v>0</v>
      </c>
      <c r="O75" s="45">
        <f t="shared" si="1"/>
        <v>0</v>
      </c>
      <c r="P75" s="45">
        <f>+M75+O75+K75+(+I75-(I75*TARIFAS!$K$2))</f>
        <v>0</v>
      </c>
      <c r="Q75" s="42" t="str">
        <f>CONFERENCIAS!T75</f>
        <v/>
      </c>
      <c r="R75" s="45" t="str">
        <f>CONFERENCIAS!U75</f>
        <v/>
      </c>
      <c r="S75" s="45" t="str">
        <f>CONFERENCIAS!W75</f>
        <v/>
      </c>
      <c r="T75" s="48">
        <f>IF(Q75="",0,
   IF(E75=1,
      IF(H75="Presencial",
         VLOOKUP(D75,TARIFAS!A:K,3,FALSE) + IF(I75="Sí",VLOOKUP(D75,TARIFAS!A:K,5,FALSE),0),
         VLOOKUP(D75,TARIFAS!A:K,4,FALSE) + IF(I75="Sí",VLOOKUP(D75,TARIFAS!A:K,5,FALSE),0)
      ),
      IF(H75="Presencial",
         VLOOKUP(D75,TARIFAS!A:K,9,FALSE) + IF(I75="Sí",VLOOKUP(D75,TARIFAS!A:K,11,FALSE),0),
         VLOOKUP(D75,TARIFAS!A:K,10,FALSE) + IF(I75="Sí",VLOOKUP(D75,TARIFAS!A:K,11,FALSE),0)
      )
   )
)
</f>
        <v>0</v>
      </c>
      <c r="U75" s="45">
        <f>IF(R75="",0,MAX(0,R75 - TARIFAS!G$2) * TARIFAS!F$2)
</f>
        <v>0</v>
      </c>
      <c r="V75" s="45">
        <f>+T75*TARIFAS!$K$2</f>
        <v>0</v>
      </c>
      <c r="W75" s="45">
        <f t="shared" si="2"/>
        <v>0</v>
      </c>
      <c r="X75" s="45">
        <f t="shared" si="3"/>
        <v>0</v>
      </c>
      <c r="Y75" s="45">
        <f t="shared" si="4"/>
        <v>0</v>
      </c>
      <c r="Z75" s="42" t="str">
        <f>CONFERENCIAS!AB75</f>
        <v/>
      </c>
      <c r="AA75" s="42" t="str">
        <f>CONFERENCIAS!AC75</f>
        <v/>
      </c>
      <c r="AB75" s="47" t="str">
        <f t="shared" si="5"/>
        <v/>
      </c>
      <c r="AC75" s="9" t="str">
        <f t="shared" si="6"/>
        <v/>
      </c>
    </row>
    <row r="76">
      <c r="A76" s="42" t="str">
        <f>CONFERENCIAS!A76</f>
        <v/>
      </c>
      <c r="D76" s="42" t="str">
        <f>CONFERENCIAS!C76</f>
        <v/>
      </c>
      <c r="E76" s="42" t="str">
        <f>CONFERENCIAS!K76</f>
        <v/>
      </c>
      <c r="F76" s="49" t="str">
        <f>CONFERENCIAS!J76</f>
        <v/>
      </c>
      <c r="G76" s="42" t="str">
        <f>CONFERENCIAS!O76</f>
        <v/>
      </c>
      <c r="H76" s="42" t="str">
        <f>CONFERENCIAS!X76</f>
        <v/>
      </c>
      <c r="I76" s="42" t="str">
        <f>CONFERENCIAS!AA76</f>
        <v/>
      </c>
      <c r="J76" s="44" t="str">
        <f>CONFERENCIAS!P76</f>
        <v/>
      </c>
      <c r="K76" s="45" t="str">
        <f>CONFERENCIAS!R76</f>
        <v/>
      </c>
      <c r="L76" s="45">
        <f>IF(D76="",0,
 IF(E76=1,
   IF(H76="Presencial",
      VLOOKUP(D76,TARIFAS!A:K,3,FALSE) + IF(I76="Sí",VLOOKUP(D76,TARIFAS!A:K,5,FALSE),0),
      VLOOKUP(D76,TARIFAS!A:K,4,FALSE) + IF(I76="Sí",VLOOKUP(D76,TARIFAS!A:K,5,FALSE),0)
   ),
   IF(H76="Presencial",
      VLOOKUP(D76,TARIFAS!A:K,9,FALSE) + IF(I76="Sí",VLOOKUP(D76,TARIFAS!A:K,11,FALSE),0),
      VLOOKUP(D76,TARIFAS!A:K,10,FALSE) + IF(I76="Sí",VLOOKUP(D76,TARIFAS!A:K,11,FALSE),0)
   )
 )
)
</f>
        <v>0</v>
      </c>
      <c r="M76" s="45">
        <f>IF(J76="",0,MAX(0,J76 - TARIFAS!G$2) * TARIFAS!F$2)
</f>
        <v>0</v>
      </c>
      <c r="N76" s="45">
        <f>+L76*TARIFAS!$K$2</f>
        <v>0</v>
      </c>
      <c r="O76" s="45">
        <f t="shared" si="1"/>
        <v>0</v>
      </c>
      <c r="P76" s="45">
        <f>+M76+O76+K76+(+I76-(I76*TARIFAS!$K$2))</f>
        <v>0</v>
      </c>
      <c r="Q76" s="42" t="str">
        <f>CONFERENCIAS!T76</f>
        <v/>
      </c>
      <c r="R76" s="45" t="str">
        <f>CONFERENCIAS!U76</f>
        <v/>
      </c>
      <c r="S76" s="45" t="str">
        <f>CONFERENCIAS!W76</f>
        <v/>
      </c>
      <c r="T76" s="48">
        <f>IF(Q76="",0,
   IF(E76=1,
      IF(H76="Presencial",
         VLOOKUP(D76,TARIFAS!A:K,3,FALSE) + IF(I76="Sí",VLOOKUP(D76,TARIFAS!A:K,5,FALSE),0),
         VLOOKUP(D76,TARIFAS!A:K,4,FALSE) + IF(I76="Sí",VLOOKUP(D76,TARIFAS!A:K,5,FALSE),0)
      ),
      IF(H76="Presencial",
         VLOOKUP(D76,TARIFAS!A:K,9,FALSE) + IF(I76="Sí",VLOOKUP(D76,TARIFAS!A:K,11,FALSE),0),
         VLOOKUP(D76,TARIFAS!A:K,10,FALSE) + IF(I76="Sí",VLOOKUP(D76,TARIFAS!A:K,11,FALSE),0)
      )
   )
)
</f>
        <v>0</v>
      </c>
      <c r="U76" s="45">
        <f>IF(R76="",0,MAX(0,R76 - TARIFAS!G$2) * TARIFAS!F$2)
</f>
        <v>0</v>
      </c>
      <c r="V76" s="45">
        <f>+T76*TARIFAS!$K$2</f>
        <v>0</v>
      </c>
      <c r="W76" s="45">
        <f t="shared" si="2"/>
        <v>0</v>
      </c>
      <c r="X76" s="45">
        <f t="shared" si="3"/>
        <v>0</v>
      </c>
      <c r="Y76" s="45">
        <f t="shared" si="4"/>
        <v>0</v>
      </c>
      <c r="Z76" s="42" t="str">
        <f>CONFERENCIAS!AB76</f>
        <v/>
      </c>
      <c r="AA76" s="42" t="str">
        <f>CONFERENCIAS!AC76</f>
        <v/>
      </c>
      <c r="AB76" s="47" t="str">
        <f t="shared" si="5"/>
        <v/>
      </c>
      <c r="AC76" s="9" t="str">
        <f t="shared" si="6"/>
        <v/>
      </c>
    </row>
    <row r="77">
      <c r="A77" s="42" t="str">
        <f>CONFERENCIAS!A77</f>
        <v/>
      </c>
      <c r="D77" s="42" t="str">
        <f>CONFERENCIAS!C77</f>
        <v/>
      </c>
      <c r="E77" s="42" t="str">
        <f>CONFERENCIAS!K77</f>
        <v/>
      </c>
      <c r="F77" s="49" t="str">
        <f>CONFERENCIAS!J77</f>
        <v/>
      </c>
      <c r="G77" s="42" t="str">
        <f>CONFERENCIAS!O77</f>
        <v/>
      </c>
      <c r="H77" s="42" t="str">
        <f>CONFERENCIAS!X77</f>
        <v/>
      </c>
      <c r="I77" s="42" t="str">
        <f>CONFERENCIAS!AA77</f>
        <v/>
      </c>
      <c r="J77" s="44" t="str">
        <f>CONFERENCIAS!P77</f>
        <v/>
      </c>
      <c r="K77" s="45" t="str">
        <f>CONFERENCIAS!R77</f>
        <v/>
      </c>
      <c r="L77" s="45">
        <f>IF(D77="",0,
 IF(E77=1,
   IF(H77="Presencial",
      VLOOKUP(D77,TARIFAS!A:K,3,FALSE) + IF(I77="Sí",VLOOKUP(D77,TARIFAS!A:K,5,FALSE),0),
      VLOOKUP(D77,TARIFAS!A:K,4,FALSE) + IF(I77="Sí",VLOOKUP(D77,TARIFAS!A:K,5,FALSE),0)
   ),
   IF(H77="Presencial",
      VLOOKUP(D77,TARIFAS!A:K,9,FALSE) + IF(I77="Sí",VLOOKUP(D77,TARIFAS!A:K,11,FALSE),0),
      VLOOKUP(D77,TARIFAS!A:K,10,FALSE) + IF(I77="Sí",VLOOKUP(D77,TARIFAS!A:K,11,FALSE),0)
   )
 )
)
</f>
        <v>0</v>
      </c>
      <c r="M77" s="45">
        <f>IF(J77="",0,MAX(0,J77 - TARIFAS!G$2) * TARIFAS!F$2)
</f>
        <v>0</v>
      </c>
      <c r="N77" s="45">
        <f>+L77*TARIFAS!$K$2</f>
        <v>0</v>
      </c>
      <c r="O77" s="45">
        <f t="shared" si="1"/>
        <v>0</v>
      </c>
      <c r="P77" s="45">
        <f>+M77+O77+K77+(+I77-(I77*TARIFAS!$K$2))</f>
        <v>0</v>
      </c>
      <c r="Q77" s="42" t="str">
        <f>CONFERENCIAS!T77</f>
        <v/>
      </c>
      <c r="R77" s="45" t="str">
        <f>CONFERENCIAS!U77</f>
        <v/>
      </c>
      <c r="S77" s="45" t="str">
        <f>CONFERENCIAS!W77</f>
        <v/>
      </c>
      <c r="T77" s="48">
        <f>IF(Q77="",0,
   IF(E77=1,
      IF(H77="Presencial",
         VLOOKUP(D77,TARIFAS!A:K,3,FALSE) + IF(I77="Sí",VLOOKUP(D77,TARIFAS!A:K,5,FALSE),0),
         VLOOKUP(D77,TARIFAS!A:K,4,FALSE) + IF(I77="Sí",VLOOKUP(D77,TARIFAS!A:K,5,FALSE),0)
      ),
      IF(H77="Presencial",
         VLOOKUP(D77,TARIFAS!A:K,9,FALSE) + IF(I77="Sí",VLOOKUP(D77,TARIFAS!A:K,11,FALSE),0),
         VLOOKUP(D77,TARIFAS!A:K,10,FALSE) + IF(I77="Sí",VLOOKUP(D77,TARIFAS!A:K,11,FALSE),0)
      )
   )
)
</f>
        <v>0</v>
      </c>
      <c r="U77" s="45">
        <f>IF(R77="",0,MAX(0,R77 - TARIFAS!G$2) * TARIFAS!F$2)
</f>
        <v>0</v>
      </c>
      <c r="V77" s="45">
        <f>+T77*TARIFAS!$K$2</f>
        <v>0</v>
      </c>
      <c r="W77" s="45">
        <f t="shared" si="2"/>
        <v>0</v>
      </c>
      <c r="X77" s="45">
        <f t="shared" si="3"/>
        <v>0</v>
      </c>
      <c r="Y77" s="45">
        <f t="shared" si="4"/>
        <v>0</v>
      </c>
      <c r="Z77" s="42" t="str">
        <f>CONFERENCIAS!AB77</f>
        <v/>
      </c>
      <c r="AA77" s="42" t="str">
        <f>CONFERENCIAS!AC77</f>
        <v/>
      </c>
      <c r="AB77" s="47" t="str">
        <f t="shared" si="5"/>
        <v/>
      </c>
      <c r="AC77" s="9" t="str">
        <f t="shared" si="6"/>
        <v/>
      </c>
    </row>
    <row r="78">
      <c r="A78" s="42" t="str">
        <f>CONFERENCIAS!A78</f>
        <v/>
      </c>
      <c r="D78" s="42" t="str">
        <f>CONFERENCIAS!C78</f>
        <v/>
      </c>
      <c r="E78" s="42" t="str">
        <f>CONFERENCIAS!K78</f>
        <v/>
      </c>
      <c r="F78" s="49" t="str">
        <f>CONFERENCIAS!J78</f>
        <v/>
      </c>
      <c r="G78" s="42" t="str">
        <f>CONFERENCIAS!O78</f>
        <v/>
      </c>
      <c r="H78" s="42" t="str">
        <f>CONFERENCIAS!X78</f>
        <v/>
      </c>
      <c r="I78" s="42" t="str">
        <f>CONFERENCIAS!AA78</f>
        <v/>
      </c>
      <c r="J78" s="44" t="str">
        <f>CONFERENCIAS!P78</f>
        <v/>
      </c>
      <c r="K78" s="45" t="str">
        <f>CONFERENCIAS!R78</f>
        <v/>
      </c>
      <c r="L78" s="45">
        <f>IF(D78="",0,
 IF(E78=1,
   IF(H78="Presencial",
      VLOOKUP(D78,TARIFAS!A:K,3,FALSE) + IF(I78="Sí",VLOOKUP(D78,TARIFAS!A:K,5,FALSE),0),
      VLOOKUP(D78,TARIFAS!A:K,4,FALSE) + IF(I78="Sí",VLOOKUP(D78,TARIFAS!A:K,5,FALSE),0)
   ),
   IF(H78="Presencial",
      VLOOKUP(D78,TARIFAS!A:K,9,FALSE) + IF(I78="Sí",VLOOKUP(D78,TARIFAS!A:K,11,FALSE),0),
      VLOOKUP(D78,TARIFAS!A:K,10,FALSE) + IF(I78="Sí",VLOOKUP(D78,TARIFAS!A:K,11,FALSE),0)
   )
 )
)
</f>
        <v>0</v>
      </c>
      <c r="M78" s="45">
        <f>IF(J78="",0,MAX(0,J78 - TARIFAS!G$2) * TARIFAS!F$2)
</f>
        <v>0</v>
      </c>
      <c r="N78" s="45">
        <f>+L78*TARIFAS!$K$2</f>
        <v>0</v>
      </c>
      <c r="O78" s="45">
        <f t="shared" si="1"/>
        <v>0</v>
      </c>
      <c r="P78" s="45">
        <f>+M78+O78+K78+(+I78-(I78*TARIFAS!$K$2))</f>
        <v>0</v>
      </c>
      <c r="Q78" s="42" t="str">
        <f>CONFERENCIAS!T78</f>
        <v/>
      </c>
      <c r="R78" s="45" t="str">
        <f>CONFERENCIAS!U78</f>
        <v/>
      </c>
      <c r="S78" s="45" t="str">
        <f>CONFERENCIAS!W78</f>
        <v/>
      </c>
      <c r="T78" s="48">
        <f>IF(Q78="",0,
   IF(E78=1,
      IF(H78="Presencial",
         VLOOKUP(D78,TARIFAS!A:K,3,FALSE) + IF(I78="Sí",VLOOKUP(D78,TARIFAS!A:K,5,FALSE),0),
         VLOOKUP(D78,TARIFAS!A:K,4,FALSE) + IF(I78="Sí",VLOOKUP(D78,TARIFAS!A:K,5,FALSE),0)
      ),
      IF(H78="Presencial",
         VLOOKUP(D78,TARIFAS!A:K,9,FALSE) + IF(I78="Sí",VLOOKUP(D78,TARIFAS!A:K,11,FALSE),0),
         VLOOKUP(D78,TARIFAS!A:K,10,FALSE) + IF(I78="Sí",VLOOKUP(D78,TARIFAS!A:K,11,FALSE),0)
      )
   )
)
</f>
        <v>0</v>
      </c>
      <c r="U78" s="45">
        <f>IF(R78="",0,MAX(0,R78 - TARIFAS!G$2) * TARIFAS!F$2)
</f>
        <v>0</v>
      </c>
      <c r="V78" s="45">
        <f>+T78*TARIFAS!$K$2</f>
        <v>0</v>
      </c>
      <c r="W78" s="45">
        <f t="shared" si="2"/>
        <v>0</v>
      </c>
      <c r="X78" s="45">
        <f t="shared" si="3"/>
        <v>0</v>
      </c>
      <c r="Y78" s="45">
        <f t="shared" si="4"/>
        <v>0</v>
      </c>
      <c r="Z78" s="42" t="str">
        <f>CONFERENCIAS!AB78</f>
        <v/>
      </c>
      <c r="AA78" s="42" t="str">
        <f>CONFERENCIAS!AC78</f>
        <v/>
      </c>
      <c r="AB78" s="47" t="str">
        <f t="shared" si="5"/>
        <v/>
      </c>
      <c r="AC78" s="9" t="str">
        <f t="shared" si="6"/>
        <v/>
      </c>
    </row>
    <row r="79">
      <c r="A79" s="42" t="str">
        <f>CONFERENCIAS!A79</f>
        <v/>
      </c>
      <c r="D79" s="42" t="str">
        <f>CONFERENCIAS!C79</f>
        <v/>
      </c>
      <c r="E79" s="42" t="str">
        <f>CONFERENCIAS!K79</f>
        <v/>
      </c>
      <c r="F79" s="49" t="str">
        <f>CONFERENCIAS!J79</f>
        <v/>
      </c>
      <c r="G79" s="42" t="str">
        <f>CONFERENCIAS!O79</f>
        <v/>
      </c>
      <c r="H79" s="42" t="str">
        <f>CONFERENCIAS!X79</f>
        <v/>
      </c>
      <c r="I79" s="42" t="str">
        <f>CONFERENCIAS!AA79</f>
        <v/>
      </c>
      <c r="J79" s="44" t="str">
        <f>CONFERENCIAS!P79</f>
        <v/>
      </c>
      <c r="K79" s="45" t="str">
        <f>CONFERENCIAS!R79</f>
        <v/>
      </c>
      <c r="L79" s="45">
        <f>IF(D79="",0,
 IF(E79=1,
   IF(H79="Presencial",
      VLOOKUP(D79,TARIFAS!A:K,3,FALSE) + IF(I79="Sí",VLOOKUP(D79,TARIFAS!A:K,5,FALSE),0),
      VLOOKUP(D79,TARIFAS!A:K,4,FALSE) + IF(I79="Sí",VLOOKUP(D79,TARIFAS!A:K,5,FALSE),0)
   ),
   IF(H79="Presencial",
      VLOOKUP(D79,TARIFAS!A:K,9,FALSE) + IF(I79="Sí",VLOOKUP(D79,TARIFAS!A:K,11,FALSE),0),
      VLOOKUP(D79,TARIFAS!A:K,10,FALSE) + IF(I79="Sí",VLOOKUP(D79,TARIFAS!A:K,11,FALSE),0)
   )
 )
)
</f>
        <v>0</v>
      </c>
      <c r="M79" s="45">
        <f>IF(J79="",0,MAX(0,J79 - TARIFAS!G$2) * TARIFAS!F$2)
</f>
        <v>0</v>
      </c>
      <c r="N79" s="45">
        <f>+L79*TARIFAS!$K$2</f>
        <v>0</v>
      </c>
      <c r="O79" s="45">
        <f t="shared" si="1"/>
        <v>0</v>
      </c>
      <c r="P79" s="45">
        <f>+M79+O79+K79+(+I79-(I79*TARIFAS!$K$2))</f>
        <v>0</v>
      </c>
      <c r="Q79" s="42" t="str">
        <f>CONFERENCIAS!T79</f>
        <v/>
      </c>
      <c r="R79" s="45" t="str">
        <f>CONFERENCIAS!U79</f>
        <v/>
      </c>
      <c r="S79" s="45" t="str">
        <f>CONFERENCIAS!W79</f>
        <v/>
      </c>
      <c r="T79" s="48">
        <f>IF(Q79="",0,
   IF(E79=1,
      IF(H79="Presencial",
         VLOOKUP(D79,TARIFAS!A:K,3,FALSE) + IF(I79="Sí",VLOOKUP(D79,TARIFAS!A:K,5,FALSE),0),
         VLOOKUP(D79,TARIFAS!A:K,4,FALSE) + IF(I79="Sí",VLOOKUP(D79,TARIFAS!A:K,5,FALSE),0)
      ),
      IF(H79="Presencial",
         VLOOKUP(D79,TARIFAS!A:K,9,FALSE) + IF(I79="Sí",VLOOKUP(D79,TARIFAS!A:K,11,FALSE),0),
         VLOOKUP(D79,TARIFAS!A:K,10,FALSE) + IF(I79="Sí",VLOOKUP(D79,TARIFAS!A:K,11,FALSE),0)
      )
   )
)
</f>
        <v>0</v>
      </c>
      <c r="U79" s="45">
        <f>IF(R79="",0,MAX(0,R79 - TARIFAS!G$2) * TARIFAS!F$2)
</f>
        <v>0</v>
      </c>
      <c r="V79" s="45">
        <f>+T79*TARIFAS!$K$2</f>
        <v>0</v>
      </c>
      <c r="W79" s="45">
        <f t="shared" si="2"/>
        <v>0</v>
      </c>
      <c r="X79" s="45">
        <f t="shared" si="3"/>
        <v>0</v>
      </c>
      <c r="Y79" s="45">
        <f t="shared" si="4"/>
        <v>0</v>
      </c>
      <c r="Z79" s="42" t="str">
        <f>CONFERENCIAS!AB79</f>
        <v/>
      </c>
      <c r="AA79" s="42" t="str">
        <f>CONFERENCIAS!AC79</f>
        <v/>
      </c>
      <c r="AB79" s="47" t="str">
        <f t="shared" si="5"/>
        <v/>
      </c>
      <c r="AC79" s="9" t="str">
        <f t="shared" si="6"/>
        <v/>
      </c>
    </row>
    <row r="80">
      <c r="A80" s="42" t="str">
        <f>CONFERENCIAS!A80</f>
        <v/>
      </c>
      <c r="D80" s="42" t="str">
        <f>CONFERENCIAS!C80</f>
        <v/>
      </c>
      <c r="E80" s="42" t="str">
        <f>CONFERENCIAS!K80</f>
        <v/>
      </c>
      <c r="F80" s="49" t="str">
        <f>CONFERENCIAS!J80</f>
        <v/>
      </c>
      <c r="G80" s="42" t="str">
        <f>CONFERENCIAS!O80</f>
        <v/>
      </c>
      <c r="H80" s="42" t="str">
        <f>CONFERENCIAS!X80</f>
        <v/>
      </c>
      <c r="I80" s="42" t="str">
        <f>CONFERENCIAS!AA80</f>
        <v/>
      </c>
      <c r="J80" s="44" t="str">
        <f>CONFERENCIAS!P80</f>
        <v/>
      </c>
      <c r="K80" s="45" t="str">
        <f>CONFERENCIAS!R80</f>
        <v/>
      </c>
      <c r="L80" s="45">
        <f>IF(D80="",0,
 IF(E80=1,
   IF(H80="Presencial",
      VLOOKUP(D80,TARIFAS!A:K,3,FALSE) + IF(I80="Sí",VLOOKUP(D80,TARIFAS!A:K,5,FALSE),0),
      VLOOKUP(D80,TARIFAS!A:K,4,FALSE) + IF(I80="Sí",VLOOKUP(D80,TARIFAS!A:K,5,FALSE),0)
   ),
   IF(H80="Presencial",
      VLOOKUP(D80,TARIFAS!A:K,9,FALSE) + IF(I80="Sí",VLOOKUP(D80,TARIFAS!A:K,11,FALSE),0),
      VLOOKUP(D80,TARIFAS!A:K,10,FALSE) + IF(I80="Sí",VLOOKUP(D80,TARIFAS!A:K,11,FALSE),0)
   )
 )
)
</f>
        <v>0</v>
      </c>
      <c r="M80" s="45">
        <f>IF(J80="",0,MAX(0,J80 - TARIFAS!G$2) * TARIFAS!F$2)
</f>
        <v>0</v>
      </c>
      <c r="N80" s="45">
        <f>+L80*TARIFAS!$K$2</f>
        <v>0</v>
      </c>
      <c r="O80" s="45">
        <f t="shared" si="1"/>
        <v>0</v>
      </c>
      <c r="P80" s="45">
        <f>+M80+O80+K80+(+I80-(I80*TARIFAS!$K$2))</f>
        <v>0</v>
      </c>
      <c r="Q80" s="42" t="str">
        <f>CONFERENCIAS!T80</f>
        <v/>
      </c>
      <c r="R80" s="45" t="str">
        <f>CONFERENCIAS!U80</f>
        <v/>
      </c>
      <c r="S80" s="45" t="str">
        <f>CONFERENCIAS!W80</f>
        <v/>
      </c>
      <c r="T80" s="48">
        <f>IF(Q80="",0,
   IF(E80=1,
      IF(H80="Presencial",
         VLOOKUP(D80,TARIFAS!A:K,3,FALSE) + IF(I80="Sí",VLOOKUP(D80,TARIFAS!A:K,5,FALSE),0),
         VLOOKUP(D80,TARIFAS!A:K,4,FALSE) + IF(I80="Sí",VLOOKUP(D80,TARIFAS!A:K,5,FALSE),0)
      ),
      IF(H80="Presencial",
         VLOOKUP(D80,TARIFAS!A:K,9,FALSE) + IF(I80="Sí",VLOOKUP(D80,TARIFAS!A:K,11,FALSE),0),
         VLOOKUP(D80,TARIFAS!A:K,10,FALSE) + IF(I80="Sí",VLOOKUP(D80,TARIFAS!A:K,11,FALSE),0)
      )
   )
)
</f>
        <v>0</v>
      </c>
      <c r="U80" s="45">
        <f>IF(R80="",0,MAX(0,R80 - TARIFAS!G$2) * TARIFAS!F$2)
</f>
        <v>0</v>
      </c>
      <c r="V80" s="45">
        <f>+T80*TARIFAS!$K$2</f>
        <v>0</v>
      </c>
      <c r="W80" s="45">
        <f t="shared" si="2"/>
        <v>0</v>
      </c>
      <c r="X80" s="45">
        <f t="shared" si="3"/>
        <v>0</v>
      </c>
      <c r="Y80" s="45">
        <f t="shared" si="4"/>
        <v>0</v>
      </c>
      <c r="Z80" s="42" t="str">
        <f>CONFERENCIAS!AB80</f>
        <v/>
      </c>
      <c r="AA80" s="42" t="str">
        <f>CONFERENCIAS!AC80</f>
        <v/>
      </c>
      <c r="AB80" s="47" t="str">
        <f t="shared" si="5"/>
        <v/>
      </c>
      <c r="AC80" s="9" t="str">
        <f t="shared" si="6"/>
        <v/>
      </c>
    </row>
    <row r="81">
      <c r="A81" s="42" t="str">
        <f>CONFERENCIAS!A81</f>
        <v/>
      </c>
      <c r="D81" s="42" t="str">
        <f>CONFERENCIAS!C81</f>
        <v/>
      </c>
      <c r="E81" s="42" t="str">
        <f>CONFERENCIAS!K81</f>
        <v/>
      </c>
      <c r="F81" s="49" t="str">
        <f>CONFERENCIAS!J81</f>
        <v/>
      </c>
      <c r="G81" s="42" t="str">
        <f>CONFERENCIAS!O81</f>
        <v/>
      </c>
      <c r="H81" s="42" t="str">
        <f>CONFERENCIAS!X81</f>
        <v/>
      </c>
      <c r="I81" s="42" t="str">
        <f>CONFERENCIAS!AA81</f>
        <v/>
      </c>
      <c r="J81" s="44" t="str">
        <f>CONFERENCIAS!P81</f>
        <v/>
      </c>
      <c r="K81" s="45" t="str">
        <f>CONFERENCIAS!R81</f>
        <v/>
      </c>
      <c r="L81" s="45">
        <f>IF(D81="",0,
 IF(E81=1,
   IF(H81="Presencial",
      VLOOKUP(D81,TARIFAS!A:K,3,FALSE) + IF(I81="Sí",VLOOKUP(D81,TARIFAS!A:K,5,FALSE),0),
      VLOOKUP(D81,TARIFAS!A:K,4,FALSE) + IF(I81="Sí",VLOOKUP(D81,TARIFAS!A:K,5,FALSE),0)
   ),
   IF(H81="Presencial",
      VLOOKUP(D81,TARIFAS!A:K,9,FALSE) + IF(I81="Sí",VLOOKUP(D81,TARIFAS!A:K,11,FALSE),0),
      VLOOKUP(D81,TARIFAS!A:K,10,FALSE) + IF(I81="Sí",VLOOKUP(D81,TARIFAS!A:K,11,FALSE),0)
   )
 )
)
</f>
        <v>0</v>
      </c>
      <c r="M81" s="45">
        <f>IF(J81="",0,MAX(0,J81 - TARIFAS!G$2) * TARIFAS!F$2)
</f>
        <v>0</v>
      </c>
      <c r="N81" s="45">
        <f>+L81*TARIFAS!$K$2</f>
        <v>0</v>
      </c>
      <c r="O81" s="45">
        <f t="shared" si="1"/>
        <v>0</v>
      </c>
      <c r="P81" s="45">
        <f>+M81+O81+K81+(+I81-(I81*TARIFAS!$K$2))</f>
        <v>0</v>
      </c>
      <c r="Q81" s="42" t="str">
        <f>CONFERENCIAS!T81</f>
        <v/>
      </c>
      <c r="R81" s="45" t="str">
        <f>CONFERENCIAS!U81</f>
        <v/>
      </c>
      <c r="S81" s="45" t="str">
        <f>CONFERENCIAS!W81</f>
        <v/>
      </c>
      <c r="T81" s="48">
        <f>IF(Q81="",0,
   IF(E81=1,
      IF(H81="Presencial",
         VLOOKUP(D81,TARIFAS!A:K,3,FALSE) + IF(I81="Sí",VLOOKUP(D81,TARIFAS!A:K,5,FALSE),0),
         VLOOKUP(D81,TARIFAS!A:K,4,FALSE) + IF(I81="Sí",VLOOKUP(D81,TARIFAS!A:K,5,FALSE),0)
      ),
      IF(H81="Presencial",
         VLOOKUP(D81,TARIFAS!A:K,9,FALSE) + IF(I81="Sí",VLOOKUP(D81,TARIFAS!A:K,11,FALSE),0),
         VLOOKUP(D81,TARIFAS!A:K,10,FALSE) + IF(I81="Sí",VLOOKUP(D81,TARIFAS!A:K,11,FALSE),0)
      )
   )
)
</f>
        <v>0</v>
      </c>
      <c r="U81" s="45">
        <f>IF(R81="",0,MAX(0,R81 - TARIFAS!G$2) * TARIFAS!F$2)
</f>
        <v>0</v>
      </c>
      <c r="V81" s="45">
        <f>+T81*TARIFAS!$K$2</f>
        <v>0</v>
      </c>
      <c r="W81" s="45">
        <f t="shared" si="2"/>
        <v>0</v>
      </c>
      <c r="X81" s="45">
        <f t="shared" si="3"/>
        <v>0</v>
      </c>
      <c r="Y81" s="45">
        <f t="shared" si="4"/>
        <v>0</v>
      </c>
      <c r="Z81" s="42" t="str">
        <f>CONFERENCIAS!AB81</f>
        <v/>
      </c>
      <c r="AA81" s="42" t="str">
        <f>CONFERENCIAS!AC81</f>
        <v/>
      </c>
      <c r="AB81" s="47" t="str">
        <f t="shared" si="5"/>
        <v/>
      </c>
      <c r="AC81" s="9" t="str">
        <f t="shared" si="6"/>
        <v/>
      </c>
    </row>
    <row r="82">
      <c r="A82" s="42" t="str">
        <f>CONFERENCIAS!A82</f>
        <v/>
      </c>
      <c r="D82" s="42" t="str">
        <f>CONFERENCIAS!C82</f>
        <v/>
      </c>
      <c r="E82" s="42" t="str">
        <f>CONFERENCIAS!K82</f>
        <v/>
      </c>
      <c r="F82" s="49" t="str">
        <f>CONFERENCIAS!J82</f>
        <v/>
      </c>
      <c r="G82" s="42" t="str">
        <f>CONFERENCIAS!O82</f>
        <v/>
      </c>
      <c r="H82" s="42" t="str">
        <f>CONFERENCIAS!X82</f>
        <v/>
      </c>
      <c r="I82" s="42" t="str">
        <f>CONFERENCIAS!AA82</f>
        <v/>
      </c>
      <c r="J82" s="44" t="str">
        <f>CONFERENCIAS!P82</f>
        <v/>
      </c>
      <c r="K82" s="45" t="str">
        <f>CONFERENCIAS!R82</f>
        <v/>
      </c>
      <c r="L82" s="45">
        <f>IF(D82="",0,
 IF(E82=1,
   IF(H82="Presencial",
      VLOOKUP(D82,TARIFAS!A:K,3,FALSE) + IF(I82="Sí",VLOOKUP(D82,TARIFAS!A:K,5,FALSE),0),
      VLOOKUP(D82,TARIFAS!A:K,4,FALSE) + IF(I82="Sí",VLOOKUP(D82,TARIFAS!A:K,5,FALSE),0)
   ),
   IF(H82="Presencial",
      VLOOKUP(D82,TARIFAS!A:K,9,FALSE) + IF(I82="Sí",VLOOKUP(D82,TARIFAS!A:K,11,FALSE),0),
      VLOOKUP(D82,TARIFAS!A:K,10,FALSE) + IF(I82="Sí",VLOOKUP(D82,TARIFAS!A:K,11,FALSE),0)
   )
 )
)
</f>
        <v>0</v>
      </c>
      <c r="M82" s="45">
        <f>IF(J82="",0,MAX(0,J82 - TARIFAS!G$2) * TARIFAS!F$2)
</f>
        <v>0</v>
      </c>
      <c r="N82" s="45">
        <f>+L82*TARIFAS!$K$2</f>
        <v>0</v>
      </c>
      <c r="O82" s="45">
        <f t="shared" si="1"/>
        <v>0</v>
      </c>
      <c r="P82" s="45">
        <f>+M82+O82+K82+(+I82-(I82*TARIFAS!$K$2))</f>
        <v>0</v>
      </c>
      <c r="Q82" s="42" t="str">
        <f>CONFERENCIAS!T82</f>
        <v/>
      </c>
      <c r="R82" s="45" t="str">
        <f>CONFERENCIAS!U82</f>
        <v/>
      </c>
      <c r="S82" s="45" t="str">
        <f>CONFERENCIAS!W82</f>
        <v/>
      </c>
      <c r="T82" s="48">
        <f>IF(Q82="",0,
   IF(E82=1,
      IF(H82="Presencial",
         VLOOKUP(D82,TARIFAS!A:K,3,FALSE) + IF(I82="Sí",VLOOKUP(D82,TARIFAS!A:K,5,FALSE),0),
         VLOOKUP(D82,TARIFAS!A:K,4,FALSE) + IF(I82="Sí",VLOOKUP(D82,TARIFAS!A:K,5,FALSE),0)
      ),
      IF(H82="Presencial",
         VLOOKUP(D82,TARIFAS!A:K,9,FALSE) + IF(I82="Sí",VLOOKUP(D82,TARIFAS!A:K,11,FALSE),0),
         VLOOKUP(D82,TARIFAS!A:K,10,FALSE) + IF(I82="Sí",VLOOKUP(D82,TARIFAS!A:K,11,FALSE),0)
      )
   )
)
</f>
        <v>0</v>
      </c>
      <c r="U82" s="45">
        <f>IF(R82="",0,MAX(0,R82 - TARIFAS!G$2) * TARIFAS!F$2)
</f>
        <v>0</v>
      </c>
      <c r="V82" s="45">
        <f>+T82*TARIFAS!$K$2</f>
        <v>0</v>
      </c>
      <c r="W82" s="45">
        <f t="shared" si="2"/>
        <v>0</v>
      </c>
      <c r="X82" s="45">
        <f t="shared" si="3"/>
        <v>0</v>
      </c>
      <c r="Y82" s="45">
        <f t="shared" si="4"/>
        <v>0</v>
      </c>
      <c r="Z82" s="42" t="str">
        <f>CONFERENCIAS!AB82</f>
        <v/>
      </c>
      <c r="AA82" s="42" t="str">
        <f>CONFERENCIAS!AC82</f>
        <v/>
      </c>
      <c r="AB82" s="47" t="str">
        <f t="shared" si="5"/>
        <v/>
      </c>
      <c r="AC82" s="9" t="str">
        <f t="shared" si="6"/>
        <v/>
      </c>
    </row>
    <row r="83">
      <c r="A83" s="42" t="str">
        <f>CONFERENCIAS!A83</f>
        <v/>
      </c>
      <c r="D83" s="42" t="str">
        <f>CONFERENCIAS!C83</f>
        <v/>
      </c>
      <c r="E83" s="42" t="str">
        <f>CONFERENCIAS!K83</f>
        <v/>
      </c>
      <c r="F83" s="49" t="str">
        <f>CONFERENCIAS!J83</f>
        <v/>
      </c>
      <c r="G83" s="42" t="str">
        <f>CONFERENCIAS!O83</f>
        <v/>
      </c>
      <c r="H83" s="42" t="str">
        <f>CONFERENCIAS!X83</f>
        <v/>
      </c>
      <c r="I83" s="42" t="str">
        <f>CONFERENCIAS!AA83</f>
        <v/>
      </c>
      <c r="J83" s="44" t="str">
        <f>CONFERENCIAS!P83</f>
        <v/>
      </c>
      <c r="K83" s="45" t="str">
        <f>CONFERENCIAS!R83</f>
        <v/>
      </c>
      <c r="L83" s="45">
        <f>IF(D83="",0,
 IF(E83=1,
   IF(H83="Presencial",
      VLOOKUP(D83,TARIFAS!A:K,3,FALSE) + IF(I83="Sí",VLOOKUP(D83,TARIFAS!A:K,5,FALSE),0),
      VLOOKUP(D83,TARIFAS!A:K,4,FALSE) + IF(I83="Sí",VLOOKUP(D83,TARIFAS!A:K,5,FALSE),0)
   ),
   IF(H83="Presencial",
      VLOOKUP(D83,TARIFAS!A:K,9,FALSE) + IF(I83="Sí",VLOOKUP(D83,TARIFAS!A:K,11,FALSE),0),
      VLOOKUP(D83,TARIFAS!A:K,10,FALSE) + IF(I83="Sí",VLOOKUP(D83,TARIFAS!A:K,11,FALSE),0)
   )
 )
)
</f>
        <v>0</v>
      </c>
      <c r="M83" s="45">
        <f>IF(J83="",0,MAX(0,J83 - TARIFAS!G$2) * TARIFAS!F$2)
</f>
        <v>0</v>
      </c>
      <c r="N83" s="45">
        <f>+L83*TARIFAS!$K$2</f>
        <v>0</v>
      </c>
      <c r="O83" s="45">
        <f t="shared" si="1"/>
        <v>0</v>
      </c>
      <c r="P83" s="45">
        <f>+M83+O83+K83+(+I83-(I83*TARIFAS!$K$2))</f>
        <v>0</v>
      </c>
      <c r="Q83" s="42" t="str">
        <f>CONFERENCIAS!T83</f>
        <v/>
      </c>
      <c r="R83" s="45" t="str">
        <f>CONFERENCIAS!U83</f>
        <v/>
      </c>
      <c r="S83" s="45" t="str">
        <f>CONFERENCIAS!W83</f>
        <v/>
      </c>
      <c r="T83" s="48">
        <f>IF(Q83="",0,
   IF(E83=1,
      IF(H83="Presencial",
         VLOOKUP(D83,TARIFAS!A:K,3,FALSE) + IF(I83="Sí",VLOOKUP(D83,TARIFAS!A:K,5,FALSE),0),
         VLOOKUP(D83,TARIFAS!A:K,4,FALSE) + IF(I83="Sí",VLOOKUP(D83,TARIFAS!A:K,5,FALSE),0)
      ),
      IF(H83="Presencial",
         VLOOKUP(D83,TARIFAS!A:K,9,FALSE) + IF(I83="Sí",VLOOKUP(D83,TARIFAS!A:K,11,FALSE),0),
         VLOOKUP(D83,TARIFAS!A:K,10,FALSE) + IF(I83="Sí",VLOOKUP(D83,TARIFAS!A:K,11,FALSE),0)
      )
   )
)
</f>
        <v>0</v>
      </c>
      <c r="U83" s="45">
        <f>IF(R83="",0,MAX(0,R83 - TARIFAS!G$2) * TARIFAS!F$2)
</f>
        <v>0</v>
      </c>
      <c r="V83" s="45">
        <f>+T83*TARIFAS!$K$2</f>
        <v>0</v>
      </c>
      <c r="W83" s="45">
        <f t="shared" si="2"/>
        <v>0</v>
      </c>
      <c r="X83" s="45">
        <f t="shared" si="3"/>
        <v>0</v>
      </c>
      <c r="Y83" s="45">
        <f t="shared" si="4"/>
        <v>0</v>
      </c>
      <c r="Z83" s="42" t="str">
        <f>CONFERENCIAS!AB83</f>
        <v/>
      </c>
      <c r="AA83" s="42" t="str">
        <f>CONFERENCIAS!AC83</f>
        <v/>
      </c>
      <c r="AB83" s="47" t="str">
        <f t="shared" si="5"/>
        <v/>
      </c>
      <c r="AC83" s="9" t="str">
        <f t="shared" si="6"/>
        <v/>
      </c>
    </row>
    <row r="84">
      <c r="A84" s="42" t="str">
        <f>CONFERENCIAS!A84</f>
        <v/>
      </c>
      <c r="D84" s="42" t="str">
        <f>CONFERENCIAS!C84</f>
        <v/>
      </c>
      <c r="E84" s="42" t="str">
        <f>CONFERENCIAS!K84</f>
        <v/>
      </c>
      <c r="F84" s="49" t="str">
        <f>CONFERENCIAS!J84</f>
        <v/>
      </c>
      <c r="G84" s="42" t="str">
        <f>CONFERENCIAS!O84</f>
        <v/>
      </c>
      <c r="H84" s="42" t="str">
        <f>CONFERENCIAS!X84</f>
        <v/>
      </c>
      <c r="I84" s="42" t="str">
        <f>CONFERENCIAS!AA84</f>
        <v/>
      </c>
      <c r="J84" s="44" t="str">
        <f>CONFERENCIAS!P84</f>
        <v/>
      </c>
      <c r="K84" s="45" t="str">
        <f>CONFERENCIAS!R84</f>
        <v/>
      </c>
      <c r="L84" s="45">
        <f>IF(D84="",0,
 IF(E84=1,
   IF(H84="Presencial",
      VLOOKUP(D84,TARIFAS!A:K,3,FALSE) + IF(I84="Sí",VLOOKUP(D84,TARIFAS!A:K,5,FALSE),0),
      VLOOKUP(D84,TARIFAS!A:K,4,FALSE) + IF(I84="Sí",VLOOKUP(D84,TARIFAS!A:K,5,FALSE),0)
   ),
   IF(H84="Presencial",
      VLOOKUP(D84,TARIFAS!A:K,9,FALSE) + IF(I84="Sí",VLOOKUP(D84,TARIFAS!A:K,11,FALSE),0),
      VLOOKUP(D84,TARIFAS!A:K,10,FALSE) + IF(I84="Sí",VLOOKUP(D84,TARIFAS!A:K,11,FALSE),0)
   )
 )
)
</f>
        <v>0</v>
      </c>
      <c r="M84" s="45">
        <f>IF(J84="",0,MAX(0,J84 - TARIFAS!G$2) * TARIFAS!F$2)
</f>
        <v>0</v>
      </c>
      <c r="N84" s="45">
        <f>+L84*TARIFAS!$K$2</f>
        <v>0</v>
      </c>
      <c r="O84" s="45">
        <f t="shared" si="1"/>
        <v>0</v>
      </c>
      <c r="P84" s="45">
        <f>+M84+O84+K84+(+I84-(I84*TARIFAS!$K$2))</f>
        <v>0</v>
      </c>
      <c r="Q84" s="42" t="str">
        <f>CONFERENCIAS!T84</f>
        <v/>
      </c>
      <c r="R84" s="45" t="str">
        <f>CONFERENCIAS!U84</f>
        <v/>
      </c>
      <c r="S84" s="45" t="str">
        <f>CONFERENCIAS!W84</f>
        <v/>
      </c>
      <c r="T84" s="48">
        <f>IF(Q84="",0,
   IF(E84=1,
      IF(H84="Presencial",
         VLOOKUP(D84,TARIFAS!A:K,3,FALSE) + IF(I84="Sí",VLOOKUP(D84,TARIFAS!A:K,5,FALSE),0),
         VLOOKUP(D84,TARIFAS!A:K,4,FALSE) + IF(I84="Sí",VLOOKUP(D84,TARIFAS!A:K,5,FALSE),0)
      ),
      IF(H84="Presencial",
         VLOOKUP(D84,TARIFAS!A:K,9,FALSE) + IF(I84="Sí",VLOOKUP(D84,TARIFAS!A:K,11,FALSE),0),
         VLOOKUP(D84,TARIFAS!A:K,10,FALSE) + IF(I84="Sí",VLOOKUP(D84,TARIFAS!A:K,11,FALSE),0)
      )
   )
)
</f>
        <v>0</v>
      </c>
      <c r="U84" s="45">
        <f>IF(R84="",0,MAX(0,R84 - TARIFAS!G$2) * TARIFAS!F$2)
</f>
        <v>0</v>
      </c>
      <c r="V84" s="45">
        <f>+T84*TARIFAS!$K$2</f>
        <v>0</v>
      </c>
      <c r="W84" s="45">
        <f t="shared" si="2"/>
        <v>0</v>
      </c>
      <c r="X84" s="45">
        <f t="shared" si="3"/>
        <v>0</v>
      </c>
      <c r="Y84" s="45">
        <f t="shared" si="4"/>
        <v>0</v>
      </c>
      <c r="Z84" s="42" t="str">
        <f>CONFERENCIAS!AB84</f>
        <v/>
      </c>
      <c r="AA84" s="42" t="str">
        <f>CONFERENCIAS!AC84</f>
        <v/>
      </c>
      <c r="AB84" s="47" t="str">
        <f t="shared" si="5"/>
        <v/>
      </c>
      <c r="AC84" s="9" t="str">
        <f t="shared" si="6"/>
        <v/>
      </c>
    </row>
    <row r="85">
      <c r="A85" s="42" t="str">
        <f>CONFERENCIAS!A85</f>
        <v/>
      </c>
      <c r="D85" s="42" t="str">
        <f>CONFERENCIAS!C85</f>
        <v/>
      </c>
      <c r="E85" s="42" t="str">
        <f>CONFERENCIAS!K85</f>
        <v/>
      </c>
      <c r="F85" s="49" t="str">
        <f>CONFERENCIAS!J85</f>
        <v/>
      </c>
      <c r="G85" s="42" t="str">
        <f>CONFERENCIAS!O85</f>
        <v/>
      </c>
      <c r="H85" s="42" t="str">
        <f>CONFERENCIAS!X85</f>
        <v/>
      </c>
      <c r="I85" s="42" t="str">
        <f>CONFERENCIAS!AA85</f>
        <v/>
      </c>
      <c r="J85" s="44" t="str">
        <f>CONFERENCIAS!P85</f>
        <v/>
      </c>
      <c r="K85" s="45" t="str">
        <f>CONFERENCIAS!R85</f>
        <v/>
      </c>
      <c r="L85" s="45">
        <f>IF(D85="",0,
 IF(E85=1,
   IF(H85="Presencial",
      VLOOKUP(D85,TARIFAS!A:K,3,FALSE) + IF(I85="Sí",VLOOKUP(D85,TARIFAS!A:K,5,FALSE),0),
      VLOOKUP(D85,TARIFAS!A:K,4,FALSE) + IF(I85="Sí",VLOOKUP(D85,TARIFAS!A:K,5,FALSE),0)
   ),
   IF(H85="Presencial",
      VLOOKUP(D85,TARIFAS!A:K,9,FALSE) + IF(I85="Sí",VLOOKUP(D85,TARIFAS!A:K,11,FALSE),0),
      VLOOKUP(D85,TARIFAS!A:K,10,FALSE) + IF(I85="Sí",VLOOKUP(D85,TARIFAS!A:K,11,FALSE),0)
   )
 )
)
</f>
        <v>0</v>
      </c>
      <c r="M85" s="45">
        <f>IF(J85="",0,MAX(0,J85 - TARIFAS!G$2) * TARIFAS!F$2)
</f>
        <v>0</v>
      </c>
      <c r="N85" s="45">
        <f>+L85*TARIFAS!$K$2</f>
        <v>0</v>
      </c>
      <c r="O85" s="45">
        <f t="shared" si="1"/>
        <v>0</v>
      </c>
      <c r="P85" s="45">
        <f>+M85+O85+K85+(+I85-(I85*TARIFAS!$K$2))</f>
        <v>0</v>
      </c>
      <c r="Q85" s="42" t="str">
        <f>CONFERENCIAS!T85</f>
        <v/>
      </c>
      <c r="R85" s="45" t="str">
        <f>CONFERENCIAS!U85</f>
        <v/>
      </c>
      <c r="S85" s="45" t="str">
        <f>CONFERENCIAS!W85</f>
        <v/>
      </c>
      <c r="T85" s="48">
        <f>IF(Q85="",0,
   IF(E85=1,
      IF(H85="Presencial",
         VLOOKUP(D85,TARIFAS!A:K,3,FALSE) + IF(I85="Sí",VLOOKUP(D85,TARIFAS!A:K,5,FALSE),0),
         VLOOKUP(D85,TARIFAS!A:K,4,FALSE) + IF(I85="Sí",VLOOKUP(D85,TARIFAS!A:K,5,FALSE),0)
      ),
      IF(H85="Presencial",
         VLOOKUP(D85,TARIFAS!A:K,9,FALSE) + IF(I85="Sí",VLOOKUP(D85,TARIFAS!A:K,11,FALSE),0),
         VLOOKUP(D85,TARIFAS!A:K,10,FALSE) + IF(I85="Sí",VLOOKUP(D85,TARIFAS!A:K,11,FALSE),0)
      )
   )
)
</f>
        <v>0</v>
      </c>
      <c r="U85" s="45">
        <f>IF(R85="",0,MAX(0,R85 - TARIFAS!G$2) * TARIFAS!F$2)
</f>
        <v>0</v>
      </c>
      <c r="V85" s="45">
        <f>+T85*TARIFAS!$K$2</f>
        <v>0</v>
      </c>
      <c r="W85" s="45">
        <f t="shared" si="2"/>
        <v>0</v>
      </c>
      <c r="X85" s="45">
        <f t="shared" si="3"/>
        <v>0</v>
      </c>
      <c r="Y85" s="45">
        <f t="shared" si="4"/>
        <v>0</v>
      </c>
      <c r="Z85" s="42" t="str">
        <f>CONFERENCIAS!AB85</f>
        <v/>
      </c>
      <c r="AA85" s="42" t="str">
        <f>CONFERENCIAS!AC85</f>
        <v/>
      </c>
      <c r="AB85" s="47" t="str">
        <f t="shared" si="5"/>
        <v/>
      </c>
      <c r="AC85" s="9" t="str">
        <f t="shared" si="6"/>
        <v/>
      </c>
    </row>
    <row r="86">
      <c r="A86" s="42" t="str">
        <f>CONFERENCIAS!A86</f>
        <v/>
      </c>
      <c r="D86" s="42" t="str">
        <f>CONFERENCIAS!C86</f>
        <v/>
      </c>
      <c r="E86" s="42" t="str">
        <f>CONFERENCIAS!K86</f>
        <v/>
      </c>
      <c r="F86" s="49" t="str">
        <f>CONFERENCIAS!J86</f>
        <v/>
      </c>
      <c r="G86" s="42" t="str">
        <f>CONFERENCIAS!O86</f>
        <v/>
      </c>
      <c r="H86" s="42" t="str">
        <f>CONFERENCIAS!X86</f>
        <v/>
      </c>
      <c r="I86" s="42" t="str">
        <f>CONFERENCIAS!AA86</f>
        <v/>
      </c>
      <c r="J86" s="44" t="str">
        <f>CONFERENCIAS!P86</f>
        <v/>
      </c>
      <c r="K86" s="45" t="str">
        <f>CONFERENCIAS!R86</f>
        <v/>
      </c>
      <c r="L86" s="45">
        <f>IF(D86="",0,
 IF(E86=1,
   IF(H86="Presencial",
      VLOOKUP(D86,TARIFAS!A:K,3,FALSE) + IF(I86="Sí",VLOOKUP(D86,TARIFAS!A:K,5,FALSE),0),
      VLOOKUP(D86,TARIFAS!A:K,4,FALSE) + IF(I86="Sí",VLOOKUP(D86,TARIFAS!A:K,5,FALSE),0)
   ),
   IF(H86="Presencial",
      VLOOKUP(D86,TARIFAS!A:K,9,FALSE) + IF(I86="Sí",VLOOKUP(D86,TARIFAS!A:K,11,FALSE),0),
      VLOOKUP(D86,TARIFAS!A:K,10,FALSE) + IF(I86="Sí",VLOOKUP(D86,TARIFAS!A:K,11,FALSE),0)
   )
 )
)
</f>
        <v>0</v>
      </c>
      <c r="M86" s="45">
        <f>IF(J86="",0,MAX(0,J86 - TARIFAS!G$2) * TARIFAS!F$2)
</f>
        <v>0</v>
      </c>
      <c r="N86" s="45">
        <f>+L86*TARIFAS!$K$2</f>
        <v>0</v>
      </c>
      <c r="O86" s="45">
        <f t="shared" si="1"/>
        <v>0</v>
      </c>
      <c r="P86" s="45">
        <f>+M86+O86+K86+(+I86-(I86*TARIFAS!$K$2))</f>
        <v>0</v>
      </c>
      <c r="Q86" s="42" t="str">
        <f>CONFERENCIAS!T86</f>
        <v/>
      </c>
      <c r="R86" s="45" t="str">
        <f>CONFERENCIAS!U86</f>
        <v/>
      </c>
      <c r="S86" s="45" t="str">
        <f>CONFERENCIAS!W86</f>
        <v/>
      </c>
      <c r="T86" s="48">
        <f>IF(Q86="",0,
   IF(E86=1,
      IF(H86="Presencial",
         VLOOKUP(D86,TARIFAS!A:K,3,FALSE) + IF(I86="Sí",VLOOKUP(D86,TARIFAS!A:K,5,FALSE),0),
         VLOOKUP(D86,TARIFAS!A:K,4,FALSE) + IF(I86="Sí",VLOOKUP(D86,TARIFAS!A:K,5,FALSE),0)
      ),
      IF(H86="Presencial",
         VLOOKUP(D86,TARIFAS!A:K,9,FALSE) + IF(I86="Sí",VLOOKUP(D86,TARIFAS!A:K,11,FALSE),0),
         VLOOKUP(D86,TARIFAS!A:K,10,FALSE) + IF(I86="Sí",VLOOKUP(D86,TARIFAS!A:K,11,FALSE),0)
      )
   )
)
</f>
        <v>0</v>
      </c>
      <c r="U86" s="45">
        <f>IF(R86="",0,MAX(0,R86 - TARIFAS!G$2) * TARIFAS!F$2)
</f>
        <v>0</v>
      </c>
      <c r="V86" s="45">
        <f>+T86*TARIFAS!$K$2</f>
        <v>0</v>
      </c>
      <c r="W86" s="45">
        <f t="shared" si="2"/>
        <v>0</v>
      </c>
      <c r="X86" s="45">
        <f t="shared" si="3"/>
        <v>0</v>
      </c>
      <c r="Y86" s="45">
        <f t="shared" si="4"/>
        <v>0</v>
      </c>
      <c r="Z86" s="42" t="str">
        <f>CONFERENCIAS!AB86</f>
        <v/>
      </c>
      <c r="AA86" s="42" t="str">
        <f>CONFERENCIAS!AC86</f>
        <v/>
      </c>
      <c r="AB86" s="47" t="str">
        <f t="shared" si="5"/>
        <v/>
      </c>
      <c r="AC86" s="9" t="str">
        <f t="shared" si="6"/>
        <v/>
      </c>
    </row>
    <row r="87">
      <c r="A87" s="42" t="str">
        <f>CONFERENCIAS!A87</f>
        <v/>
      </c>
      <c r="D87" s="42" t="str">
        <f>CONFERENCIAS!C87</f>
        <v/>
      </c>
      <c r="E87" s="42" t="str">
        <f>CONFERENCIAS!K87</f>
        <v/>
      </c>
      <c r="F87" s="49" t="str">
        <f>CONFERENCIAS!J87</f>
        <v/>
      </c>
      <c r="G87" s="42" t="str">
        <f>CONFERENCIAS!O87</f>
        <v/>
      </c>
      <c r="H87" s="42" t="str">
        <f>CONFERENCIAS!X87</f>
        <v/>
      </c>
      <c r="I87" s="42" t="str">
        <f>CONFERENCIAS!AA87</f>
        <v/>
      </c>
      <c r="J87" s="44" t="str">
        <f>CONFERENCIAS!P87</f>
        <v/>
      </c>
      <c r="K87" s="45" t="str">
        <f>CONFERENCIAS!R87</f>
        <v/>
      </c>
      <c r="L87" s="45">
        <f>IF(D87="",0,
 IF(E87=1,
   IF(H87="Presencial",
      VLOOKUP(D87,TARIFAS!A:K,3,FALSE) + IF(I87="Sí",VLOOKUP(D87,TARIFAS!A:K,5,FALSE),0),
      VLOOKUP(D87,TARIFAS!A:K,4,FALSE) + IF(I87="Sí",VLOOKUP(D87,TARIFAS!A:K,5,FALSE),0)
   ),
   IF(H87="Presencial",
      VLOOKUP(D87,TARIFAS!A:K,9,FALSE) + IF(I87="Sí",VLOOKUP(D87,TARIFAS!A:K,11,FALSE),0),
      VLOOKUP(D87,TARIFAS!A:K,10,FALSE) + IF(I87="Sí",VLOOKUP(D87,TARIFAS!A:K,11,FALSE),0)
   )
 )
)
</f>
        <v>0</v>
      </c>
      <c r="M87" s="45">
        <f>IF(J87="",0,MAX(0,J87 - TARIFAS!G$2) * TARIFAS!F$2)
</f>
        <v>0</v>
      </c>
      <c r="N87" s="45">
        <f>+L87*TARIFAS!$K$2</f>
        <v>0</v>
      </c>
      <c r="O87" s="45">
        <f t="shared" si="1"/>
        <v>0</v>
      </c>
      <c r="P87" s="45">
        <f>+M87+O87+K87+(+I87-(I87*TARIFAS!$K$2))</f>
        <v>0</v>
      </c>
      <c r="Q87" s="42" t="str">
        <f>CONFERENCIAS!T87</f>
        <v/>
      </c>
      <c r="R87" s="45" t="str">
        <f>CONFERENCIAS!U87</f>
        <v/>
      </c>
      <c r="S87" s="45" t="str">
        <f>CONFERENCIAS!W87</f>
        <v/>
      </c>
      <c r="T87" s="48">
        <f>IF(Q87="",0,
   IF(E87=1,
      IF(H87="Presencial",
         VLOOKUP(D87,TARIFAS!A:K,3,FALSE) + IF(I87="Sí",VLOOKUP(D87,TARIFAS!A:K,5,FALSE),0),
         VLOOKUP(D87,TARIFAS!A:K,4,FALSE) + IF(I87="Sí",VLOOKUP(D87,TARIFAS!A:K,5,FALSE),0)
      ),
      IF(H87="Presencial",
         VLOOKUP(D87,TARIFAS!A:K,9,FALSE) + IF(I87="Sí",VLOOKUP(D87,TARIFAS!A:K,11,FALSE),0),
         VLOOKUP(D87,TARIFAS!A:K,10,FALSE) + IF(I87="Sí",VLOOKUP(D87,TARIFAS!A:K,11,FALSE),0)
      )
   )
)
</f>
        <v>0</v>
      </c>
      <c r="U87" s="45">
        <f>IF(R87="",0,MAX(0,R87 - TARIFAS!G$2) * TARIFAS!F$2)
</f>
        <v>0</v>
      </c>
      <c r="V87" s="45">
        <f>+T87*TARIFAS!$K$2</f>
        <v>0</v>
      </c>
      <c r="W87" s="45">
        <f t="shared" si="2"/>
        <v>0</v>
      </c>
      <c r="X87" s="45">
        <f t="shared" si="3"/>
        <v>0</v>
      </c>
      <c r="Y87" s="45">
        <f t="shared" si="4"/>
        <v>0</v>
      </c>
      <c r="Z87" s="42" t="str">
        <f>CONFERENCIAS!AB87</f>
        <v/>
      </c>
      <c r="AA87" s="42" t="str">
        <f>CONFERENCIAS!AC87</f>
        <v/>
      </c>
      <c r="AB87" s="47" t="str">
        <f t="shared" si="5"/>
        <v/>
      </c>
      <c r="AC87" s="9" t="str">
        <f t="shared" si="6"/>
        <v/>
      </c>
    </row>
    <row r="88">
      <c r="A88" s="42" t="str">
        <f>CONFERENCIAS!A88</f>
        <v/>
      </c>
      <c r="D88" s="42" t="str">
        <f>CONFERENCIAS!C88</f>
        <v/>
      </c>
      <c r="E88" s="42" t="str">
        <f>CONFERENCIAS!K88</f>
        <v/>
      </c>
      <c r="F88" s="49" t="str">
        <f>CONFERENCIAS!J88</f>
        <v/>
      </c>
      <c r="G88" s="42" t="str">
        <f>CONFERENCIAS!O88</f>
        <v/>
      </c>
      <c r="H88" s="42" t="str">
        <f>CONFERENCIAS!X88</f>
        <v/>
      </c>
      <c r="I88" s="42" t="str">
        <f>CONFERENCIAS!AA88</f>
        <v/>
      </c>
      <c r="J88" s="44" t="str">
        <f>CONFERENCIAS!P88</f>
        <v/>
      </c>
      <c r="K88" s="45" t="str">
        <f>CONFERENCIAS!R88</f>
        <v/>
      </c>
      <c r="L88" s="45">
        <f>IF(D88="",0,
 IF(E88=1,
   IF(H88="Presencial",
      VLOOKUP(D88,TARIFAS!A:K,3,FALSE) + IF(I88="Sí",VLOOKUP(D88,TARIFAS!A:K,5,FALSE),0),
      VLOOKUP(D88,TARIFAS!A:K,4,FALSE) + IF(I88="Sí",VLOOKUP(D88,TARIFAS!A:K,5,FALSE),0)
   ),
   IF(H88="Presencial",
      VLOOKUP(D88,TARIFAS!A:K,9,FALSE) + IF(I88="Sí",VLOOKUP(D88,TARIFAS!A:K,11,FALSE),0),
      VLOOKUP(D88,TARIFAS!A:K,10,FALSE) + IF(I88="Sí",VLOOKUP(D88,TARIFAS!A:K,11,FALSE),0)
   )
 )
)
</f>
        <v>0</v>
      </c>
      <c r="M88" s="45">
        <f>IF(J88="",0,MAX(0,J88 - TARIFAS!G$2) * TARIFAS!F$2)
</f>
        <v>0</v>
      </c>
      <c r="N88" s="45">
        <f>+L88*TARIFAS!$K$2</f>
        <v>0</v>
      </c>
      <c r="O88" s="45">
        <f t="shared" si="1"/>
        <v>0</v>
      </c>
      <c r="P88" s="45">
        <f>+M88+O88+K88+(+I88-(I88*TARIFAS!$K$2))</f>
        <v>0</v>
      </c>
      <c r="Q88" s="42" t="str">
        <f>CONFERENCIAS!T88</f>
        <v/>
      </c>
      <c r="R88" s="45" t="str">
        <f>CONFERENCIAS!U88</f>
        <v/>
      </c>
      <c r="S88" s="45" t="str">
        <f>CONFERENCIAS!W88</f>
        <v/>
      </c>
      <c r="T88" s="48">
        <f>IF(Q88="",0,
   IF(E88=1,
      IF(H88="Presencial",
         VLOOKUP(D88,TARIFAS!A:K,3,FALSE) + IF(I88="Sí",VLOOKUP(D88,TARIFAS!A:K,5,FALSE),0),
         VLOOKUP(D88,TARIFAS!A:K,4,FALSE) + IF(I88="Sí",VLOOKUP(D88,TARIFAS!A:K,5,FALSE),0)
      ),
      IF(H88="Presencial",
         VLOOKUP(D88,TARIFAS!A:K,9,FALSE) + IF(I88="Sí",VLOOKUP(D88,TARIFAS!A:K,11,FALSE),0),
         VLOOKUP(D88,TARIFAS!A:K,10,FALSE) + IF(I88="Sí",VLOOKUP(D88,TARIFAS!A:K,11,FALSE),0)
      )
   )
)
</f>
        <v>0</v>
      </c>
      <c r="U88" s="45">
        <f>IF(R88="",0,MAX(0,R88 - TARIFAS!G$2) * TARIFAS!F$2)
</f>
        <v>0</v>
      </c>
      <c r="V88" s="45">
        <f>+T88*TARIFAS!$K$2</f>
        <v>0</v>
      </c>
      <c r="W88" s="45">
        <f t="shared" si="2"/>
        <v>0</v>
      </c>
      <c r="X88" s="45">
        <f t="shared" si="3"/>
        <v>0</v>
      </c>
      <c r="Y88" s="45">
        <f t="shared" si="4"/>
        <v>0</v>
      </c>
      <c r="Z88" s="42" t="str">
        <f>CONFERENCIAS!AB88</f>
        <v/>
      </c>
      <c r="AA88" s="42" t="str">
        <f>CONFERENCIAS!AC88</f>
        <v/>
      </c>
      <c r="AB88" s="47" t="str">
        <f t="shared" si="5"/>
        <v/>
      </c>
      <c r="AC88" s="9" t="str">
        <f t="shared" si="6"/>
        <v/>
      </c>
    </row>
    <row r="89">
      <c r="A89" s="42" t="str">
        <f>CONFERENCIAS!A89</f>
        <v/>
      </c>
      <c r="D89" s="42" t="str">
        <f>CONFERENCIAS!C89</f>
        <v/>
      </c>
      <c r="E89" s="42" t="str">
        <f>CONFERENCIAS!K89</f>
        <v/>
      </c>
      <c r="F89" s="49" t="str">
        <f>CONFERENCIAS!J89</f>
        <v/>
      </c>
      <c r="G89" s="42" t="str">
        <f>CONFERENCIAS!O89</f>
        <v/>
      </c>
      <c r="H89" s="42" t="str">
        <f>CONFERENCIAS!X89</f>
        <v/>
      </c>
      <c r="I89" s="42" t="str">
        <f>CONFERENCIAS!AA89</f>
        <v/>
      </c>
      <c r="J89" s="44" t="str">
        <f>CONFERENCIAS!P89</f>
        <v/>
      </c>
      <c r="K89" s="45" t="str">
        <f>CONFERENCIAS!R89</f>
        <v/>
      </c>
      <c r="L89" s="45">
        <f>IF(D89="",0,
 IF(E89=1,
   IF(H89="Presencial",
      VLOOKUP(D89,TARIFAS!A:K,3,FALSE) + IF(I89="Sí",VLOOKUP(D89,TARIFAS!A:K,5,FALSE),0),
      VLOOKUP(D89,TARIFAS!A:K,4,FALSE) + IF(I89="Sí",VLOOKUP(D89,TARIFAS!A:K,5,FALSE),0)
   ),
   IF(H89="Presencial",
      VLOOKUP(D89,TARIFAS!A:K,9,FALSE) + IF(I89="Sí",VLOOKUP(D89,TARIFAS!A:K,11,FALSE),0),
      VLOOKUP(D89,TARIFAS!A:K,10,FALSE) + IF(I89="Sí",VLOOKUP(D89,TARIFAS!A:K,11,FALSE),0)
   )
 )
)
</f>
        <v>0</v>
      </c>
      <c r="M89" s="45">
        <f>IF(J89="",0,MAX(0,J89 - TARIFAS!G$2) * TARIFAS!F$2)
</f>
        <v>0</v>
      </c>
      <c r="N89" s="45">
        <f>+L89*TARIFAS!$K$2</f>
        <v>0</v>
      </c>
      <c r="O89" s="45">
        <f t="shared" si="1"/>
        <v>0</v>
      </c>
      <c r="P89" s="45">
        <f>+M89+O89+K89+(+I89-(I89*TARIFAS!$K$2))</f>
        <v>0</v>
      </c>
      <c r="Q89" s="42" t="str">
        <f>CONFERENCIAS!T89</f>
        <v/>
      </c>
      <c r="R89" s="45" t="str">
        <f>CONFERENCIAS!U89</f>
        <v/>
      </c>
      <c r="S89" s="45" t="str">
        <f>CONFERENCIAS!W89</f>
        <v/>
      </c>
      <c r="T89" s="48">
        <f>IF(Q89="",0,
   IF(E89=1,
      IF(H89="Presencial",
         VLOOKUP(D89,TARIFAS!A:K,3,FALSE) + IF(I89="Sí",VLOOKUP(D89,TARIFAS!A:K,5,FALSE),0),
         VLOOKUP(D89,TARIFAS!A:K,4,FALSE) + IF(I89="Sí",VLOOKUP(D89,TARIFAS!A:K,5,FALSE),0)
      ),
      IF(H89="Presencial",
         VLOOKUP(D89,TARIFAS!A:K,9,FALSE) + IF(I89="Sí",VLOOKUP(D89,TARIFAS!A:K,11,FALSE),0),
         VLOOKUP(D89,TARIFAS!A:K,10,FALSE) + IF(I89="Sí",VLOOKUP(D89,TARIFAS!A:K,11,FALSE),0)
      )
   )
)
</f>
        <v>0</v>
      </c>
      <c r="U89" s="45">
        <f>IF(R89="",0,MAX(0,R89 - TARIFAS!G$2) * TARIFAS!F$2)
</f>
        <v>0</v>
      </c>
      <c r="V89" s="45">
        <f>+T89*TARIFAS!$K$2</f>
        <v>0</v>
      </c>
      <c r="W89" s="45">
        <f t="shared" si="2"/>
        <v>0</v>
      </c>
      <c r="X89" s="45">
        <f t="shared" si="3"/>
        <v>0</v>
      </c>
      <c r="Y89" s="45">
        <f t="shared" si="4"/>
        <v>0</v>
      </c>
      <c r="Z89" s="42" t="str">
        <f>CONFERENCIAS!AB89</f>
        <v/>
      </c>
      <c r="AA89" s="42" t="str">
        <f>CONFERENCIAS!AC89</f>
        <v/>
      </c>
      <c r="AB89" s="47" t="str">
        <f t="shared" si="5"/>
        <v/>
      </c>
      <c r="AC89" s="9" t="str">
        <f t="shared" si="6"/>
        <v/>
      </c>
    </row>
    <row r="90">
      <c r="A90" s="42" t="str">
        <f>CONFERENCIAS!A90</f>
        <v/>
      </c>
      <c r="D90" s="42" t="str">
        <f>CONFERENCIAS!C90</f>
        <v/>
      </c>
      <c r="E90" s="42" t="str">
        <f>CONFERENCIAS!K90</f>
        <v/>
      </c>
      <c r="F90" s="49" t="str">
        <f>CONFERENCIAS!J90</f>
        <v/>
      </c>
      <c r="G90" s="42" t="str">
        <f>CONFERENCIAS!O90</f>
        <v/>
      </c>
      <c r="H90" s="42" t="str">
        <f>CONFERENCIAS!X90</f>
        <v/>
      </c>
      <c r="I90" s="42" t="str">
        <f>CONFERENCIAS!AA90</f>
        <v/>
      </c>
      <c r="J90" s="44" t="str">
        <f>CONFERENCIAS!P90</f>
        <v/>
      </c>
      <c r="K90" s="45" t="str">
        <f>CONFERENCIAS!R90</f>
        <v/>
      </c>
      <c r="L90" s="45">
        <f>IF(D90="",0,
 IF(E90=1,
   IF(H90="Presencial",
      VLOOKUP(D90,TARIFAS!A:K,3,FALSE) + IF(I90="Sí",VLOOKUP(D90,TARIFAS!A:K,5,FALSE),0),
      VLOOKUP(D90,TARIFAS!A:K,4,FALSE) + IF(I90="Sí",VLOOKUP(D90,TARIFAS!A:K,5,FALSE),0)
   ),
   IF(H90="Presencial",
      VLOOKUP(D90,TARIFAS!A:K,9,FALSE) + IF(I90="Sí",VLOOKUP(D90,TARIFAS!A:K,11,FALSE),0),
      VLOOKUP(D90,TARIFAS!A:K,10,FALSE) + IF(I90="Sí",VLOOKUP(D90,TARIFAS!A:K,11,FALSE),0)
   )
 )
)
</f>
        <v>0</v>
      </c>
      <c r="M90" s="45">
        <f>IF(J90="",0,MAX(0,J90 - TARIFAS!G$2) * TARIFAS!F$2)
</f>
        <v>0</v>
      </c>
      <c r="N90" s="45">
        <f>+L90*TARIFAS!$K$2</f>
        <v>0</v>
      </c>
      <c r="O90" s="45">
        <f t="shared" si="1"/>
        <v>0</v>
      </c>
      <c r="P90" s="45">
        <f>+M90+O90+K90+(+I90-(I90*TARIFAS!$K$2))</f>
        <v>0</v>
      </c>
      <c r="Q90" s="42" t="str">
        <f>CONFERENCIAS!T90</f>
        <v/>
      </c>
      <c r="R90" s="45" t="str">
        <f>CONFERENCIAS!U90</f>
        <v/>
      </c>
      <c r="S90" s="45" t="str">
        <f>CONFERENCIAS!W90</f>
        <v/>
      </c>
      <c r="T90" s="48">
        <f>IF(Q90="",0,
   IF(E90=1,
      IF(H90="Presencial",
         VLOOKUP(D90,TARIFAS!A:K,3,FALSE) + IF(I90="Sí",VLOOKUP(D90,TARIFAS!A:K,5,FALSE),0),
         VLOOKUP(D90,TARIFAS!A:K,4,FALSE) + IF(I90="Sí",VLOOKUP(D90,TARIFAS!A:K,5,FALSE),0)
      ),
      IF(H90="Presencial",
         VLOOKUP(D90,TARIFAS!A:K,9,FALSE) + IF(I90="Sí",VLOOKUP(D90,TARIFAS!A:K,11,FALSE),0),
         VLOOKUP(D90,TARIFAS!A:K,10,FALSE) + IF(I90="Sí",VLOOKUP(D90,TARIFAS!A:K,11,FALSE),0)
      )
   )
)
</f>
        <v>0</v>
      </c>
      <c r="U90" s="45">
        <f>IF(R90="",0,MAX(0,R90 - TARIFAS!G$2) * TARIFAS!F$2)
</f>
        <v>0</v>
      </c>
      <c r="V90" s="45">
        <f>+T90*TARIFAS!$K$2</f>
        <v>0</v>
      </c>
      <c r="W90" s="45">
        <f t="shared" si="2"/>
        <v>0</v>
      </c>
      <c r="X90" s="45">
        <f t="shared" si="3"/>
        <v>0</v>
      </c>
      <c r="Y90" s="45">
        <f t="shared" si="4"/>
        <v>0</v>
      </c>
      <c r="Z90" s="42" t="str">
        <f>CONFERENCIAS!AB90</f>
        <v/>
      </c>
      <c r="AA90" s="42" t="str">
        <f>CONFERENCIAS!AC90</f>
        <v/>
      </c>
      <c r="AB90" s="47" t="str">
        <f t="shared" si="5"/>
        <v/>
      </c>
      <c r="AC90" s="9" t="str">
        <f t="shared" si="6"/>
        <v/>
      </c>
    </row>
    <row r="91">
      <c r="A91" s="42" t="str">
        <f>CONFERENCIAS!A91</f>
        <v/>
      </c>
      <c r="D91" s="42" t="str">
        <f>CONFERENCIAS!C91</f>
        <v/>
      </c>
      <c r="E91" s="42" t="str">
        <f>CONFERENCIAS!K91</f>
        <v/>
      </c>
      <c r="F91" s="49" t="str">
        <f>CONFERENCIAS!J91</f>
        <v/>
      </c>
      <c r="G91" s="42" t="str">
        <f>CONFERENCIAS!O91</f>
        <v/>
      </c>
      <c r="H91" s="42" t="str">
        <f>CONFERENCIAS!X91</f>
        <v/>
      </c>
      <c r="I91" s="42" t="str">
        <f>CONFERENCIAS!AA91</f>
        <v/>
      </c>
      <c r="J91" s="44" t="str">
        <f>CONFERENCIAS!P91</f>
        <v/>
      </c>
      <c r="K91" s="45" t="str">
        <f>CONFERENCIAS!R91</f>
        <v/>
      </c>
      <c r="L91" s="45">
        <f>IF(D91="",0,
 IF(E91=1,
   IF(H91="Presencial",
      VLOOKUP(D91,TARIFAS!A:K,3,FALSE) + IF(I91="Sí",VLOOKUP(D91,TARIFAS!A:K,5,FALSE),0),
      VLOOKUP(D91,TARIFAS!A:K,4,FALSE) + IF(I91="Sí",VLOOKUP(D91,TARIFAS!A:K,5,FALSE),0)
   ),
   IF(H91="Presencial",
      VLOOKUP(D91,TARIFAS!A:K,9,FALSE) + IF(I91="Sí",VLOOKUP(D91,TARIFAS!A:K,11,FALSE),0),
      VLOOKUP(D91,TARIFAS!A:K,10,FALSE) + IF(I91="Sí",VLOOKUP(D91,TARIFAS!A:K,11,FALSE),0)
   )
 )
)
</f>
        <v>0</v>
      </c>
      <c r="M91" s="45">
        <f>IF(J91="",0,MAX(0,J91 - TARIFAS!G$2) * TARIFAS!F$2)
</f>
        <v>0</v>
      </c>
      <c r="N91" s="45">
        <f>+L91*TARIFAS!$K$2</f>
        <v>0</v>
      </c>
      <c r="O91" s="45">
        <f t="shared" si="1"/>
        <v>0</v>
      </c>
      <c r="P91" s="45">
        <f>+M91+O91+K91+(+I91-(I91*TARIFAS!$K$2))</f>
        <v>0</v>
      </c>
      <c r="Q91" s="42" t="str">
        <f>CONFERENCIAS!T91</f>
        <v/>
      </c>
      <c r="R91" s="45" t="str">
        <f>CONFERENCIAS!U91</f>
        <v/>
      </c>
      <c r="S91" s="45" t="str">
        <f>CONFERENCIAS!W91</f>
        <v/>
      </c>
      <c r="T91" s="48">
        <f>IF(Q91="",0,
   IF(E91=1,
      IF(H91="Presencial",
         VLOOKUP(D91,TARIFAS!A:K,3,FALSE) + IF(I91="Sí",VLOOKUP(D91,TARIFAS!A:K,5,FALSE),0),
         VLOOKUP(D91,TARIFAS!A:K,4,FALSE) + IF(I91="Sí",VLOOKUP(D91,TARIFAS!A:K,5,FALSE),0)
      ),
      IF(H91="Presencial",
         VLOOKUP(D91,TARIFAS!A:K,9,FALSE) + IF(I91="Sí",VLOOKUP(D91,TARIFAS!A:K,11,FALSE),0),
         VLOOKUP(D91,TARIFAS!A:K,10,FALSE) + IF(I91="Sí",VLOOKUP(D91,TARIFAS!A:K,11,FALSE),0)
      )
   )
)
</f>
        <v>0</v>
      </c>
      <c r="U91" s="45">
        <f>IF(R91="",0,MAX(0,R91 - TARIFAS!G$2) * TARIFAS!F$2)
</f>
        <v>0</v>
      </c>
      <c r="V91" s="45">
        <f>+T91*TARIFAS!$K$2</f>
        <v>0</v>
      </c>
      <c r="W91" s="45">
        <f t="shared" si="2"/>
        <v>0</v>
      </c>
      <c r="X91" s="45">
        <f t="shared" si="3"/>
        <v>0</v>
      </c>
      <c r="Y91" s="45">
        <f t="shared" si="4"/>
        <v>0</v>
      </c>
      <c r="Z91" s="42" t="str">
        <f>CONFERENCIAS!AB91</f>
        <v/>
      </c>
      <c r="AA91" s="42" t="str">
        <f>CONFERENCIAS!AC91</f>
        <v/>
      </c>
      <c r="AB91" s="47" t="str">
        <f t="shared" si="5"/>
        <v/>
      </c>
      <c r="AC91" s="9" t="str">
        <f t="shared" si="6"/>
        <v/>
      </c>
    </row>
    <row r="92">
      <c r="A92" s="42" t="str">
        <f>CONFERENCIAS!A92</f>
        <v/>
      </c>
      <c r="D92" s="42" t="str">
        <f>CONFERENCIAS!C92</f>
        <v/>
      </c>
      <c r="E92" s="42" t="str">
        <f>CONFERENCIAS!K92</f>
        <v/>
      </c>
      <c r="F92" s="49" t="str">
        <f>CONFERENCIAS!J92</f>
        <v/>
      </c>
      <c r="G92" s="42" t="str">
        <f>CONFERENCIAS!O92</f>
        <v/>
      </c>
      <c r="H92" s="42" t="str">
        <f>CONFERENCIAS!X92</f>
        <v/>
      </c>
      <c r="I92" s="42" t="str">
        <f>CONFERENCIAS!AA92</f>
        <v/>
      </c>
      <c r="J92" s="44" t="str">
        <f>CONFERENCIAS!P92</f>
        <v/>
      </c>
      <c r="K92" s="45" t="str">
        <f>CONFERENCIAS!R92</f>
        <v/>
      </c>
      <c r="L92" s="45">
        <f>IF(D92="",0,
 IF(E92=1,
   IF(H92="Presencial",
      VLOOKUP(D92,TARIFAS!A:K,3,FALSE) + IF(I92="Sí",VLOOKUP(D92,TARIFAS!A:K,5,FALSE),0),
      VLOOKUP(D92,TARIFAS!A:K,4,FALSE) + IF(I92="Sí",VLOOKUP(D92,TARIFAS!A:K,5,FALSE),0)
   ),
   IF(H92="Presencial",
      VLOOKUP(D92,TARIFAS!A:K,9,FALSE) + IF(I92="Sí",VLOOKUP(D92,TARIFAS!A:K,11,FALSE),0),
      VLOOKUP(D92,TARIFAS!A:K,10,FALSE) + IF(I92="Sí",VLOOKUP(D92,TARIFAS!A:K,11,FALSE),0)
   )
 )
)
</f>
        <v>0</v>
      </c>
      <c r="M92" s="45">
        <f>IF(J92="",0,MAX(0,J92 - TARIFAS!G$2) * TARIFAS!F$2)
</f>
        <v>0</v>
      </c>
      <c r="N92" s="45">
        <f>+L92*TARIFAS!$K$2</f>
        <v>0</v>
      </c>
      <c r="O92" s="45">
        <f t="shared" si="1"/>
        <v>0</v>
      </c>
      <c r="P92" s="45">
        <f>+M92+O92+K92+(+I92-(I92*TARIFAS!$K$2))</f>
        <v>0</v>
      </c>
      <c r="Q92" s="42" t="str">
        <f>CONFERENCIAS!T92</f>
        <v/>
      </c>
      <c r="R92" s="45" t="str">
        <f>CONFERENCIAS!U92</f>
        <v/>
      </c>
      <c r="S92" s="45" t="str">
        <f>CONFERENCIAS!W92</f>
        <v/>
      </c>
      <c r="T92" s="48">
        <f>IF(Q92="",0,
   IF(E92=1,
      IF(H92="Presencial",
         VLOOKUP(D92,TARIFAS!A:K,3,FALSE) + IF(I92="Sí",VLOOKUP(D92,TARIFAS!A:K,5,FALSE),0),
         VLOOKUP(D92,TARIFAS!A:K,4,FALSE) + IF(I92="Sí",VLOOKUP(D92,TARIFAS!A:K,5,FALSE),0)
      ),
      IF(H92="Presencial",
         VLOOKUP(D92,TARIFAS!A:K,9,FALSE) + IF(I92="Sí",VLOOKUP(D92,TARIFAS!A:K,11,FALSE),0),
         VLOOKUP(D92,TARIFAS!A:K,10,FALSE) + IF(I92="Sí",VLOOKUP(D92,TARIFAS!A:K,11,FALSE),0)
      )
   )
)
</f>
        <v>0</v>
      </c>
      <c r="U92" s="45">
        <f>IF(R92="",0,MAX(0,R92 - TARIFAS!G$2) * TARIFAS!F$2)
</f>
        <v>0</v>
      </c>
      <c r="V92" s="45">
        <f>+T92*TARIFAS!$K$2</f>
        <v>0</v>
      </c>
      <c r="W92" s="45">
        <f t="shared" si="2"/>
        <v>0</v>
      </c>
      <c r="X92" s="45">
        <f t="shared" si="3"/>
        <v>0</v>
      </c>
      <c r="Y92" s="45">
        <f t="shared" si="4"/>
        <v>0</v>
      </c>
      <c r="Z92" s="42" t="str">
        <f>CONFERENCIAS!AB92</f>
        <v/>
      </c>
      <c r="AA92" s="42" t="str">
        <f>CONFERENCIAS!AC92</f>
        <v/>
      </c>
      <c r="AB92" s="47" t="str">
        <f t="shared" si="5"/>
        <v/>
      </c>
      <c r="AC92" s="9" t="str">
        <f t="shared" si="6"/>
        <v/>
      </c>
    </row>
    <row r="93">
      <c r="A93" s="42" t="str">
        <f>CONFERENCIAS!A93</f>
        <v/>
      </c>
      <c r="D93" s="42" t="str">
        <f>CONFERENCIAS!C93</f>
        <v/>
      </c>
      <c r="E93" s="42" t="str">
        <f>CONFERENCIAS!K93</f>
        <v/>
      </c>
      <c r="F93" s="49" t="str">
        <f>CONFERENCIAS!J93</f>
        <v/>
      </c>
      <c r="G93" s="42" t="str">
        <f>CONFERENCIAS!O93</f>
        <v/>
      </c>
      <c r="H93" s="42" t="str">
        <f>CONFERENCIAS!X93</f>
        <v/>
      </c>
      <c r="I93" s="42" t="str">
        <f>CONFERENCIAS!AA93</f>
        <v/>
      </c>
      <c r="J93" s="44" t="str">
        <f>CONFERENCIAS!P93</f>
        <v/>
      </c>
      <c r="K93" s="45" t="str">
        <f>CONFERENCIAS!R93</f>
        <v/>
      </c>
      <c r="L93" s="45">
        <f>IF(D93="",0,
 IF(E93=1,
   IF(H93="Presencial",
      VLOOKUP(D93,TARIFAS!A:K,3,FALSE) + IF(I93="Sí",VLOOKUP(D93,TARIFAS!A:K,5,FALSE),0),
      VLOOKUP(D93,TARIFAS!A:K,4,FALSE) + IF(I93="Sí",VLOOKUP(D93,TARIFAS!A:K,5,FALSE),0)
   ),
   IF(H93="Presencial",
      VLOOKUP(D93,TARIFAS!A:K,9,FALSE) + IF(I93="Sí",VLOOKUP(D93,TARIFAS!A:K,11,FALSE),0),
      VLOOKUP(D93,TARIFAS!A:K,10,FALSE) + IF(I93="Sí",VLOOKUP(D93,TARIFAS!A:K,11,FALSE),0)
   )
 )
)
</f>
        <v>0</v>
      </c>
      <c r="M93" s="45">
        <f>IF(J93="",0,MAX(0,J93 - TARIFAS!G$2) * TARIFAS!F$2)
</f>
        <v>0</v>
      </c>
      <c r="N93" s="45">
        <f>+L93*TARIFAS!$K$2</f>
        <v>0</v>
      </c>
      <c r="O93" s="45">
        <f t="shared" si="1"/>
        <v>0</v>
      </c>
      <c r="P93" s="45">
        <f>+M93+O93+K93+(+I93-(I93*TARIFAS!$K$2))</f>
        <v>0</v>
      </c>
      <c r="Q93" s="42" t="str">
        <f>CONFERENCIAS!T93</f>
        <v/>
      </c>
      <c r="R93" s="45" t="str">
        <f>CONFERENCIAS!U93</f>
        <v/>
      </c>
      <c r="S93" s="45" t="str">
        <f>CONFERENCIAS!W93</f>
        <v/>
      </c>
      <c r="T93" s="48">
        <f>IF(Q93="",0,
   IF(E93=1,
      IF(H93="Presencial",
         VLOOKUP(D93,TARIFAS!A:K,3,FALSE) + IF(I93="Sí",VLOOKUP(D93,TARIFAS!A:K,5,FALSE),0),
         VLOOKUP(D93,TARIFAS!A:K,4,FALSE) + IF(I93="Sí",VLOOKUP(D93,TARIFAS!A:K,5,FALSE),0)
      ),
      IF(H93="Presencial",
         VLOOKUP(D93,TARIFAS!A:K,9,FALSE) + IF(I93="Sí",VLOOKUP(D93,TARIFAS!A:K,11,FALSE),0),
         VLOOKUP(D93,TARIFAS!A:K,10,FALSE) + IF(I93="Sí",VLOOKUP(D93,TARIFAS!A:K,11,FALSE),0)
      )
   )
)
</f>
        <v>0</v>
      </c>
      <c r="U93" s="45">
        <f>IF(R93="",0,MAX(0,R93 - TARIFAS!G$2) * TARIFAS!F$2)
</f>
        <v>0</v>
      </c>
      <c r="V93" s="45">
        <f>+T93*TARIFAS!$K$2</f>
        <v>0</v>
      </c>
      <c r="W93" s="45">
        <f t="shared" si="2"/>
        <v>0</v>
      </c>
      <c r="X93" s="45">
        <f t="shared" si="3"/>
        <v>0</v>
      </c>
      <c r="Y93" s="45">
        <f t="shared" si="4"/>
        <v>0</v>
      </c>
      <c r="Z93" s="42" t="str">
        <f>CONFERENCIAS!AB93</f>
        <v/>
      </c>
      <c r="AA93" s="42" t="str">
        <f>CONFERENCIAS!AC93</f>
        <v/>
      </c>
      <c r="AB93" s="47" t="str">
        <f t="shared" si="5"/>
        <v/>
      </c>
      <c r="AC93" s="9" t="str">
        <f t="shared" si="6"/>
        <v/>
      </c>
    </row>
    <row r="94">
      <c r="A94" s="42" t="str">
        <f>CONFERENCIAS!A94</f>
        <v/>
      </c>
      <c r="D94" s="42" t="str">
        <f>CONFERENCIAS!C94</f>
        <v/>
      </c>
      <c r="E94" s="42" t="str">
        <f>CONFERENCIAS!K94</f>
        <v/>
      </c>
      <c r="F94" s="49" t="str">
        <f>CONFERENCIAS!J94</f>
        <v/>
      </c>
      <c r="G94" s="42" t="str">
        <f>CONFERENCIAS!O94</f>
        <v/>
      </c>
      <c r="H94" s="42" t="str">
        <f>CONFERENCIAS!X94</f>
        <v/>
      </c>
      <c r="I94" s="42" t="str">
        <f>CONFERENCIAS!AA94</f>
        <v/>
      </c>
      <c r="J94" s="44" t="str">
        <f>CONFERENCIAS!P94</f>
        <v/>
      </c>
      <c r="K94" s="45" t="str">
        <f>CONFERENCIAS!R94</f>
        <v/>
      </c>
      <c r="L94" s="45">
        <f>IF(D94="",0,
 IF(E94=1,
   IF(H94="Presencial",
      VLOOKUP(D94,TARIFAS!A:K,3,FALSE) + IF(I94="Sí",VLOOKUP(D94,TARIFAS!A:K,5,FALSE),0),
      VLOOKUP(D94,TARIFAS!A:K,4,FALSE) + IF(I94="Sí",VLOOKUP(D94,TARIFAS!A:K,5,FALSE),0)
   ),
   IF(H94="Presencial",
      VLOOKUP(D94,TARIFAS!A:K,9,FALSE) + IF(I94="Sí",VLOOKUP(D94,TARIFAS!A:K,11,FALSE),0),
      VLOOKUP(D94,TARIFAS!A:K,10,FALSE) + IF(I94="Sí",VLOOKUP(D94,TARIFAS!A:K,11,FALSE),0)
   )
 )
)
</f>
        <v>0</v>
      </c>
      <c r="M94" s="45">
        <f>IF(J94="",0,MAX(0,J94 - TARIFAS!G$2) * TARIFAS!F$2)
</f>
        <v>0</v>
      </c>
      <c r="N94" s="45">
        <f>+L94*TARIFAS!$K$2</f>
        <v>0</v>
      </c>
      <c r="O94" s="45">
        <f t="shared" si="1"/>
        <v>0</v>
      </c>
      <c r="P94" s="45">
        <f>+M94+O94+K94+(+I94-(I94*TARIFAS!$K$2))</f>
        <v>0</v>
      </c>
      <c r="Q94" s="42" t="str">
        <f>CONFERENCIAS!T94</f>
        <v/>
      </c>
      <c r="R94" s="45" t="str">
        <f>CONFERENCIAS!U94</f>
        <v/>
      </c>
      <c r="S94" s="45" t="str">
        <f>CONFERENCIAS!W94</f>
        <v/>
      </c>
      <c r="T94" s="48">
        <f>IF(Q94="",0,
   IF(E94=1,
      IF(H94="Presencial",
         VLOOKUP(D94,TARIFAS!A:K,3,FALSE) + IF(I94="Sí",VLOOKUP(D94,TARIFAS!A:K,5,FALSE),0),
         VLOOKUP(D94,TARIFAS!A:K,4,FALSE) + IF(I94="Sí",VLOOKUP(D94,TARIFAS!A:K,5,FALSE),0)
      ),
      IF(H94="Presencial",
         VLOOKUP(D94,TARIFAS!A:K,9,FALSE) + IF(I94="Sí",VLOOKUP(D94,TARIFAS!A:K,11,FALSE),0),
         VLOOKUP(D94,TARIFAS!A:K,10,FALSE) + IF(I94="Sí",VLOOKUP(D94,TARIFAS!A:K,11,FALSE),0)
      )
   )
)
</f>
        <v>0</v>
      </c>
      <c r="U94" s="45">
        <f>IF(R94="",0,MAX(0,R94 - TARIFAS!G$2) * TARIFAS!F$2)
</f>
        <v>0</v>
      </c>
      <c r="V94" s="45">
        <f>+T94*TARIFAS!$K$2</f>
        <v>0</v>
      </c>
      <c r="W94" s="45">
        <f t="shared" si="2"/>
        <v>0</v>
      </c>
      <c r="X94" s="45">
        <f t="shared" si="3"/>
        <v>0</v>
      </c>
      <c r="Y94" s="45">
        <f t="shared" si="4"/>
        <v>0</v>
      </c>
      <c r="Z94" s="42" t="str">
        <f>CONFERENCIAS!AB94</f>
        <v/>
      </c>
      <c r="AA94" s="42" t="str">
        <f>CONFERENCIAS!AC94</f>
        <v/>
      </c>
      <c r="AB94" s="47" t="str">
        <f t="shared" si="5"/>
        <v/>
      </c>
      <c r="AC94" s="9" t="str">
        <f t="shared" si="6"/>
        <v/>
      </c>
    </row>
    <row r="95">
      <c r="A95" s="42" t="str">
        <f>CONFERENCIAS!A95</f>
        <v/>
      </c>
      <c r="D95" s="42" t="str">
        <f>CONFERENCIAS!C95</f>
        <v/>
      </c>
      <c r="E95" s="42" t="str">
        <f>CONFERENCIAS!K95</f>
        <v/>
      </c>
      <c r="F95" s="49" t="str">
        <f>CONFERENCIAS!J95</f>
        <v/>
      </c>
      <c r="G95" s="42" t="str">
        <f>CONFERENCIAS!O95</f>
        <v/>
      </c>
      <c r="H95" s="42" t="str">
        <f>CONFERENCIAS!X95</f>
        <v/>
      </c>
      <c r="I95" s="42" t="str">
        <f>CONFERENCIAS!AA95</f>
        <v/>
      </c>
      <c r="J95" s="44" t="str">
        <f>CONFERENCIAS!P95</f>
        <v/>
      </c>
      <c r="K95" s="45" t="str">
        <f>CONFERENCIAS!R95</f>
        <v/>
      </c>
      <c r="L95" s="45">
        <f>IF(D95="",0,
 IF(E95=1,
   IF(H95="Presencial",
      VLOOKUP(D95,TARIFAS!A:K,3,FALSE) + IF(I95="Sí",VLOOKUP(D95,TARIFAS!A:K,5,FALSE),0),
      VLOOKUP(D95,TARIFAS!A:K,4,FALSE) + IF(I95="Sí",VLOOKUP(D95,TARIFAS!A:K,5,FALSE),0)
   ),
   IF(H95="Presencial",
      VLOOKUP(D95,TARIFAS!A:K,9,FALSE) + IF(I95="Sí",VLOOKUP(D95,TARIFAS!A:K,11,FALSE),0),
      VLOOKUP(D95,TARIFAS!A:K,10,FALSE) + IF(I95="Sí",VLOOKUP(D95,TARIFAS!A:K,11,FALSE),0)
   )
 )
)
</f>
        <v>0</v>
      </c>
      <c r="M95" s="45">
        <f>IF(J95="",0,MAX(0,J95 - TARIFAS!G$2) * TARIFAS!F$2)
</f>
        <v>0</v>
      </c>
      <c r="N95" s="45">
        <f>+L95*TARIFAS!$K$2</f>
        <v>0</v>
      </c>
      <c r="O95" s="45">
        <f t="shared" si="1"/>
        <v>0</v>
      </c>
      <c r="P95" s="45">
        <f>+M95+O95+K95+(+I95-(I95*TARIFAS!$K$2))</f>
        <v>0</v>
      </c>
      <c r="Q95" s="42" t="str">
        <f>CONFERENCIAS!T95</f>
        <v/>
      </c>
      <c r="R95" s="45" t="str">
        <f>CONFERENCIAS!U95</f>
        <v/>
      </c>
      <c r="S95" s="45" t="str">
        <f>CONFERENCIAS!W95</f>
        <v/>
      </c>
      <c r="T95" s="48">
        <f>IF(Q95="",0,
   IF(E95=1,
      IF(H95="Presencial",
         VLOOKUP(D95,TARIFAS!A:K,3,FALSE) + IF(I95="Sí",VLOOKUP(D95,TARIFAS!A:K,5,FALSE),0),
         VLOOKUP(D95,TARIFAS!A:K,4,FALSE) + IF(I95="Sí",VLOOKUP(D95,TARIFAS!A:K,5,FALSE),0)
      ),
      IF(H95="Presencial",
         VLOOKUP(D95,TARIFAS!A:K,9,FALSE) + IF(I95="Sí",VLOOKUP(D95,TARIFAS!A:K,11,FALSE),0),
         VLOOKUP(D95,TARIFAS!A:K,10,FALSE) + IF(I95="Sí",VLOOKUP(D95,TARIFAS!A:K,11,FALSE),0)
      )
   )
)
</f>
        <v>0</v>
      </c>
      <c r="U95" s="45">
        <f>IF(R95="",0,MAX(0,R95 - TARIFAS!G$2) * TARIFAS!F$2)
</f>
        <v>0</v>
      </c>
      <c r="V95" s="45">
        <f>+T95*TARIFAS!$K$2</f>
        <v>0</v>
      </c>
      <c r="W95" s="45">
        <f t="shared" si="2"/>
        <v>0</v>
      </c>
      <c r="X95" s="45">
        <f t="shared" si="3"/>
        <v>0</v>
      </c>
      <c r="Y95" s="45">
        <f t="shared" si="4"/>
        <v>0</v>
      </c>
      <c r="Z95" s="42" t="str">
        <f>CONFERENCIAS!AB95</f>
        <v/>
      </c>
      <c r="AA95" s="42" t="str">
        <f>CONFERENCIAS!AC95</f>
        <v/>
      </c>
      <c r="AB95" s="47" t="str">
        <f t="shared" si="5"/>
        <v/>
      </c>
      <c r="AC95" s="9" t="str">
        <f t="shared" si="6"/>
        <v/>
      </c>
    </row>
    <row r="96">
      <c r="A96" s="42" t="str">
        <f>CONFERENCIAS!A96</f>
        <v/>
      </c>
      <c r="D96" s="42" t="str">
        <f>CONFERENCIAS!C96</f>
        <v/>
      </c>
      <c r="E96" s="42" t="str">
        <f>CONFERENCIAS!K96</f>
        <v/>
      </c>
      <c r="F96" s="49" t="str">
        <f>CONFERENCIAS!J96</f>
        <v/>
      </c>
      <c r="G96" s="42" t="str">
        <f>CONFERENCIAS!O96</f>
        <v/>
      </c>
      <c r="H96" s="42" t="str">
        <f>CONFERENCIAS!X96</f>
        <v/>
      </c>
      <c r="I96" s="42" t="str">
        <f>CONFERENCIAS!AA96</f>
        <v/>
      </c>
      <c r="J96" s="44" t="str">
        <f>CONFERENCIAS!P96</f>
        <v/>
      </c>
      <c r="K96" s="45" t="str">
        <f>CONFERENCIAS!R96</f>
        <v/>
      </c>
      <c r="L96" s="45">
        <f>IF(D96="",0,
 IF(E96=1,
   IF(H96="Presencial",
      VLOOKUP(D96,TARIFAS!A:K,3,FALSE) + IF(I96="Sí",VLOOKUP(D96,TARIFAS!A:K,5,FALSE),0),
      VLOOKUP(D96,TARIFAS!A:K,4,FALSE) + IF(I96="Sí",VLOOKUP(D96,TARIFAS!A:K,5,FALSE),0)
   ),
   IF(H96="Presencial",
      VLOOKUP(D96,TARIFAS!A:K,9,FALSE) + IF(I96="Sí",VLOOKUP(D96,TARIFAS!A:K,11,FALSE),0),
      VLOOKUP(D96,TARIFAS!A:K,10,FALSE) + IF(I96="Sí",VLOOKUP(D96,TARIFAS!A:K,11,FALSE),0)
   )
 )
)
</f>
        <v>0</v>
      </c>
      <c r="M96" s="45">
        <f>IF(J96="",0,MAX(0,J96 - TARIFAS!G$2) * TARIFAS!F$2)
</f>
        <v>0</v>
      </c>
      <c r="N96" s="45">
        <f>+L96*TARIFAS!$K$2</f>
        <v>0</v>
      </c>
      <c r="O96" s="45">
        <f t="shared" si="1"/>
        <v>0</v>
      </c>
      <c r="P96" s="45">
        <f>+M96+O96+K96+(+I96-(I96*TARIFAS!$K$2))</f>
        <v>0</v>
      </c>
      <c r="Q96" s="42" t="str">
        <f>CONFERENCIAS!T96</f>
        <v/>
      </c>
      <c r="R96" s="45" t="str">
        <f>CONFERENCIAS!U96</f>
        <v/>
      </c>
      <c r="S96" s="45" t="str">
        <f>CONFERENCIAS!W96</f>
        <v/>
      </c>
      <c r="T96" s="48">
        <f>IF(Q96="",0,
   IF(E96=1,
      IF(H96="Presencial",
         VLOOKUP(D96,TARIFAS!A:K,3,FALSE) + IF(I96="Sí",VLOOKUP(D96,TARIFAS!A:K,5,FALSE),0),
         VLOOKUP(D96,TARIFAS!A:K,4,FALSE) + IF(I96="Sí",VLOOKUP(D96,TARIFAS!A:K,5,FALSE),0)
      ),
      IF(H96="Presencial",
         VLOOKUP(D96,TARIFAS!A:K,9,FALSE) + IF(I96="Sí",VLOOKUP(D96,TARIFAS!A:K,11,FALSE),0),
         VLOOKUP(D96,TARIFAS!A:K,10,FALSE) + IF(I96="Sí",VLOOKUP(D96,TARIFAS!A:K,11,FALSE),0)
      )
   )
)
</f>
        <v>0</v>
      </c>
      <c r="U96" s="45">
        <f>IF(R96="",0,MAX(0,R96 - TARIFAS!G$2) * TARIFAS!F$2)
</f>
        <v>0</v>
      </c>
      <c r="V96" s="45">
        <f>+T96*TARIFAS!$K$2</f>
        <v>0</v>
      </c>
      <c r="W96" s="45">
        <f t="shared" si="2"/>
        <v>0</v>
      </c>
      <c r="X96" s="45">
        <f t="shared" si="3"/>
        <v>0</v>
      </c>
      <c r="Y96" s="45">
        <f t="shared" si="4"/>
        <v>0</v>
      </c>
      <c r="Z96" s="42" t="str">
        <f>CONFERENCIAS!AB96</f>
        <v/>
      </c>
      <c r="AA96" s="42" t="str">
        <f>CONFERENCIAS!AC96</f>
        <v/>
      </c>
      <c r="AB96" s="47" t="str">
        <f t="shared" si="5"/>
        <v/>
      </c>
      <c r="AC96" s="9" t="str">
        <f t="shared" si="6"/>
        <v/>
      </c>
    </row>
    <row r="97">
      <c r="A97" s="42" t="str">
        <f>CONFERENCIAS!A97</f>
        <v/>
      </c>
      <c r="D97" s="42" t="str">
        <f>CONFERENCIAS!C97</f>
        <v/>
      </c>
      <c r="E97" s="42" t="str">
        <f>CONFERENCIAS!K97</f>
        <v/>
      </c>
      <c r="F97" s="49" t="str">
        <f>CONFERENCIAS!J97</f>
        <v/>
      </c>
      <c r="G97" s="42" t="str">
        <f>CONFERENCIAS!O97</f>
        <v/>
      </c>
      <c r="H97" s="42" t="str">
        <f>CONFERENCIAS!X97</f>
        <v/>
      </c>
      <c r="I97" s="42" t="str">
        <f>CONFERENCIAS!AA97</f>
        <v/>
      </c>
      <c r="J97" s="44" t="str">
        <f>CONFERENCIAS!P97</f>
        <v/>
      </c>
      <c r="K97" s="45" t="str">
        <f>CONFERENCIAS!R97</f>
        <v/>
      </c>
      <c r="L97" s="45">
        <f>IF(D97="",0,
 IF(E97=1,
   IF(H97="Presencial",
      VLOOKUP(D97,TARIFAS!A:K,3,FALSE) + IF(I97="Sí",VLOOKUP(D97,TARIFAS!A:K,5,FALSE),0),
      VLOOKUP(D97,TARIFAS!A:K,4,FALSE) + IF(I97="Sí",VLOOKUP(D97,TARIFAS!A:K,5,FALSE),0)
   ),
   IF(H97="Presencial",
      VLOOKUP(D97,TARIFAS!A:K,9,FALSE) + IF(I97="Sí",VLOOKUP(D97,TARIFAS!A:K,11,FALSE),0),
      VLOOKUP(D97,TARIFAS!A:K,10,FALSE) + IF(I97="Sí",VLOOKUP(D97,TARIFAS!A:K,11,FALSE),0)
   )
 )
)
</f>
        <v>0</v>
      </c>
      <c r="M97" s="45">
        <f>IF(J97="",0,MAX(0,J97 - TARIFAS!G$2) * TARIFAS!F$2)
</f>
        <v>0</v>
      </c>
      <c r="N97" s="45">
        <f>+L97*TARIFAS!$K$2</f>
        <v>0</v>
      </c>
      <c r="O97" s="45">
        <f t="shared" si="1"/>
        <v>0</v>
      </c>
      <c r="P97" s="45">
        <f>+M97+O97+K97+(+I97-(I97*TARIFAS!$K$2))</f>
        <v>0</v>
      </c>
      <c r="Q97" s="42" t="str">
        <f>CONFERENCIAS!T97</f>
        <v/>
      </c>
      <c r="R97" s="45" t="str">
        <f>CONFERENCIAS!U97</f>
        <v/>
      </c>
      <c r="S97" s="45" t="str">
        <f>CONFERENCIAS!W97</f>
        <v/>
      </c>
      <c r="T97" s="48">
        <f>IF(Q97="",0,
   IF(E97=1,
      IF(H97="Presencial",
         VLOOKUP(D97,TARIFAS!A:K,3,FALSE) + IF(I97="Sí",VLOOKUP(D97,TARIFAS!A:K,5,FALSE),0),
         VLOOKUP(D97,TARIFAS!A:K,4,FALSE) + IF(I97="Sí",VLOOKUP(D97,TARIFAS!A:K,5,FALSE),0)
      ),
      IF(H97="Presencial",
         VLOOKUP(D97,TARIFAS!A:K,9,FALSE) + IF(I97="Sí",VLOOKUP(D97,TARIFAS!A:K,11,FALSE),0),
         VLOOKUP(D97,TARIFAS!A:K,10,FALSE) + IF(I97="Sí",VLOOKUP(D97,TARIFAS!A:K,11,FALSE),0)
      )
   )
)
</f>
        <v>0</v>
      </c>
      <c r="U97" s="45">
        <f>IF(R97="",0,MAX(0,R97 - TARIFAS!G$2) * TARIFAS!F$2)
</f>
        <v>0</v>
      </c>
      <c r="V97" s="45">
        <f>+T97*TARIFAS!$K$2</f>
        <v>0</v>
      </c>
      <c r="W97" s="45">
        <f t="shared" si="2"/>
        <v>0</v>
      </c>
      <c r="X97" s="45">
        <f t="shared" si="3"/>
        <v>0</v>
      </c>
      <c r="Y97" s="45">
        <f t="shared" si="4"/>
        <v>0</v>
      </c>
      <c r="Z97" s="42" t="str">
        <f>CONFERENCIAS!AB97</f>
        <v/>
      </c>
      <c r="AA97" s="42" t="str">
        <f>CONFERENCIAS!AC97</f>
        <v/>
      </c>
      <c r="AB97" s="47" t="str">
        <f t="shared" si="5"/>
        <v/>
      </c>
      <c r="AC97" s="9" t="str">
        <f t="shared" si="6"/>
        <v/>
      </c>
    </row>
    <row r="98">
      <c r="A98" s="42" t="str">
        <f>CONFERENCIAS!A98</f>
        <v/>
      </c>
      <c r="D98" s="42" t="str">
        <f>CONFERENCIAS!C98</f>
        <v/>
      </c>
      <c r="E98" s="42" t="str">
        <f>CONFERENCIAS!K98</f>
        <v/>
      </c>
      <c r="F98" s="49" t="str">
        <f>CONFERENCIAS!J98</f>
        <v/>
      </c>
      <c r="G98" s="42" t="str">
        <f>CONFERENCIAS!O98</f>
        <v/>
      </c>
      <c r="H98" s="42" t="str">
        <f>CONFERENCIAS!X98</f>
        <v/>
      </c>
      <c r="I98" s="42" t="str">
        <f>CONFERENCIAS!AA98</f>
        <v/>
      </c>
      <c r="J98" s="44" t="str">
        <f>CONFERENCIAS!P98</f>
        <v/>
      </c>
      <c r="K98" s="45" t="str">
        <f>CONFERENCIAS!R98</f>
        <v/>
      </c>
      <c r="L98" s="45">
        <f>IF(D98="",0,
 IF(E98=1,
   IF(H98="Presencial",
      VLOOKUP(D98,TARIFAS!A:K,3,FALSE) + IF(I98="Sí",VLOOKUP(D98,TARIFAS!A:K,5,FALSE),0),
      VLOOKUP(D98,TARIFAS!A:K,4,FALSE) + IF(I98="Sí",VLOOKUP(D98,TARIFAS!A:K,5,FALSE),0)
   ),
   IF(H98="Presencial",
      VLOOKUP(D98,TARIFAS!A:K,9,FALSE) + IF(I98="Sí",VLOOKUP(D98,TARIFAS!A:K,11,FALSE),0),
      VLOOKUP(D98,TARIFAS!A:K,10,FALSE) + IF(I98="Sí",VLOOKUP(D98,TARIFAS!A:K,11,FALSE),0)
   )
 )
)
</f>
        <v>0</v>
      </c>
      <c r="M98" s="45">
        <f>IF(J98="",0,MAX(0,J98 - TARIFAS!G$2) * TARIFAS!F$2)
</f>
        <v>0</v>
      </c>
      <c r="N98" s="45">
        <f>+L98*TARIFAS!$K$2</f>
        <v>0</v>
      </c>
      <c r="O98" s="45">
        <f t="shared" si="1"/>
        <v>0</v>
      </c>
      <c r="P98" s="45">
        <f>+M98+O98+K98+(+I98-(I98*TARIFAS!$K$2))</f>
        <v>0</v>
      </c>
      <c r="Q98" s="42" t="str">
        <f>CONFERENCIAS!T98</f>
        <v/>
      </c>
      <c r="R98" s="45" t="str">
        <f>CONFERENCIAS!U98</f>
        <v/>
      </c>
      <c r="S98" s="45" t="str">
        <f>CONFERENCIAS!W98</f>
        <v/>
      </c>
      <c r="T98" s="48">
        <f>IF(Q98="",0,
   IF(E98=1,
      IF(H98="Presencial",
         VLOOKUP(D98,TARIFAS!A:K,3,FALSE) + IF(I98="Sí",VLOOKUP(D98,TARIFAS!A:K,5,FALSE),0),
         VLOOKUP(D98,TARIFAS!A:K,4,FALSE) + IF(I98="Sí",VLOOKUP(D98,TARIFAS!A:K,5,FALSE),0)
      ),
      IF(H98="Presencial",
         VLOOKUP(D98,TARIFAS!A:K,9,FALSE) + IF(I98="Sí",VLOOKUP(D98,TARIFAS!A:K,11,FALSE),0),
         VLOOKUP(D98,TARIFAS!A:K,10,FALSE) + IF(I98="Sí",VLOOKUP(D98,TARIFAS!A:K,11,FALSE),0)
      )
   )
)
</f>
        <v>0</v>
      </c>
      <c r="U98" s="45">
        <f>IF(R98="",0,MAX(0,R98 - TARIFAS!G$2) * TARIFAS!F$2)
</f>
        <v>0</v>
      </c>
      <c r="V98" s="45">
        <f>+T98*TARIFAS!$K$2</f>
        <v>0</v>
      </c>
      <c r="W98" s="45">
        <f t="shared" si="2"/>
        <v>0</v>
      </c>
      <c r="X98" s="45">
        <f t="shared" si="3"/>
        <v>0</v>
      </c>
      <c r="Y98" s="45">
        <f t="shared" si="4"/>
        <v>0</v>
      </c>
      <c r="Z98" s="42" t="str">
        <f>CONFERENCIAS!AB98</f>
        <v/>
      </c>
      <c r="AA98" s="42" t="str">
        <f>CONFERENCIAS!AC98</f>
        <v/>
      </c>
      <c r="AB98" s="47" t="str">
        <f t="shared" si="5"/>
        <v/>
      </c>
      <c r="AC98" s="9" t="str">
        <f t="shared" si="6"/>
        <v/>
      </c>
    </row>
    <row r="99">
      <c r="A99" s="42" t="str">
        <f>CONFERENCIAS!A99</f>
        <v/>
      </c>
      <c r="D99" s="42" t="str">
        <f>CONFERENCIAS!C99</f>
        <v/>
      </c>
      <c r="E99" s="42" t="str">
        <f>CONFERENCIAS!K99</f>
        <v/>
      </c>
      <c r="F99" s="49" t="str">
        <f>CONFERENCIAS!J99</f>
        <v/>
      </c>
      <c r="G99" s="42" t="str">
        <f>CONFERENCIAS!O99</f>
        <v/>
      </c>
      <c r="H99" s="42" t="str">
        <f>CONFERENCIAS!X99</f>
        <v/>
      </c>
      <c r="I99" s="42" t="str">
        <f>CONFERENCIAS!AA99</f>
        <v/>
      </c>
      <c r="J99" s="44" t="str">
        <f>CONFERENCIAS!P99</f>
        <v/>
      </c>
      <c r="K99" s="45" t="str">
        <f>CONFERENCIAS!R99</f>
        <v/>
      </c>
      <c r="L99" s="45">
        <f>IF(D99="",0,
 IF(E99=1,
   IF(H99="Presencial",
      VLOOKUP(D99,TARIFAS!A:K,3,FALSE) + IF(I99="Sí",VLOOKUP(D99,TARIFAS!A:K,5,FALSE),0),
      VLOOKUP(D99,TARIFAS!A:K,4,FALSE) + IF(I99="Sí",VLOOKUP(D99,TARIFAS!A:K,5,FALSE),0)
   ),
   IF(H99="Presencial",
      VLOOKUP(D99,TARIFAS!A:K,9,FALSE) + IF(I99="Sí",VLOOKUP(D99,TARIFAS!A:K,11,FALSE),0),
      VLOOKUP(D99,TARIFAS!A:K,10,FALSE) + IF(I99="Sí",VLOOKUP(D99,TARIFAS!A:K,11,FALSE),0)
   )
 )
)
</f>
        <v>0</v>
      </c>
      <c r="M99" s="45">
        <f>IF(J99="",0,MAX(0,J99 - TARIFAS!G$2) * TARIFAS!F$2)
</f>
        <v>0</v>
      </c>
      <c r="N99" s="45">
        <f>+L99*TARIFAS!$K$2</f>
        <v>0</v>
      </c>
      <c r="O99" s="45">
        <f t="shared" si="1"/>
        <v>0</v>
      </c>
      <c r="P99" s="45">
        <f>+M99+O99+K99+(+I99-(I99*TARIFAS!$K$2))</f>
        <v>0</v>
      </c>
      <c r="Q99" s="42" t="str">
        <f>CONFERENCIAS!T99</f>
        <v/>
      </c>
      <c r="R99" s="45" t="str">
        <f>CONFERENCIAS!U99</f>
        <v/>
      </c>
      <c r="S99" s="45" t="str">
        <f>CONFERENCIAS!W99</f>
        <v/>
      </c>
      <c r="T99" s="48">
        <f>IF(Q99="",0,
   IF(E99=1,
      IF(H99="Presencial",
         VLOOKUP(D99,TARIFAS!A:K,3,FALSE) + IF(I99="Sí",VLOOKUP(D99,TARIFAS!A:K,5,FALSE),0),
         VLOOKUP(D99,TARIFAS!A:K,4,FALSE) + IF(I99="Sí",VLOOKUP(D99,TARIFAS!A:K,5,FALSE),0)
      ),
      IF(H99="Presencial",
         VLOOKUP(D99,TARIFAS!A:K,9,FALSE) + IF(I99="Sí",VLOOKUP(D99,TARIFAS!A:K,11,FALSE),0),
         VLOOKUP(D99,TARIFAS!A:K,10,FALSE) + IF(I99="Sí",VLOOKUP(D99,TARIFAS!A:K,11,FALSE),0)
      )
   )
)
</f>
        <v>0</v>
      </c>
      <c r="U99" s="45">
        <f>IF(R99="",0,MAX(0,R99 - TARIFAS!G$2) * TARIFAS!F$2)
</f>
        <v>0</v>
      </c>
      <c r="V99" s="45">
        <f>+T99*TARIFAS!$K$2</f>
        <v>0</v>
      </c>
      <c r="W99" s="45">
        <f t="shared" si="2"/>
        <v>0</v>
      </c>
      <c r="X99" s="45">
        <f t="shared" si="3"/>
        <v>0</v>
      </c>
      <c r="Y99" s="45">
        <f t="shared" si="4"/>
        <v>0</v>
      </c>
      <c r="Z99" s="42" t="str">
        <f>CONFERENCIAS!AB99</f>
        <v/>
      </c>
      <c r="AA99" s="42" t="str">
        <f>CONFERENCIAS!AC99</f>
        <v/>
      </c>
      <c r="AB99" s="47" t="str">
        <f t="shared" si="5"/>
        <v/>
      </c>
      <c r="AC99" s="9" t="str">
        <f t="shared" si="6"/>
        <v/>
      </c>
    </row>
    <row r="100">
      <c r="A100" s="42" t="str">
        <f>CONFERENCIAS!A100</f>
        <v/>
      </c>
      <c r="D100" s="42" t="str">
        <f>CONFERENCIAS!C100</f>
        <v/>
      </c>
      <c r="E100" s="42" t="str">
        <f>CONFERENCIAS!K100</f>
        <v/>
      </c>
      <c r="F100" s="49" t="str">
        <f>CONFERENCIAS!J100</f>
        <v/>
      </c>
      <c r="G100" s="42" t="str">
        <f>CONFERENCIAS!O100</f>
        <v/>
      </c>
      <c r="H100" s="42" t="str">
        <f>CONFERENCIAS!X100</f>
        <v/>
      </c>
      <c r="I100" s="42" t="str">
        <f>CONFERENCIAS!AA100</f>
        <v/>
      </c>
      <c r="J100" s="44" t="str">
        <f>CONFERENCIAS!P100</f>
        <v/>
      </c>
      <c r="K100" s="45" t="str">
        <f>CONFERENCIAS!R100</f>
        <v/>
      </c>
      <c r="L100" s="45">
        <f>IF(D100="",0,
 IF(E100=1,
   IF(H100="Presencial",
      VLOOKUP(D100,TARIFAS!A:K,3,FALSE) + IF(I100="Sí",VLOOKUP(D100,TARIFAS!A:K,5,FALSE),0),
      VLOOKUP(D100,TARIFAS!A:K,4,FALSE) + IF(I100="Sí",VLOOKUP(D100,TARIFAS!A:K,5,FALSE),0)
   ),
   IF(H100="Presencial",
      VLOOKUP(D100,TARIFAS!A:K,9,FALSE) + IF(I100="Sí",VLOOKUP(D100,TARIFAS!A:K,11,FALSE),0),
      VLOOKUP(D100,TARIFAS!A:K,10,FALSE) + IF(I100="Sí",VLOOKUP(D100,TARIFAS!A:K,11,FALSE),0)
   )
 )
)
</f>
        <v>0</v>
      </c>
      <c r="M100" s="45">
        <f>IF(J100="",0,MAX(0,J100 - TARIFAS!G$2) * TARIFAS!F$2)
</f>
        <v>0</v>
      </c>
      <c r="N100" s="45">
        <f>+L100*TARIFAS!$K$2</f>
        <v>0</v>
      </c>
      <c r="O100" s="45">
        <f t="shared" si="1"/>
        <v>0</v>
      </c>
      <c r="P100" s="45">
        <f>+M100+O100+K100+(+I100-(I100*TARIFAS!$K$2))</f>
        <v>0</v>
      </c>
      <c r="Q100" s="42" t="str">
        <f>CONFERENCIAS!T100</f>
        <v/>
      </c>
      <c r="R100" s="45" t="str">
        <f>CONFERENCIAS!U100</f>
        <v/>
      </c>
      <c r="S100" s="45" t="str">
        <f>CONFERENCIAS!W100</f>
        <v/>
      </c>
      <c r="T100" s="48">
        <f>IF(Q100="",0,
   IF(E100=1,
      IF(H100="Presencial",
         VLOOKUP(D100,TARIFAS!A:K,3,FALSE) + IF(I100="Sí",VLOOKUP(D100,TARIFAS!A:K,5,FALSE),0),
         VLOOKUP(D100,TARIFAS!A:K,4,FALSE) + IF(I100="Sí",VLOOKUP(D100,TARIFAS!A:K,5,FALSE),0)
      ),
      IF(H100="Presencial",
         VLOOKUP(D100,TARIFAS!A:K,9,FALSE) + IF(I100="Sí",VLOOKUP(D100,TARIFAS!A:K,11,FALSE),0),
         VLOOKUP(D100,TARIFAS!A:K,10,FALSE) + IF(I100="Sí",VLOOKUP(D100,TARIFAS!A:K,11,FALSE),0)
      )
   )
)
</f>
        <v>0</v>
      </c>
      <c r="U100" s="45">
        <f>IF(R100="",0,MAX(0,R100 - TARIFAS!G$2) * TARIFAS!F$2)
</f>
        <v>0</v>
      </c>
      <c r="V100" s="45">
        <f>+T100*TARIFAS!$K$2</f>
        <v>0</v>
      </c>
      <c r="W100" s="45">
        <f t="shared" si="2"/>
        <v>0</v>
      </c>
      <c r="X100" s="45">
        <f t="shared" si="3"/>
        <v>0</v>
      </c>
      <c r="Y100" s="45">
        <f t="shared" si="4"/>
        <v>0</v>
      </c>
      <c r="Z100" s="42" t="str">
        <f>CONFERENCIAS!AB100</f>
        <v/>
      </c>
      <c r="AA100" s="42" t="str">
        <f>CONFERENCIAS!AC100</f>
        <v/>
      </c>
      <c r="AB100" s="47" t="str">
        <f t="shared" si="5"/>
        <v/>
      </c>
      <c r="AC100" s="9" t="str">
        <f t="shared" si="6"/>
        <v/>
      </c>
    </row>
    <row r="101">
      <c r="A101" s="42" t="str">
        <f>CONFERENCIAS!A101</f>
        <v/>
      </c>
      <c r="D101" s="42" t="str">
        <f>CONFERENCIAS!C101</f>
        <v/>
      </c>
      <c r="E101" s="42" t="str">
        <f>CONFERENCIAS!K101</f>
        <v/>
      </c>
      <c r="F101" s="49" t="str">
        <f>CONFERENCIAS!J101</f>
        <v/>
      </c>
      <c r="G101" s="42" t="str">
        <f>CONFERENCIAS!O101</f>
        <v/>
      </c>
      <c r="H101" s="42" t="str">
        <f>CONFERENCIAS!X101</f>
        <v/>
      </c>
      <c r="I101" s="42" t="str">
        <f>CONFERENCIAS!AA101</f>
        <v/>
      </c>
      <c r="J101" s="44" t="str">
        <f>CONFERENCIAS!P101</f>
        <v/>
      </c>
      <c r="K101" s="45" t="str">
        <f>CONFERENCIAS!R101</f>
        <v/>
      </c>
      <c r="L101" s="45">
        <f>IF(D101="",0,
 IF(E101=1,
   IF(H101="Presencial",
      VLOOKUP(D101,TARIFAS!A:K,3,FALSE) + IF(I101="Sí",VLOOKUP(D101,TARIFAS!A:K,5,FALSE),0),
      VLOOKUP(D101,TARIFAS!A:K,4,FALSE) + IF(I101="Sí",VLOOKUP(D101,TARIFAS!A:K,5,FALSE),0)
   ),
   IF(H101="Presencial",
      VLOOKUP(D101,TARIFAS!A:K,9,FALSE) + IF(I101="Sí",VLOOKUP(D101,TARIFAS!A:K,11,FALSE),0),
      VLOOKUP(D101,TARIFAS!A:K,10,FALSE) + IF(I101="Sí",VLOOKUP(D101,TARIFAS!A:K,11,FALSE),0)
   )
 )
)
</f>
        <v>0</v>
      </c>
      <c r="M101" s="45">
        <f>IF(J101="",0,MAX(0,J101 - TARIFAS!G$2) * TARIFAS!F$2)
</f>
        <v>0</v>
      </c>
      <c r="N101" s="45">
        <f>+L101*TARIFAS!$K$2</f>
        <v>0</v>
      </c>
      <c r="O101" s="45">
        <f t="shared" si="1"/>
        <v>0</v>
      </c>
      <c r="P101" s="45">
        <f>+M101+O101+K101+(+I101-(I101*TARIFAS!$K$2))</f>
        <v>0</v>
      </c>
      <c r="Q101" s="42" t="str">
        <f>CONFERENCIAS!T101</f>
        <v/>
      </c>
      <c r="R101" s="45" t="str">
        <f>CONFERENCIAS!U101</f>
        <v/>
      </c>
      <c r="S101" s="45" t="str">
        <f>CONFERENCIAS!W101</f>
        <v/>
      </c>
      <c r="T101" s="48">
        <f>IF(Q101="",0,
   IF(E101=1,
      IF(H101="Presencial",
         VLOOKUP(D101,TARIFAS!A:K,3,FALSE) + IF(I101="Sí",VLOOKUP(D101,TARIFAS!A:K,5,FALSE),0),
         VLOOKUP(D101,TARIFAS!A:K,4,FALSE) + IF(I101="Sí",VLOOKUP(D101,TARIFAS!A:K,5,FALSE),0)
      ),
      IF(H101="Presencial",
         VLOOKUP(D101,TARIFAS!A:K,9,FALSE) + IF(I101="Sí",VLOOKUP(D101,TARIFAS!A:K,11,FALSE),0),
         VLOOKUP(D101,TARIFAS!A:K,10,FALSE) + IF(I101="Sí",VLOOKUP(D101,TARIFAS!A:K,11,FALSE),0)
      )
   )
)
</f>
        <v>0</v>
      </c>
      <c r="U101" s="45">
        <f>IF(R101="",0,MAX(0,R101 - TARIFAS!G$2) * TARIFAS!F$2)
</f>
        <v>0</v>
      </c>
      <c r="V101" s="45">
        <f>+T101*TARIFAS!$K$2</f>
        <v>0</v>
      </c>
      <c r="W101" s="45">
        <f t="shared" si="2"/>
        <v>0</v>
      </c>
      <c r="X101" s="45">
        <f t="shared" si="3"/>
        <v>0</v>
      </c>
      <c r="Y101" s="45">
        <f t="shared" si="4"/>
        <v>0</v>
      </c>
      <c r="Z101" s="42" t="str">
        <f>CONFERENCIAS!AB101</f>
        <v/>
      </c>
      <c r="AA101" s="42" t="str">
        <f>CONFERENCIAS!AC101</f>
        <v/>
      </c>
      <c r="AB101" s="47" t="str">
        <f t="shared" si="5"/>
        <v/>
      </c>
      <c r="AC101" s="9" t="str">
        <f t="shared" si="6"/>
        <v/>
      </c>
    </row>
    <row r="102">
      <c r="A102" s="42" t="str">
        <f>CONFERENCIAS!A102</f>
        <v/>
      </c>
      <c r="D102" s="42" t="str">
        <f>CONFERENCIAS!C102</f>
        <v/>
      </c>
      <c r="E102" s="42" t="str">
        <f>CONFERENCIAS!K102</f>
        <v/>
      </c>
      <c r="F102" s="49" t="str">
        <f>CONFERENCIAS!J102</f>
        <v/>
      </c>
      <c r="G102" s="42" t="str">
        <f>CONFERENCIAS!O102</f>
        <v/>
      </c>
      <c r="H102" s="42" t="str">
        <f>CONFERENCIAS!X102</f>
        <v/>
      </c>
      <c r="I102" s="42" t="str">
        <f>CONFERENCIAS!AA102</f>
        <v/>
      </c>
      <c r="J102" s="44" t="str">
        <f>CONFERENCIAS!P102</f>
        <v/>
      </c>
      <c r="K102" s="45" t="str">
        <f>CONFERENCIAS!R102</f>
        <v/>
      </c>
      <c r="L102" s="45">
        <f>IF(D102="",0,
 IF(E102=1,
   IF(H102="Presencial",
      VLOOKUP(D102,TARIFAS!A:K,3,FALSE) + IF(I102="Sí",VLOOKUP(D102,TARIFAS!A:K,5,FALSE),0),
      VLOOKUP(D102,TARIFAS!A:K,4,FALSE) + IF(I102="Sí",VLOOKUP(D102,TARIFAS!A:K,5,FALSE),0)
   ),
   IF(H102="Presencial",
      VLOOKUP(D102,TARIFAS!A:K,9,FALSE) + IF(I102="Sí",VLOOKUP(D102,TARIFAS!A:K,11,FALSE),0),
      VLOOKUP(D102,TARIFAS!A:K,10,FALSE) + IF(I102="Sí",VLOOKUP(D102,TARIFAS!A:K,11,FALSE),0)
   )
 )
)
</f>
        <v>0</v>
      </c>
      <c r="M102" s="45">
        <f>IF(J102="",0,MAX(0,J102 - TARIFAS!G$2) * TARIFAS!F$2)
</f>
        <v>0</v>
      </c>
      <c r="N102" s="45">
        <f>+L102*TARIFAS!$K$2</f>
        <v>0</v>
      </c>
      <c r="O102" s="45">
        <f t="shared" si="1"/>
        <v>0</v>
      </c>
      <c r="P102" s="45">
        <f>+M102+O102+K102+(+I102-(I102*TARIFAS!$K$2))</f>
        <v>0</v>
      </c>
      <c r="Q102" s="42" t="str">
        <f>CONFERENCIAS!T102</f>
        <v/>
      </c>
      <c r="R102" s="45" t="str">
        <f>CONFERENCIAS!U102</f>
        <v/>
      </c>
      <c r="S102" s="45" t="str">
        <f>CONFERENCIAS!W102</f>
        <v/>
      </c>
      <c r="T102" s="48">
        <f>IF(Q102="",0,
   IF(E102=1,
      IF(H102="Presencial",
         VLOOKUP(D102,TARIFAS!A:K,3,FALSE) + IF(I102="Sí",VLOOKUP(D102,TARIFAS!A:K,5,FALSE),0),
         VLOOKUP(D102,TARIFAS!A:K,4,FALSE) + IF(I102="Sí",VLOOKUP(D102,TARIFAS!A:K,5,FALSE),0)
      ),
      IF(H102="Presencial",
         VLOOKUP(D102,TARIFAS!A:K,9,FALSE) + IF(I102="Sí",VLOOKUP(D102,TARIFAS!A:K,11,FALSE),0),
         VLOOKUP(D102,TARIFAS!A:K,10,FALSE) + IF(I102="Sí",VLOOKUP(D102,TARIFAS!A:K,11,FALSE),0)
      )
   )
)
</f>
        <v>0</v>
      </c>
      <c r="U102" s="45">
        <f>IF(R102="",0,MAX(0,R102 - TARIFAS!G$2) * TARIFAS!F$2)
</f>
        <v>0</v>
      </c>
      <c r="V102" s="45">
        <f>+T102*TARIFAS!$K$2</f>
        <v>0</v>
      </c>
      <c r="W102" s="45">
        <f t="shared" si="2"/>
        <v>0</v>
      </c>
      <c r="X102" s="45">
        <f t="shared" si="3"/>
        <v>0</v>
      </c>
      <c r="Y102" s="45">
        <f t="shared" si="4"/>
        <v>0</v>
      </c>
      <c r="Z102" s="42" t="str">
        <f>CONFERENCIAS!AB102</f>
        <v/>
      </c>
      <c r="AA102" s="42" t="str">
        <f>CONFERENCIAS!AC102</f>
        <v/>
      </c>
      <c r="AB102" s="47" t="str">
        <f t="shared" si="5"/>
        <v/>
      </c>
      <c r="AC102" s="9" t="str">
        <f t="shared" si="6"/>
        <v/>
      </c>
    </row>
    <row r="103">
      <c r="A103" s="42" t="str">
        <f>CONFERENCIAS!A103</f>
        <v/>
      </c>
      <c r="D103" s="42" t="str">
        <f>CONFERENCIAS!C103</f>
        <v/>
      </c>
      <c r="E103" s="42" t="str">
        <f>CONFERENCIAS!K103</f>
        <v/>
      </c>
      <c r="F103" s="49" t="str">
        <f>CONFERENCIAS!J103</f>
        <v/>
      </c>
      <c r="G103" s="42" t="str">
        <f>CONFERENCIAS!O103</f>
        <v/>
      </c>
      <c r="H103" s="42" t="str">
        <f>CONFERENCIAS!X103</f>
        <v/>
      </c>
      <c r="I103" s="42" t="str">
        <f>CONFERENCIAS!AA103</f>
        <v/>
      </c>
      <c r="J103" s="44" t="str">
        <f>CONFERENCIAS!P103</f>
        <v/>
      </c>
      <c r="K103" s="45" t="str">
        <f>CONFERENCIAS!R103</f>
        <v/>
      </c>
      <c r="L103" s="45">
        <f>IF(D103="",0,
 IF(E103=1,
   IF(H103="Presencial",
      VLOOKUP(D103,TARIFAS!A:K,3,FALSE) + IF(I103="Sí",VLOOKUP(D103,TARIFAS!A:K,5,FALSE),0),
      VLOOKUP(D103,TARIFAS!A:K,4,FALSE) + IF(I103="Sí",VLOOKUP(D103,TARIFAS!A:K,5,FALSE),0)
   ),
   IF(H103="Presencial",
      VLOOKUP(D103,TARIFAS!A:K,9,FALSE) + IF(I103="Sí",VLOOKUP(D103,TARIFAS!A:K,11,FALSE),0),
      VLOOKUP(D103,TARIFAS!A:K,10,FALSE) + IF(I103="Sí",VLOOKUP(D103,TARIFAS!A:K,11,FALSE),0)
   )
 )
)
</f>
        <v>0</v>
      </c>
      <c r="M103" s="45">
        <f>IF(J103="",0,MAX(0,J103 - TARIFAS!G$2) * TARIFAS!F$2)
</f>
        <v>0</v>
      </c>
      <c r="N103" s="45">
        <f>+L103*TARIFAS!$K$2</f>
        <v>0</v>
      </c>
      <c r="O103" s="45">
        <f t="shared" si="1"/>
        <v>0</v>
      </c>
      <c r="P103" s="45">
        <f>+M103+O103+K103+(+I103-(I103*TARIFAS!$K$2))</f>
        <v>0</v>
      </c>
      <c r="Q103" s="42" t="str">
        <f>CONFERENCIAS!T103</f>
        <v/>
      </c>
      <c r="R103" s="45" t="str">
        <f>CONFERENCIAS!U103</f>
        <v/>
      </c>
      <c r="S103" s="45" t="str">
        <f>CONFERENCIAS!W103</f>
        <v/>
      </c>
      <c r="T103" s="48">
        <f>IF(Q103="",0,
   IF(E103=1,
      IF(H103="Presencial",
         VLOOKUP(D103,TARIFAS!A:K,3,FALSE) + IF(I103="Sí",VLOOKUP(D103,TARIFAS!A:K,5,FALSE),0),
         VLOOKUP(D103,TARIFAS!A:K,4,FALSE) + IF(I103="Sí",VLOOKUP(D103,TARIFAS!A:K,5,FALSE),0)
      ),
      IF(H103="Presencial",
         VLOOKUP(D103,TARIFAS!A:K,9,FALSE) + IF(I103="Sí",VLOOKUP(D103,TARIFAS!A:K,11,FALSE),0),
         VLOOKUP(D103,TARIFAS!A:K,10,FALSE) + IF(I103="Sí",VLOOKUP(D103,TARIFAS!A:K,11,FALSE),0)
      )
   )
)
</f>
        <v>0</v>
      </c>
      <c r="U103" s="45">
        <f>IF(R103="",0,MAX(0,R103 - TARIFAS!G$2) * TARIFAS!F$2)
</f>
        <v>0</v>
      </c>
      <c r="V103" s="45">
        <f>+T103*TARIFAS!$K$2</f>
        <v>0</v>
      </c>
      <c r="W103" s="45">
        <f t="shared" si="2"/>
        <v>0</v>
      </c>
      <c r="X103" s="45">
        <f t="shared" si="3"/>
        <v>0</v>
      </c>
      <c r="Y103" s="45">
        <f t="shared" si="4"/>
        <v>0</v>
      </c>
      <c r="Z103" s="42" t="str">
        <f>CONFERENCIAS!AB103</f>
        <v/>
      </c>
      <c r="AA103" s="42" t="str">
        <f>CONFERENCIAS!AC103</f>
        <v/>
      </c>
      <c r="AB103" s="47" t="str">
        <f t="shared" si="5"/>
        <v/>
      </c>
      <c r="AC103" s="9" t="str">
        <f t="shared" si="6"/>
        <v/>
      </c>
    </row>
    <row r="104">
      <c r="A104" s="42" t="str">
        <f>CONFERENCIAS!A104</f>
        <v/>
      </c>
      <c r="D104" s="42" t="str">
        <f>CONFERENCIAS!C104</f>
        <v/>
      </c>
      <c r="E104" s="42" t="str">
        <f>CONFERENCIAS!K104</f>
        <v/>
      </c>
      <c r="F104" s="49" t="str">
        <f>CONFERENCIAS!J104</f>
        <v/>
      </c>
      <c r="G104" s="42" t="str">
        <f>CONFERENCIAS!O104</f>
        <v/>
      </c>
      <c r="H104" s="42" t="str">
        <f>CONFERENCIAS!X104</f>
        <v/>
      </c>
      <c r="I104" s="42" t="str">
        <f>CONFERENCIAS!AA104</f>
        <v/>
      </c>
      <c r="J104" s="44" t="str">
        <f>CONFERENCIAS!P104</f>
        <v/>
      </c>
      <c r="K104" s="45" t="str">
        <f>CONFERENCIAS!R104</f>
        <v/>
      </c>
      <c r="L104" s="45">
        <f>IF(D104="",0,
 IF(E104=1,
   IF(H104="Presencial",
      VLOOKUP(D104,TARIFAS!A:K,3,FALSE) + IF(I104="Sí",VLOOKUP(D104,TARIFAS!A:K,5,FALSE),0),
      VLOOKUP(D104,TARIFAS!A:K,4,FALSE) + IF(I104="Sí",VLOOKUP(D104,TARIFAS!A:K,5,FALSE),0)
   ),
   IF(H104="Presencial",
      VLOOKUP(D104,TARIFAS!A:K,9,FALSE) + IF(I104="Sí",VLOOKUP(D104,TARIFAS!A:K,11,FALSE),0),
      VLOOKUP(D104,TARIFAS!A:K,10,FALSE) + IF(I104="Sí",VLOOKUP(D104,TARIFAS!A:K,11,FALSE),0)
   )
 )
)
</f>
        <v>0</v>
      </c>
      <c r="M104" s="45">
        <f>IF(J104="",0,MAX(0,J104 - TARIFAS!G$2) * TARIFAS!F$2)
</f>
        <v>0</v>
      </c>
      <c r="N104" s="45">
        <f>+L104*TARIFAS!$K$2</f>
        <v>0</v>
      </c>
      <c r="O104" s="45">
        <f t="shared" si="1"/>
        <v>0</v>
      </c>
      <c r="P104" s="45">
        <f>+M104+O104+K104+(+I104-(I104*TARIFAS!$K$2))</f>
        <v>0</v>
      </c>
      <c r="Q104" s="42" t="str">
        <f>CONFERENCIAS!T104</f>
        <v/>
      </c>
      <c r="R104" s="45" t="str">
        <f>CONFERENCIAS!U104</f>
        <v/>
      </c>
      <c r="S104" s="45" t="str">
        <f>CONFERENCIAS!W104</f>
        <v/>
      </c>
      <c r="T104" s="48">
        <f>IF(Q104="",0,
   IF(E104=1,
      IF(H104="Presencial",
         VLOOKUP(D104,TARIFAS!A:K,3,FALSE) + IF(I104="Sí",VLOOKUP(D104,TARIFAS!A:K,5,FALSE),0),
         VLOOKUP(D104,TARIFAS!A:K,4,FALSE) + IF(I104="Sí",VLOOKUP(D104,TARIFAS!A:K,5,FALSE),0)
      ),
      IF(H104="Presencial",
         VLOOKUP(D104,TARIFAS!A:K,9,FALSE) + IF(I104="Sí",VLOOKUP(D104,TARIFAS!A:K,11,FALSE),0),
         VLOOKUP(D104,TARIFAS!A:K,10,FALSE) + IF(I104="Sí",VLOOKUP(D104,TARIFAS!A:K,11,FALSE),0)
      )
   )
)
</f>
        <v>0</v>
      </c>
      <c r="U104" s="45">
        <f>IF(R104="",0,MAX(0,R104 - TARIFAS!G$2) * TARIFAS!F$2)
</f>
        <v>0</v>
      </c>
      <c r="V104" s="45">
        <f>+T104*TARIFAS!$K$2</f>
        <v>0</v>
      </c>
      <c r="W104" s="45">
        <f t="shared" si="2"/>
        <v>0</v>
      </c>
      <c r="X104" s="45">
        <f t="shared" si="3"/>
        <v>0</v>
      </c>
      <c r="Y104" s="45">
        <f t="shared" si="4"/>
        <v>0</v>
      </c>
      <c r="Z104" s="42" t="str">
        <f>CONFERENCIAS!AB104</f>
        <v/>
      </c>
      <c r="AA104" s="42" t="str">
        <f>CONFERENCIAS!AC104</f>
        <v/>
      </c>
      <c r="AB104" s="47" t="str">
        <f t="shared" si="5"/>
        <v/>
      </c>
      <c r="AC104" s="9" t="str">
        <f t="shared" si="6"/>
        <v/>
      </c>
    </row>
    <row r="105">
      <c r="A105" s="42" t="str">
        <f>CONFERENCIAS!A105</f>
        <v/>
      </c>
      <c r="D105" s="42" t="str">
        <f>CONFERENCIAS!C105</f>
        <v/>
      </c>
      <c r="E105" s="42" t="str">
        <f>CONFERENCIAS!K105</f>
        <v/>
      </c>
      <c r="F105" s="49" t="str">
        <f>CONFERENCIAS!J105</f>
        <v/>
      </c>
      <c r="G105" s="42" t="str">
        <f>CONFERENCIAS!O105</f>
        <v/>
      </c>
      <c r="H105" s="42" t="str">
        <f>CONFERENCIAS!X105</f>
        <v/>
      </c>
      <c r="I105" s="42" t="str">
        <f>CONFERENCIAS!AA105</f>
        <v/>
      </c>
      <c r="J105" s="44" t="str">
        <f>CONFERENCIAS!P105</f>
        <v/>
      </c>
      <c r="K105" s="45" t="str">
        <f>CONFERENCIAS!R105</f>
        <v/>
      </c>
      <c r="L105" s="45">
        <f>IF(D105="",0,
 IF(E105=1,
   IF(H105="Presencial",
      VLOOKUP(D105,TARIFAS!A:K,3,FALSE) + IF(I105="Sí",VLOOKUP(D105,TARIFAS!A:K,5,FALSE),0),
      VLOOKUP(D105,TARIFAS!A:K,4,FALSE) + IF(I105="Sí",VLOOKUP(D105,TARIFAS!A:K,5,FALSE),0)
   ),
   IF(H105="Presencial",
      VLOOKUP(D105,TARIFAS!A:K,9,FALSE) + IF(I105="Sí",VLOOKUP(D105,TARIFAS!A:K,11,FALSE),0),
      VLOOKUP(D105,TARIFAS!A:K,10,FALSE) + IF(I105="Sí",VLOOKUP(D105,TARIFAS!A:K,11,FALSE),0)
   )
 )
)
</f>
        <v>0</v>
      </c>
      <c r="M105" s="45">
        <f>IF(J105="",0,MAX(0,J105 - TARIFAS!G$2) * TARIFAS!F$2)
</f>
        <v>0</v>
      </c>
      <c r="N105" s="45">
        <f>+L105*TARIFAS!$K$2</f>
        <v>0</v>
      </c>
      <c r="O105" s="45">
        <f t="shared" si="1"/>
        <v>0</v>
      </c>
      <c r="P105" s="45">
        <f>+M105+O105+K105+(+I105-(I105*TARIFAS!$K$2))</f>
        <v>0</v>
      </c>
      <c r="Q105" s="42" t="str">
        <f>CONFERENCIAS!T105</f>
        <v/>
      </c>
      <c r="R105" s="45" t="str">
        <f>CONFERENCIAS!U105</f>
        <v/>
      </c>
      <c r="S105" s="45" t="str">
        <f>CONFERENCIAS!W105</f>
        <v/>
      </c>
      <c r="T105" s="48">
        <f>IF(Q105="",0,
   IF(E105=1,
      IF(H105="Presencial",
         VLOOKUP(D105,TARIFAS!A:K,3,FALSE) + IF(I105="Sí",VLOOKUP(D105,TARIFAS!A:K,5,FALSE),0),
         VLOOKUP(D105,TARIFAS!A:K,4,FALSE) + IF(I105="Sí",VLOOKUP(D105,TARIFAS!A:K,5,FALSE),0)
      ),
      IF(H105="Presencial",
         VLOOKUP(D105,TARIFAS!A:K,9,FALSE) + IF(I105="Sí",VLOOKUP(D105,TARIFAS!A:K,11,FALSE),0),
         VLOOKUP(D105,TARIFAS!A:K,10,FALSE) + IF(I105="Sí",VLOOKUP(D105,TARIFAS!A:K,11,FALSE),0)
      )
   )
)
</f>
        <v>0</v>
      </c>
      <c r="U105" s="45">
        <f>IF(R105="",0,MAX(0,R105 - TARIFAS!G$2) * TARIFAS!F$2)
</f>
        <v>0</v>
      </c>
      <c r="V105" s="45">
        <f>+T105*TARIFAS!$K$2</f>
        <v>0</v>
      </c>
      <c r="W105" s="45">
        <f t="shared" si="2"/>
        <v>0</v>
      </c>
      <c r="X105" s="45">
        <f t="shared" si="3"/>
        <v>0</v>
      </c>
      <c r="Y105" s="45">
        <f t="shared" si="4"/>
        <v>0</v>
      </c>
      <c r="Z105" s="42" t="str">
        <f>CONFERENCIAS!AB105</f>
        <v/>
      </c>
      <c r="AA105" s="42" t="str">
        <f>CONFERENCIAS!AC105</f>
        <v/>
      </c>
      <c r="AB105" s="47" t="str">
        <f t="shared" si="5"/>
        <v/>
      </c>
      <c r="AC105" s="9" t="str">
        <f t="shared" si="6"/>
        <v/>
      </c>
    </row>
    <row r="106">
      <c r="A106" s="42" t="str">
        <f>CONFERENCIAS!A106</f>
        <v/>
      </c>
      <c r="D106" s="42" t="str">
        <f>CONFERENCIAS!C106</f>
        <v/>
      </c>
      <c r="E106" s="42" t="str">
        <f>CONFERENCIAS!K106</f>
        <v/>
      </c>
      <c r="F106" s="49" t="str">
        <f>CONFERENCIAS!J106</f>
        <v/>
      </c>
      <c r="G106" s="42" t="str">
        <f>CONFERENCIAS!O106</f>
        <v/>
      </c>
      <c r="H106" s="42" t="str">
        <f>CONFERENCIAS!X106</f>
        <v/>
      </c>
      <c r="I106" s="42" t="str">
        <f>CONFERENCIAS!AA106</f>
        <v/>
      </c>
      <c r="J106" s="44" t="str">
        <f>CONFERENCIAS!P106</f>
        <v/>
      </c>
      <c r="K106" s="45" t="str">
        <f>CONFERENCIAS!R106</f>
        <v/>
      </c>
      <c r="L106" s="45">
        <f>IF(D106="",0,
 IF(E106=1,
   IF(H106="Presencial",
      VLOOKUP(D106,TARIFAS!A:K,3,FALSE) + IF(I106="Sí",VLOOKUP(D106,TARIFAS!A:K,5,FALSE),0),
      VLOOKUP(D106,TARIFAS!A:K,4,FALSE) + IF(I106="Sí",VLOOKUP(D106,TARIFAS!A:K,5,FALSE),0)
   ),
   IF(H106="Presencial",
      VLOOKUP(D106,TARIFAS!A:K,9,FALSE) + IF(I106="Sí",VLOOKUP(D106,TARIFAS!A:K,11,FALSE),0),
      VLOOKUP(D106,TARIFAS!A:K,10,FALSE) + IF(I106="Sí",VLOOKUP(D106,TARIFAS!A:K,11,FALSE),0)
   )
 )
)
</f>
        <v>0</v>
      </c>
      <c r="M106" s="45">
        <f>IF(J106="",0,MAX(0,J106 - TARIFAS!G$2) * TARIFAS!F$2)
</f>
        <v>0</v>
      </c>
      <c r="N106" s="45">
        <f>+L106*TARIFAS!$K$2</f>
        <v>0</v>
      </c>
      <c r="O106" s="45">
        <f t="shared" si="1"/>
        <v>0</v>
      </c>
      <c r="P106" s="45">
        <f>+M106+O106+K106+(+I106-(I106*TARIFAS!$K$2))</f>
        <v>0</v>
      </c>
      <c r="Q106" s="42" t="str">
        <f>CONFERENCIAS!T106</f>
        <v/>
      </c>
      <c r="R106" s="45" t="str">
        <f>CONFERENCIAS!U106</f>
        <v/>
      </c>
      <c r="S106" s="45" t="str">
        <f>CONFERENCIAS!W106</f>
        <v/>
      </c>
      <c r="T106" s="48">
        <f>IF(Q106="",0,
   IF(E106=1,
      IF(H106="Presencial",
         VLOOKUP(D106,TARIFAS!A:K,3,FALSE) + IF(I106="Sí",VLOOKUP(D106,TARIFAS!A:K,5,FALSE),0),
         VLOOKUP(D106,TARIFAS!A:K,4,FALSE) + IF(I106="Sí",VLOOKUP(D106,TARIFAS!A:K,5,FALSE),0)
      ),
      IF(H106="Presencial",
         VLOOKUP(D106,TARIFAS!A:K,9,FALSE) + IF(I106="Sí",VLOOKUP(D106,TARIFAS!A:K,11,FALSE),0),
         VLOOKUP(D106,TARIFAS!A:K,10,FALSE) + IF(I106="Sí",VLOOKUP(D106,TARIFAS!A:K,11,FALSE),0)
      )
   )
)
</f>
        <v>0</v>
      </c>
      <c r="U106" s="45">
        <f>IF(R106="",0,MAX(0,R106 - TARIFAS!G$2) * TARIFAS!F$2)
</f>
        <v>0</v>
      </c>
      <c r="V106" s="45">
        <f>+T106*TARIFAS!$K$2</f>
        <v>0</v>
      </c>
      <c r="W106" s="45">
        <f t="shared" si="2"/>
        <v>0</v>
      </c>
      <c r="X106" s="45">
        <f t="shared" si="3"/>
        <v>0</v>
      </c>
      <c r="Y106" s="45">
        <f t="shared" si="4"/>
        <v>0</v>
      </c>
      <c r="Z106" s="42" t="str">
        <f>CONFERENCIAS!AB106</f>
        <v/>
      </c>
      <c r="AA106" s="42" t="str">
        <f>CONFERENCIAS!AC106</f>
        <v/>
      </c>
      <c r="AB106" s="47" t="str">
        <f t="shared" si="5"/>
        <v/>
      </c>
      <c r="AC106" s="9" t="str">
        <f t="shared" si="6"/>
        <v/>
      </c>
    </row>
    <row r="107">
      <c r="A107" s="42" t="str">
        <f>CONFERENCIAS!A107</f>
        <v/>
      </c>
      <c r="D107" s="42" t="str">
        <f>CONFERENCIAS!C107</f>
        <v/>
      </c>
      <c r="E107" s="42" t="str">
        <f>CONFERENCIAS!K107</f>
        <v/>
      </c>
      <c r="F107" s="49" t="str">
        <f>CONFERENCIAS!J107</f>
        <v/>
      </c>
      <c r="G107" s="42" t="str">
        <f>CONFERENCIAS!O107</f>
        <v/>
      </c>
      <c r="H107" s="42" t="str">
        <f>CONFERENCIAS!X107</f>
        <v/>
      </c>
      <c r="I107" s="42" t="str">
        <f>CONFERENCIAS!AA107</f>
        <v/>
      </c>
      <c r="J107" s="44" t="str">
        <f>CONFERENCIAS!P107</f>
        <v/>
      </c>
      <c r="K107" s="45" t="str">
        <f>CONFERENCIAS!R107</f>
        <v/>
      </c>
      <c r="L107" s="45">
        <f>IF(D107="",0,
 IF(E107=1,
   IF(H107="Presencial",
      VLOOKUP(D107,TARIFAS!A:K,3,FALSE) + IF(I107="Sí",VLOOKUP(D107,TARIFAS!A:K,5,FALSE),0),
      VLOOKUP(D107,TARIFAS!A:K,4,FALSE) + IF(I107="Sí",VLOOKUP(D107,TARIFAS!A:K,5,FALSE),0)
   ),
   IF(H107="Presencial",
      VLOOKUP(D107,TARIFAS!A:K,9,FALSE) + IF(I107="Sí",VLOOKUP(D107,TARIFAS!A:K,11,FALSE),0),
      VLOOKUP(D107,TARIFAS!A:K,10,FALSE) + IF(I107="Sí",VLOOKUP(D107,TARIFAS!A:K,11,FALSE),0)
   )
 )
)
</f>
        <v>0</v>
      </c>
      <c r="M107" s="45">
        <f>IF(J107="",0,MAX(0,J107 - TARIFAS!G$2) * TARIFAS!F$2)
</f>
        <v>0</v>
      </c>
      <c r="N107" s="45">
        <f>+L107*TARIFAS!$K$2</f>
        <v>0</v>
      </c>
      <c r="O107" s="45">
        <f t="shared" si="1"/>
        <v>0</v>
      </c>
      <c r="P107" s="45">
        <f>+M107+O107+K107+(+I107-(I107*TARIFAS!$K$2))</f>
        <v>0</v>
      </c>
      <c r="Q107" s="42" t="str">
        <f>CONFERENCIAS!T107</f>
        <v/>
      </c>
      <c r="R107" s="45" t="str">
        <f>CONFERENCIAS!U107</f>
        <v/>
      </c>
      <c r="S107" s="45" t="str">
        <f>CONFERENCIAS!W107</f>
        <v/>
      </c>
      <c r="T107" s="48">
        <f>IF(Q107="",0,
   IF(E107=1,
      IF(H107="Presencial",
         VLOOKUP(D107,TARIFAS!A:K,3,FALSE) + IF(I107="Sí",VLOOKUP(D107,TARIFAS!A:K,5,FALSE),0),
         VLOOKUP(D107,TARIFAS!A:K,4,FALSE) + IF(I107="Sí",VLOOKUP(D107,TARIFAS!A:K,5,FALSE),0)
      ),
      IF(H107="Presencial",
         VLOOKUP(D107,TARIFAS!A:K,9,FALSE) + IF(I107="Sí",VLOOKUP(D107,TARIFAS!A:K,11,FALSE),0),
         VLOOKUP(D107,TARIFAS!A:K,10,FALSE) + IF(I107="Sí",VLOOKUP(D107,TARIFAS!A:K,11,FALSE),0)
      )
   )
)
</f>
        <v>0</v>
      </c>
      <c r="U107" s="45">
        <f>IF(R107="",0,MAX(0,R107 - TARIFAS!G$2) * TARIFAS!F$2)
</f>
        <v>0</v>
      </c>
      <c r="V107" s="45">
        <f>+T107*TARIFAS!$K$2</f>
        <v>0</v>
      </c>
      <c r="W107" s="45">
        <f t="shared" si="2"/>
        <v>0</v>
      </c>
      <c r="X107" s="45">
        <f t="shared" si="3"/>
        <v>0</v>
      </c>
      <c r="Y107" s="45">
        <f t="shared" si="4"/>
        <v>0</v>
      </c>
      <c r="Z107" s="42" t="str">
        <f>CONFERENCIAS!AB107</f>
        <v/>
      </c>
      <c r="AA107" s="42" t="str">
        <f>CONFERENCIAS!AC107</f>
        <v/>
      </c>
      <c r="AB107" s="47" t="str">
        <f t="shared" si="5"/>
        <v/>
      </c>
      <c r="AC107" s="9" t="str">
        <f t="shared" si="6"/>
        <v/>
      </c>
    </row>
    <row r="108">
      <c r="A108" s="42" t="str">
        <f>CONFERENCIAS!A108</f>
        <v/>
      </c>
      <c r="D108" s="42" t="str">
        <f>CONFERENCIAS!C108</f>
        <v/>
      </c>
      <c r="E108" s="42" t="str">
        <f>CONFERENCIAS!K108</f>
        <v/>
      </c>
      <c r="F108" s="49" t="str">
        <f>CONFERENCIAS!J108</f>
        <v/>
      </c>
      <c r="G108" s="42" t="str">
        <f>CONFERENCIAS!O108</f>
        <v/>
      </c>
      <c r="H108" s="42" t="str">
        <f>CONFERENCIAS!X108</f>
        <v/>
      </c>
      <c r="I108" s="42" t="str">
        <f>CONFERENCIAS!AA108</f>
        <v/>
      </c>
      <c r="J108" s="44" t="str">
        <f>CONFERENCIAS!P108</f>
        <v/>
      </c>
      <c r="K108" s="45" t="str">
        <f>CONFERENCIAS!R108</f>
        <v/>
      </c>
      <c r="L108" s="45">
        <f>IF(D108="",0,
 IF(E108=1,
   IF(H108="Presencial",
      VLOOKUP(D108,TARIFAS!A:K,3,FALSE) + IF(I108="Sí",VLOOKUP(D108,TARIFAS!A:K,5,FALSE),0),
      VLOOKUP(D108,TARIFAS!A:K,4,FALSE) + IF(I108="Sí",VLOOKUP(D108,TARIFAS!A:K,5,FALSE),0)
   ),
   IF(H108="Presencial",
      VLOOKUP(D108,TARIFAS!A:K,9,FALSE) + IF(I108="Sí",VLOOKUP(D108,TARIFAS!A:K,11,FALSE),0),
      VLOOKUP(D108,TARIFAS!A:K,10,FALSE) + IF(I108="Sí",VLOOKUP(D108,TARIFAS!A:K,11,FALSE),0)
   )
 )
)
</f>
        <v>0</v>
      </c>
      <c r="M108" s="45">
        <f>IF(J108="",0,MAX(0,J108 - TARIFAS!G$2) * TARIFAS!F$2)
</f>
        <v>0</v>
      </c>
      <c r="N108" s="45">
        <f>+L108*TARIFAS!$K$2</f>
        <v>0</v>
      </c>
      <c r="O108" s="45">
        <f t="shared" si="1"/>
        <v>0</v>
      </c>
      <c r="P108" s="45">
        <f>+M108+O108+K108+(+I108-(I108*TARIFAS!$K$2))</f>
        <v>0</v>
      </c>
      <c r="Q108" s="42" t="str">
        <f>CONFERENCIAS!T108</f>
        <v/>
      </c>
      <c r="R108" s="45" t="str">
        <f>CONFERENCIAS!U108</f>
        <v/>
      </c>
      <c r="S108" s="45" t="str">
        <f>CONFERENCIAS!W108</f>
        <v/>
      </c>
      <c r="T108" s="48">
        <f>IF(Q108="",0,
   IF(E108=1,
      IF(H108="Presencial",
         VLOOKUP(D108,TARIFAS!A:K,3,FALSE) + IF(I108="Sí",VLOOKUP(D108,TARIFAS!A:K,5,FALSE),0),
         VLOOKUP(D108,TARIFAS!A:K,4,FALSE) + IF(I108="Sí",VLOOKUP(D108,TARIFAS!A:K,5,FALSE),0)
      ),
      IF(H108="Presencial",
         VLOOKUP(D108,TARIFAS!A:K,9,FALSE) + IF(I108="Sí",VLOOKUP(D108,TARIFAS!A:K,11,FALSE),0),
         VLOOKUP(D108,TARIFAS!A:K,10,FALSE) + IF(I108="Sí",VLOOKUP(D108,TARIFAS!A:K,11,FALSE),0)
      )
   )
)
</f>
        <v>0</v>
      </c>
      <c r="U108" s="45">
        <f>IF(R108="",0,MAX(0,R108 - TARIFAS!G$2) * TARIFAS!F$2)
</f>
        <v>0</v>
      </c>
      <c r="V108" s="45">
        <f>+T108*TARIFAS!$K$2</f>
        <v>0</v>
      </c>
      <c r="W108" s="45">
        <f t="shared" si="2"/>
        <v>0</v>
      </c>
      <c r="X108" s="45">
        <f t="shared" si="3"/>
        <v>0</v>
      </c>
      <c r="Y108" s="45">
        <f t="shared" si="4"/>
        <v>0</v>
      </c>
      <c r="Z108" s="42" t="str">
        <f>CONFERENCIAS!AB108</f>
        <v/>
      </c>
      <c r="AA108" s="42" t="str">
        <f>CONFERENCIAS!AC108</f>
        <v/>
      </c>
      <c r="AB108" s="47" t="str">
        <f t="shared" si="5"/>
        <v/>
      </c>
      <c r="AC108" s="9" t="str">
        <f t="shared" si="6"/>
        <v/>
      </c>
    </row>
    <row r="109">
      <c r="A109" s="42" t="str">
        <f>CONFERENCIAS!A109</f>
        <v/>
      </c>
      <c r="D109" s="42" t="str">
        <f>CONFERENCIAS!C109</f>
        <v/>
      </c>
      <c r="E109" s="42" t="str">
        <f>CONFERENCIAS!K109</f>
        <v/>
      </c>
      <c r="F109" s="49" t="str">
        <f>CONFERENCIAS!J109</f>
        <v/>
      </c>
      <c r="G109" s="42" t="str">
        <f>CONFERENCIAS!O109</f>
        <v/>
      </c>
      <c r="H109" s="42" t="str">
        <f>CONFERENCIAS!X109</f>
        <v/>
      </c>
      <c r="I109" s="42" t="str">
        <f>CONFERENCIAS!AA109</f>
        <v/>
      </c>
      <c r="J109" s="44" t="str">
        <f>CONFERENCIAS!P109</f>
        <v/>
      </c>
      <c r="K109" s="45" t="str">
        <f>CONFERENCIAS!R109</f>
        <v/>
      </c>
      <c r="L109" s="45">
        <f>IF(D109="",0,
 IF(E109=1,
   IF(H109="Presencial",
      VLOOKUP(D109,TARIFAS!A:K,3,FALSE) + IF(I109="Sí",VLOOKUP(D109,TARIFAS!A:K,5,FALSE),0),
      VLOOKUP(D109,TARIFAS!A:K,4,FALSE) + IF(I109="Sí",VLOOKUP(D109,TARIFAS!A:K,5,FALSE),0)
   ),
   IF(H109="Presencial",
      VLOOKUP(D109,TARIFAS!A:K,9,FALSE) + IF(I109="Sí",VLOOKUP(D109,TARIFAS!A:K,11,FALSE),0),
      VLOOKUP(D109,TARIFAS!A:K,10,FALSE) + IF(I109="Sí",VLOOKUP(D109,TARIFAS!A:K,11,FALSE),0)
   )
 )
)
</f>
        <v>0</v>
      </c>
      <c r="M109" s="45">
        <f>IF(J109="",0,MAX(0,J109 - TARIFAS!G$2) * TARIFAS!F$2)
</f>
        <v>0</v>
      </c>
      <c r="N109" s="45">
        <f>+L109*TARIFAS!$K$2</f>
        <v>0</v>
      </c>
      <c r="O109" s="45">
        <f t="shared" si="1"/>
        <v>0</v>
      </c>
      <c r="P109" s="45">
        <f>+M109+O109+K109+(+I109-(I109*TARIFAS!$K$2))</f>
        <v>0</v>
      </c>
      <c r="Q109" s="42" t="str">
        <f>CONFERENCIAS!T109</f>
        <v/>
      </c>
      <c r="R109" s="45" t="str">
        <f>CONFERENCIAS!U109</f>
        <v/>
      </c>
      <c r="S109" s="45" t="str">
        <f>CONFERENCIAS!W109</f>
        <v/>
      </c>
      <c r="T109" s="48">
        <f>IF(Q109="",0,
   IF(E109=1,
      IF(H109="Presencial",
         VLOOKUP(D109,TARIFAS!A:K,3,FALSE) + IF(I109="Sí",VLOOKUP(D109,TARIFAS!A:K,5,FALSE),0),
         VLOOKUP(D109,TARIFAS!A:K,4,FALSE) + IF(I109="Sí",VLOOKUP(D109,TARIFAS!A:K,5,FALSE),0)
      ),
      IF(H109="Presencial",
         VLOOKUP(D109,TARIFAS!A:K,9,FALSE) + IF(I109="Sí",VLOOKUP(D109,TARIFAS!A:K,11,FALSE),0),
         VLOOKUP(D109,TARIFAS!A:K,10,FALSE) + IF(I109="Sí",VLOOKUP(D109,TARIFAS!A:K,11,FALSE),0)
      )
   )
)
</f>
        <v>0</v>
      </c>
      <c r="U109" s="45">
        <f>IF(R109="",0,MAX(0,R109 - TARIFAS!G$2) * TARIFAS!F$2)
</f>
        <v>0</v>
      </c>
      <c r="V109" s="45">
        <f>+T109*TARIFAS!$K$2</f>
        <v>0</v>
      </c>
      <c r="W109" s="45">
        <f t="shared" si="2"/>
        <v>0</v>
      </c>
      <c r="X109" s="45">
        <f t="shared" si="3"/>
        <v>0</v>
      </c>
      <c r="Y109" s="45">
        <f t="shared" si="4"/>
        <v>0</v>
      </c>
      <c r="Z109" s="42" t="str">
        <f>CONFERENCIAS!AB109</f>
        <v/>
      </c>
      <c r="AA109" s="42" t="str">
        <f>CONFERENCIAS!AC109</f>
        <v/>
      </c>
      <c r="AB109" s="47" t="str">
        <f t="shared" si="5"/>
        <v/>
      </c>
      <c r="AC109" s="9" t="str">
        <f t="shared" si="6"/>
        <v/>
      </c>
    </row>
    <row r="110">
      <c r="A110" s="42" t="str">
        <f>CONFERENCIAS!A110</f>
        <v/>
      </c>
      <c r="D110" s="42" t="str">
        <f>CONFERENCIAS!C110</f>
        <v/>
      </c>
      <c r="E110" s="42" t="str">
        <f>CONFERENCIAS!K110</f>
        <v/>
      </c>
      <c r="F110" s="49" t="str">
        <f>CONFERENCIAS!J110</f>
        <v/>
      </c>
      <c r="G110" s="42" t="str">
        <f>CONFERENCIAS!O110</f>
        <v/>
      </c>
      <c r="H110" s="42" t="str">
        <f>CONFERENCIAS!X110</f>
        <v/>
      </c>
      <c r="I110" s="42" t="str">
        <f>CONFERENCIAS!AA110</f>
        <v/>
      </c>
      <c r="J110" s="44" t="str">
        <f>CONFERENCIAS!P110</f>
        <v/>
      </c>
      <c r="K110" s="45" t="str">
        <f>CONFERENCIAS!R110</f>
        <v/>
      </c>
      <c r="L110" s="45">
        <f>IF(D110="",0,
 IF(E110=1,
   IF(H110="Presencial",
      VLOOKUP(D110,TARIFAS!A:K,3,FALSE) + IF(I110="Sí",VLOOKUP(D110,TARIFAS!A:K,5,FALSE),0),
      VLOOKUP(D110,TARIFAS!A:K,4,FALSE) + IF(I110="Sí",VLOOKUP(D110,TARIFAS!A:K,5,FALSE),0)
   ),
   IF(H110="Presencial",
      VLOOKUP(D110,TARIFAS!A:K,9,FALSE) + IF(I110="Sí",VLOOKUP(D110,TARIFAS!A:K,11,FALSE),0),
      VLOOKUP(D110,TARIFAS!A:K,10,FALSE) + IF(I110="Sí",VLOOKUP(D110,TARIFAS!A:K,11,FALSE),0)
   )
 )
)
</f>
        <v>0</v>
      </c>
      <c r="M110" s="45">
        <f>IF(J110="",0,MAX(0,J110 - TARIFAS!G$2) * TARIFAS!F$2)
</f>
        <v>0</v>
      </c>
      <c r="N110" s="45">
        <f>+L110*TARIFAS!$K$2</f>
        <v>0</v>
      </c>
      <c r="O110" s="45">
        <f t="shared" si="1"/>
        <v>0</v>
      </c>
      <c r="P110" s="45">
        <f>+M110+O110+K110+(+I110-(I110*TARIFAS!$K$2))</f>
        <v>0</v>
      </c>
      <c r="Q110" s="42" t="str">
        <f>CONFERENCIAS!T110</f>
        <v/>
      </c>
      <c r="R110" s="45" t="str">
        <f>CONFERENCIAS!U110</f>
        <v/>
      </c>
      <c r="S110" s="45" t="str">
        <f>CONFERENCIAS!W110</f>
        <v/>
      </c>
      <c r="T110" s="48">
        <f>IF(Q110="",0,
   IF(E110=1,
      IF(H110="Presencial",
         VLOOKUP(D110,TARIFAS!A:K,3,FALSE) + IF(I110="Sí",VLOOKUP(D110,TARIFAS!A:K,5,FALSE),0),
         VLOOKUP(D110,TARIFAS!A:K,4,FALSE) + IF(I110="Sí",VLOOKUP(D110,TARIFAS!A:K,5,FALSE),0)
      ),
      IF(H110="Presencial",
         VLOOKUP(D110,TARIFAS!A:K,9,FALSE) + IF(I110="Sí",VLOOKUP(D110,TARIFAS!A:K,11,FALSE),0),
         VLOOKUP(D110,TARIFAS!A:K,10,FALSE) + IF(I110="Sí",VLOOKUP(D110,TARIFAS!A:K,11,FALSE),0)
      )
   )
)
</f>
        <v>0</v>
      </c>
      <c r="U110" s="45">
        <f>IF(R110="",0,MAX(0,R110 - TARIFAS!G$2) * TARIFAS!F$2)
</f>
        <v>0</v>
      </c>
      <c r="V110" s="45">
        <f>+T110*TARIFAS!$K$2</f>
        <v>0</v>
      </c>
      <c r="W110" s="45">
        <f t="shared" si="2"/>
        <v>0</v>
      </c>
      <c r="X110" s="45">
        <f t="shared" si="3"/>
        <v>0</v>
      </c>
      <c r="Y110" s="45">
        <f t="shared" si="4"/>
        <v>0</v>
      </c>
      <c r="Z110" s="42" t="str">
        <f>CONFERENCIAS!AB110</f>
        <v/>
      </c>
      <c r="AA110" s="42" t="str">
        <f>CONFERENCIAS!AC110</f>
        <v/>
      </c>
      <c r="AB110" s="47" t="str">
        <f t="shared" si="5"/>
        <v/>
      </c>
      <c r="AC110" s="9" t="str">
        <f t="shared" si="6"/>
        <v/>
      </c>
    </row>
    <row r="111">
      <c r="A111" s="42" t="str">
        <f>CONFERENCIAS!A111</f>
        <v/>
      </c>
      <c r="D111" s="42" t="str">
        <f>CONFERENCIAS!C111</f>
        <v/>
      </c>
      <c r="E111" s="42" t="str">
        <f>CONFERENCIAS!K111</f>
        <v/>
      </c>
      <c r="F111" s="49" t="str">
        <f>CONFERENCIAS!J111</f>
        <v/>
      </c>
      <c r="G111" s="42" t="str">
        <f>CONFERENCIAS!O111</f>
        <v/>
      </c>
      <c r="H111" s="42" t="str">
        <f>CONFERENCIAS!X111</f>
        <v/>
      </c>
      <c r="I111" s="42" t="str">
        <f>CONFERENCIAS!AA111</f>
        <v/>
      </c>
      <c r="J111" s="44" t="str">
        <f>CONFERENCIAS!P111</f>
        <v/>
      </c>
      <c r="K111" s="45" t="str">
        <f>CONFERENCIAS!R111</f>
        <v/>
      </c>
      <c r="L111" s="45">
        <f>IF(D111="",0,
 IF(E111=1,
   IF(H111="Presencial",
      VLOOKUP(D111,TARIFAS!A:K,3,FALSE) + IF(I111="Sí",VLOOKUP(D111,TARIFAS!A:K,5,FALSE),0),
      VLOOKUP(D111,TARIFAS!A:K,4,FALSE) + IF(I111="Sí",VLOOKUP(D111,TARIFAS!A:K,5,FALSE),0)
   ),
   IF(H111="Presencial",
      VLOOKUP(D111,TARIFAS!A:K,9,FALSE) + IF(I111="Sí",VLOOKUP(D111,TARIFAS!A:K,11,FALSE),0),
      VLOOKUP(D111,TARIFAS!A:K,10,FALSE) + IF(I111="Sí",VLOOKUP(D111,TARIFAS!A:K,11,FALSE),0)
   )
 )
)
</f>
        <v>0</v>
      </c>
      <c r="M111" s="45">
        <f>IF(J111="",0,MAX(0,J111 - TARIFAS!G$2) * TARIFAS!F$2)
</f>
        <v>0</v>
      </c>
      <c r="N111" s="45">
        <f>+L111*TARIFAS!$K$2</f>
        <v>0</v>
      </c>
      <c r="O111" s="45">
        <f t="shared" si="1"/>
        <v>0</v>
      </c>
      <c r="P111" s="45">
        <f>+M111+O111+K111+(+I111-(I111*TARIFAS!$K$2))</f>
        <v>0</v>
      </c>
      <c r="Q111" s="42" t="str">
        <f>CONFERENCIAS!T111</f>
        <v/>
      </c>
      <c r="R111" s="45" t="str">
        <f>CONFERENCIAS!U111</f>
        <v/>
      </c>
      <c r="S111" s="45" t="str">
        <f>CONFERENCIAS!W111</f>
        <v/>
      </c>
      <c r="T111" s="48">
        <f>IF(Q111="",0,
   IF(E111=1,
      IF(H111="Presencial",
         VLOOKUP(D111,TARIFAS!A:K,3,FALSE) + IF(I111="Sí",VLOOKUP(D111,TARIFAS!A:K,5,FALSE),0),
         VLOOKUP(D111,TARIFAS!A:K,4,FALSE) + IF(I111="Sí",VLOOKUP(D111,TARIFAS!A:K,5,FALSE),0)
      ),
      IF(H111="Presencial",
         VLOOKUP(D111,TARIFAS!A:K,9,FALSE) + IF(I111="Sí",VLOOKUP(D111,TARIFAS!A:K,11,FALSE),0),
         VLOOKUP(D111,TARIFAS!A:K,10,FALSE) + IF(I111="Sí",VLOOKUP(D111,TARIFAS!A:K,11,FALSE),0)
      )
   )
)
</f>
        <v>0</v>
      </c>
      <c r="U111" s="45">
        <f>IF(R111="",0,MAX(0,R111 - TARIFAS!G$2) * TARIFAS!F$2)
</f>
        <v>0</v>
      </c>
      <c r="V111" s="45">
        <f>+T111*TARIFAS!$K$2</f>
        <v>0</v>
      </c>
      <c r="W111" s="45">
        <f t="shared" si="2"/>
        <v>0</v>
      </c>
      <c r="X111" s="45">
        <f t="shared" si="3"/>
        <v>0</v>
      </c>
      <c r="Y111" s="45">
        <f t="shared" si="4"/>
        <v>0</v>
      </c>
      <c r="Z111" s="42" t="str">
        <f>CONFERENCIAS!AB111</f>
        <v/>
      </c>
      <c r="AA111" s="42" t="str">
        <f>CONFERENCIAS!AC111</f>
        <v/>
      </c>
      <c r="AB111" s="47" t="str">
        <f t="shared" si="5"/>
        <v/>
      </c>
      <c r="AC111" s="9" t="str">
        <f t="shared" si="6"/>
        <v/>
      </c>
    </row>
    <row r="112">
      <c r="A112" s="42" t="str">
        <f>CONFERENCIAS!A112</f>
        <v/>
      </c>
      <c r="D112" s="42" t="str">
        <f>CONFERENCIAS!C112</f>
        <v/>
      </c>
      <c r="E112" s="42" t="str">
        <f>CONFERENCIAS!K112</f>
        <v/>
      </c>
      <c r="F112" s="49" t="str">
        <f>CONFERENCIAS!J112</f>
        <v/>
      </c>
      <c r="G112" s="42" t="str">
        <f>CONFERENCIAS!O112</f>
        <v/>
      </c>
      <c r="H112" s="42" t="str">
        <f>CONFERENCIAS!X112</f>
        <v/>
      </c>
      <c r="I112" s="42" t="str">
        <f>CONFERENCIAS!AA112</f>
        <v/>
      </c>
      <c r="J112" s="44" t="str">
        <f>CONFERENCIAS!P112</f>
        <v/>
      </c>
      <c r="K112" s="45" t="str">
        <f>CONFERENCIAS!R112</f>
        <v/>
      </c>
      <c r="L112" s="45">
        <f>IF(D112="",0,
 IF(E112=1,
   IF(H112="Presencial",
      VLOOKUP(D112,TARIFAS!A:K,3,FALSE) + IF(I112="Sí",VLOOKUP(D112,TARIFAS!A:K,5,FALSE),0),
      VLOOKUP(D112,TARIFAS!A:K,4,FALSE) + IF(I112="Sí",VLOOKUP(D112,TARIFAS!A:K,5,FALSE),0)
   ),
   IF(H112="Presencial",
      VLOOKUP(D112,TARIFAS!A:K,9,FALSE) + IF(I112="Sí",VLOOKUP(D112,TARIFAS!A:K,11,FALSE),0),
      VLOOKUP(D112,TARIFAS!A:K,10,FALSE) + IF(I112="Sí",VLOOKUP(D112,TARIFAS!A:K,11,FALSE),0)
   )
 )
)
</f>
        <v>0</v>
      </c>
      <c r="M112" s="45">
        <f>IF(J112="",0,MAX(0,J112 - TARIFAS!G$2) * TARIFAS!F$2)
</f>
        <v>0</v>
      </c>
      <c r="N112" s="45">
        <f>+L112*TARIFAS!$K$2</f>
        <v>0</v>
      </c>
      <c r="O112" s="45">
        <f t="shared" si="1"/>
        <v>0</v>
      </c>
      <c r="P112" s="45">
        <f>+M112+O112+K112+(+I112-(I112*TARIFAS!$K$2))</f>
        <v>0</v>
      </c>
      <c r="Q112" s="42" t="str">
        <f>CONFERENCIAS!T112</f>
        <v/>
      </c>
      <c r="R112" s="45" t="str">
        <f>CONFERENCIAS!U112</f>
        <v/>
      </c>
      <c r="S112" s="45" t="str">
        <f>CONFERENCIAS!W112</f>
        <v/>
      </c>
      <c r="T112" s="48">
        <f>IF(Q112="",0,
   IF(E112=1,
      IF(H112="Presencial",
         VLOOKUP(D112,TARIFAS!A:K,3,FALSE) + IF(I112="Sí",VLOOKUP(D112,TARIFAS!A:K,5,FALSE),0),
         VLOOKUP(D112,TARIFAS!A:K,4,FALSE) + IF(I112="Sí",VLOOKUP(D112,TARIFAS!A:K,5,FALSE),0)
      ),
      IF(H112="Presencial",
         VLOOKUP(D112,TARIFAS!A:K,9,FALSE) + IF(I112="Sí",VLOOKUP(D112,TARIFAS!A:K,11,FALSE),0),
         VLOOKUP(D112,TARIFAS!A:K,10,FALSE) + IF(I112="Sí",VLOOKUP(D112,TARIFAS!A:K,11,FALSE),0)
      )
   )
)
</f>
        <v>0</v>
      </c>
      <c r="U112" s="45">
        <f>IF(R112="",0,MAX(0,R112 - TARIFAS!G$2) * TARIFAS!F$2)
</f>
        <v>0</v>
      </c>
      <c r="V112" s="45">
        <f>+T112*TARIFAS!$K$2</f>
        <v>0</v>
      </c>
      <c r="W112" s="45">
        <f t="shared" si="2"/>
        <v>0</v>
      </c>
      <c r="X112" s="45">
        <f t="shared" si="3"/>
        <v>0</v>
      </c>
      <c r="Y112" s="45">
        <f t="shared" si="4"/>
        <v>0</v>
      </c>
      <c r="Z112" s="42" t="str">
        <f>CONFERENCIAS!AB112</f>
        <v/>
      </c>
      <c r="AA112" s="42" t="str">
        <f>CONFERENCIAS!AC112</f>
        <v/>
      </c>
      <c r="AB112" s="47" t="str">
        <f t="shared" si="5"/>
        <v/>
      </c>
      <c r="AC112" s="9" t="str">
        <f t="shared" si="6"/>
        <v/>
      </c>
    </row>
    <row r="113">
      <c r="A113" s="42" t="str">
        <f>CONFERENCIAS!A113</f>
        <v/>
      </c>
      <c r="D113" s="42" t="str">
        <f>CONFERENCIAS!C113</f>
        <v/>
      </c>
      <c r="E113" s="42" t="str">
        <f>CONFERENCIAS!K113</f>
        <v/>
      </c>
      <c r="F113" s="49" t="str">
        <f>CONFERENCIAS!J113</f>
        <v/>
      </c>
      <c r="G113" s="42" t="str">
        <f>CONFERENCIAS!O113</f>
        <v/>
      </c>
      <c r="H113" s="42" t="str">
        <f>CONFERENCIAS!X113</f>
        <v/>
      </c>
      <c r="I113" s="42" t="str">
        <f>CONFERENCIAS!AA113</f>
        <v/>
      </c>
      <c r="J113" s="44" t="str">
        <f>CONFERENCIAS!P113</f>
        <v/>
      </c>
      <c r="K113" s="45" t="str">
        <f>CONFERENCIAS!R113</f>
        <v/>
      </c>
      <c r="L113" s="45">
        <f>IF(D113="",0,
 IF(E113=1,
   IF(H113="Presencial",
      VLOOKUP(D113,TARIFAS!A:K,3,FALSE) + IF(I113="Sí",VLOOKUP(D113,TARIFAS!A:K,5,FALSE),0),
      VLOOKUP(D113,TARIFAS!A:K,4,FALSE) + IF(I113="Sí",VLOOKUP(D113,TARIFAS!A:K,5,FALSE),0)
   ),
   IF(H113="Presencial",
      VLOOKUP(D113,TARIFAS!A:K,9,FALSE) + IF(I113="Sí",VLOOKUP(D113,TARIFAS!A:K,11,FALSE),0),
      VLOOKUP(D113,TARIFAS!A:K,10,FALSE) + IF(I113="Sí",VLOOKUP(D113,TARIFAS!A:K,11,FALSE),0)
   )
 )
)
</f>
        <v>0</v>
      </c>
      <c r="M113" s="45">
        <f>IF(J113="",0,MAX(0,J113 - TARIFAS!G$2) * TARIFAS!F$2)
</f>
        <v>0</v>
      </c>
      <c r="N113" s="45">
        <f>+L113*TARIFAS!$K$2</f>
        <v>0</v>
      </c>
      <c r="O113" s="45">
        <f t="shared" si="1"/>
        <v>0</v>
      </c>
      <c r="P113" s="45">
        <f>+M113+O113+K113+(+I113-(I113*TARIFAS!$K$2))</f>
        <v>0</v>
      </c>
      <c r="Q113" s="42" t="str">
        <f>CONFERENCIAS!T113</f>
        <v/>
      </c>
      <c r="R113" s="45" t="str">
        <f>CONFERENCIAS!U113</f>
        <v/>
      </c>
      <c r="S113" s="45" t="str">
        <f>CONFERENCIAS!W113</f>
        <v/>
      </c>
      <c r="T113" s="48">
        <f>IF(Q113="",0,
   IF(E113=1,
      IF(H113="Presencial",
         VLOOKUP(D113,TARIFAS!A:K,3,FALSE) + IF(I113="Sí",VLOOKUP(D113,TARIFAS!A:K,5,FALSE),0),
         VLOOKUP(D113,TARIFAS!A:K,4,FALSE) + IF(I113="Sí",VLOOKUP(D113,TARIFAS!A:K,5,FALSE),0)
      ),
      IF(H113="Presencial",
         VLOOKUP(D113,TARIFAS!A:K,9,FALSE) + IF(I113="Sí",VLOOKUP(D113,TARIFAS!A:K,11,FALSE),0),
         VLOOKUP(D113,TARIFAS!A:K,10,FALSE) + IF(I113="Sí",VLOOKUP(D113,TARIFAS!A:K,11,FALSE),0)
      )
   )
)
</f>
        <v>0</v>
      </c>
      <c r="U113" s="45">
        <f>IF(R113="",0,MAX(0,R113 - TARIFAS!G$2) * TARIFAS!F$2)
</f>
        <v>0</v>
      </c>
      <c r="V113" s="45">
        <f>+T113*TARIFAS!$K$2</f>
        <v>0</v>
      </c>
      <c r="W113" s="45">
        <f t="shared" si="2"/>
        <v>0</v>
      </c>
      <c r="X113" s="45">
        <f t="shared" si="3"/>
        <v>0</v>
      </c>
      <c r="Y113" s="45">
        <f t="shared" si="4"/>
        <v>0</v>
      </c>
      <c r="Z113" s="42" t="str">
        <f>CONFERENCIAS!AB113</f>
        <v/>
      </c>
      <c r="AA113" s="42" t="str">
        <f>CONFERENCIAS!AC113</f>
        <v/>
      </c>
      <c r="AB113" s="47" t="str">
        <f t="shared" si="5"/>
        <v/>
      </c>
      <c r="AC113" s="9" t="str">
        <f t="shared" si="6"/>
        <v/>
      </c>
    </row>
    <row r="114">
      <c r="A114" s="42" t="str">
        <f>CONFERENCIAS!A114</f>
        <v/>
      </c>
      <c r="D114" s="42" t="str">
        <f>CONFERENCIAS!C114</f>
        <v/>
      </c>
      <c r="E114" s="42" t="str">
        <f>CONFERENCIAS!K114</f>
        <v/>
      </c>
      <c r="F114" s="49" t="str">
        <f>CONFERENCIAS!J114</f>
        <v/>
      </c>
      <c r="G114" s="42" t="str">
        <f>CONFERENCIAS!O114</f>
        <v/>
      </c>
      <c r="H114" s="42" t="str">
        <f>CONFERENCIAS!X114</f>
        <v/>
      </c>
      <c r="I114" s="42" t="str">
        <f>CONFERENCIAS!AA114</f>
        <v/>
      </c>
      <c r="J114" s="44" t="str">
        <f>CONFERENCIAS!P114</f>
        <v/>
      </c>
      <c r="K114" s="45" t="str">
        <f>CONFERENCIAS!R114</f>
        <v/>
      </c>
      <c r="L114" s="45">
        <f>IF(D114="",0,
 IF(E114=1,
   IF(H114="Presencial",
      VLOOKUP(D114,TARIFAS!A:K,3,FALSE) + IF(I114="Sí",VLOOKUP(D114,TARIFAS!A:K,5,FALSE),0),
      VLOOKUP(D114,TARIFAS!A:K,4,FALSE) + IF(I114="Sí",VLOOKUP(D114,TARIFAS!A:K,5,FALSE),0)
   ),
   IF(H114="Presencial",
      VLOOKUP(D114,TARIFAS!A:K,9,FALSE) + IF(I114="Sí",VLOOKUP(D114,TARIFAS!A:K,11,FALSE),0),
      VLOOKUP(D114,TARIFAS!A:K,10,FALSE) + IF(I114="Sí",VLOOKUP(D114,TARIFAS!A:K,11,FALSE),0)
   )
 )
)
</f>
        <v>0</v>
      </c>
      <c r="M114" s="45">
        <f>IF(J114="",0,MAX(0,J114 - TARIFAS!G$2) * TARIFAS!F$2)
</f>
        <v>0</v>
      </c>
      <c r="N114" s="45">
        <f>+L114*TARIFAS!$K$2</f>
        <v>0</v>
      </c>
      <c r="O114" s="45">
        <f t="shared" si="1"/>
        <v>0</v>
      </c>
      <c r="P114" s="45">
        <f>+M114+O114+K114+(+I114-(I114*TARIFAS!$K$2))</f>
        <v>0</v>
      </c>
      <c r="Q114" s="42" t="str">
        <f>CONFERENCIAS!T114</f>
        <v/>
      </c>
      <c r="R114" s="45" t="str">
        <f>CONFERENCIAS!U114</f>
        <v/>
      </c>
      <c r="S114" s="45" t="str">
        <f>CONFERENCIAS!W114</f>
        <v/>
      </c>
      <c r="T114" s="48">
        <f>IF(Q114="",0,
   IF(E114=1,
      IF(H114="Presencial",
         VLOOKUP(D114,TARIFAS!A:K,3,FALSE) + IF(I114="Sí",VLOOKUP(D114,TARIFAS!A:K,5,FALSE),0),
         VLOOKUP(D114,TARIFAS!A:K,4,FALSE) + IF(I114="Sí",VLOOKUP(D114,TARIFAS!A:K,5,FALSE),0)
      ),
      IF(H114="Presencial",
         VLOOKUP(D114,TARIFAS!A:K,9,FALSE) + IF(I114="Sí",VLOOKUP(D114,TARIFAS!A:K,11,FALSE),0),
         VLOOKUP(D114,TARIFAS!A:K,10,FALSE) + IF(I114="Sí",VLOOKUP(D114,TARIFAS!A:K,11,FALSE),0)
      )
   )
)
</f>
        <v>0</v>
      </c>
      <c r="U114" s="45">
        <f>IF(R114="",0,MAX(0,R114 - TARIFAS!G$2) * TARIFAS!F$2)
</f>
        <v>0</v>
      </c>
      <c r="V114" s="45">
        <f>+T114*TARIFAS!$K$2</f>
        <v>0</v>
      </c>
      <c r="W114" s="45">
        <f t="shared" si="2"/>
        <v>0</v>
      </c>
      <c r="X114" s="45">
        <f t="shared" si="3"/>
        <v>0</v>
      </c>
      <c r="Y114" s="45">
        <f t="shared" si="4"/>
        <v>0</v>
      </c>
      <c r="Z114" s="42" t="str">
        <f>CONFERENCIAS!AB114</f>
        <v/>
      </c>
      <c r="AA114" s="42" t="str">
        <f>CONFERENCIAS!AC114</f>
        <v/>
      </c>
      <c r="AB114" s="47" t="str">
        <f t="shared" si="5"/>
        <v/>
      </c>
      <c r="AC114" s="9" t="str">
        <f t="shared" si="6"/>
        <v/>
      </c>
    </row>
    <row r="115">
      <c r="A115" s="42" t="str">
        <f>CONFERENCIAS!A115</f>
        <v/>
      </c>
      <c r="D115" s="42" t="str">
        <f>CONFERENCIAS!C115</f>
        <v/>
      </c>
      <c r="E115" s="42" t="str">
        <f>CONFERENCIAS!K115</f>
        <v/>
      </c>
      <c r="F115" s="49" t="str">
        <f>CONFERENCIAS!J115</f>
        <v/>
      </c>
      <c r="G115" s="42" t="str">
        <f>CONFERENCIAS!O115</f>
        <v/>
      </c>
      <c r="H115" s="42" t="str">
        <f>CONFERENCIAS!X115</f>
        <v/>
      </c>
      <c r="I115" s="42" t="str">
        <f>CONFERENCIAS!AA115</f>
        <v/>
      </c>
      <c r="J115" s="44" t="str">
        <f>CONFERENCIAS!P115</f>
        <v/>
      </c>
      <c r="K115" s="45" t="str">
        <f>CONFERENCIAS!R115</f>
        <v/>
      </c>
      <c r="L115" s="45">
        <f>IF(D115="",0,
 IF(E115=1,
   IF(H115="Presencial",
      VLOOKUP(D115,TARIFAS!A:K,3,FALSE) + IF(I115="Sí",VLOOKUP(D115,TARIFAS!A:K,5,FALSE),0),
      VLOOKUP(D115,TARIFAS!A:K,4,FALSE) + IF(I115="Sí",VLOOKUP(D115,TARIFAS!A:K,5,FALSE),0)
   ),
   IF(H115="Presencial",
      VLOOKUP(D115,TARIFAS!A:K,9,FALSE) + IF(I115="Sí",VLOOKUP(D115,TARIFAS!A:K,11,FALSE),0),
      VLOOKUP(D115,TARIFAS!A:K,10,FALSE) + IF(I115="Sí",VLOOKUP(D115,TARIFAS!A:K,11,FALSE),0)
   )
 )
)
</f>
        <v>0</v>
      </c>
      <c r="M115" s="45">
        <f>IF(J115="",0,MAX(0,J115 - TARIFAS!G$2) * TARIFAS!F$2)
</f>
        <v>0</v>
      </c>
      <c r="N115" s="45">
        <f>+L115*TARIFAS!$K$2</f>
        <v>0</v>
      </c>
      <c r="O115" s="45">
        <f t="shared" si="1"/>
        <v>0</v>
      </c>
      <c r="P115" s="45">
        <f>+M115+O115+K115+(+I115-(I115*TARIFAS!$K$2))</f>
        <v>0</v>
      </c>
      <c r="Q115" s="42" t="str">
        <f>CONFERENCIAS!T115</f>
        <v/>
      </c>
      <c r="R115" s="45" t="str">
        <f>CONFERENCIAS!U115</f>
        <v/>
      </c>
      <c r="S115" s="45" t="str">
        <f>CONFERENCIAS!W115</f>
        <v/>
      </c>
      <c r="T115" s="48">
        <f>IF(Q115="",0,
   IF(E115=1,
      IF(H115="Presencial",
         VLOOKUP(D115,TARIFAS!A:K,3,FALSE) + IF(I115="Sí",VLOOKUP(D115,TARIFAS!A:K,5,FALSE),0),
         VLOOKUP(D115,TARIFAS!A:K,4,FALSE) + IF(I115="Sí",VLOOKUP(D115,TARIFAS!A:K,5,FALSE),0)
      ),
      IF(H115="Presencial",
         VLOOKUP(D115,TARIFAS!A:K,9,FALSE) + IF(I115="Sí",VLOOKUP(D115,TARIFAS!A:K,11,FALSE),0),
         VLOOKUP(D115,TARIFAS!A:K,10,FALSE) + IF(I115="Sí",VLOOKUP(D115,TARIFAS!A:K,11,FALSE),0)
      )
   )
)
</f>
        <v>0</v>
      </c>
      <c r="U115" s="45">
        <f>IF(R115="",0,MAX(0,R115 - TARIFAS!G$2) * TARIFAS!F$2)
</f>
        <v>0</v>
      </c>
      <c r="V115" s="45">
        <f>+T115*TARIFAS!$K$2</f>
        <v>0</v>
      </c>
      <c r="W115" s="45">
        <f t="shared" si="2"/>
        <v>0</v>
      </c>
      <c r="X115" s="45">
        <f t="shared" si="3"/>
        <v>0</v>
      </c>
      <c r="Y115" s="45">
        <f t="shared" si="4"/>
        <v>0</v>
      </c>
      <c r="Z115" s="42" t="str">
        <f>CONFERENCIAS!AB115</f>
        <v/>
      </c>
      <c r="AA115" s="42" t="str">
        <f>CONFERENCIAS!AC115</f>
        <v/>
      </c>
      <c r="AB115" s="47" t="str">
        <f t="shared" si="5"/>
        <v/>
      </c>
      <c r="AC115" s="9" t="str">
        <f t="shared" si="6"/>
        <v/>
      </c>
    </row>
    <row r="116">
      <c r="A116" s="42" t="str">
        <f>CONFERENCIAS!A116</f>
        <v/>
      </c>
      <c r="D116" s="42" t="str">
        <f>CONFERENCIAS!C116</f>
        <v/>
      </c>
      <c r="E116" s="42" t="str">
        <f>CONFERENCIAS!K116</f>
        <v/>
      </c>
      <c r="F116" s="49" t="str">
        <f>CONFERENCIAS!J116</f>
        <v/>
      </c>
      <c r="G116" s="42" t="str">
        <f>CONFERENCIAS!O116</f>
        <v/>
      </c>
      <c r="H116" s="42" t="str">
        <f>CONFERENCIAS!X116</f>
        <v/>
      </c>
      <c r="I116" s="42" t="str">
        <f>CONFERENCIAS!AA116</f>
        <v/>
      </c>
      <c r="J116" s="44" t="str">
        <f>CONFERENCIAS!P116</f>
        <v/>
      </c>
      <c r="K116" s="45" t="str">
        <f>CONFERENCIAS!R116</f>
        <v/>
      </c>
      <c r="L116" s="45">
        <f>IF(D116="",0,
 IF(E116=1,
   IF(H116="Presencial",
      VLOOKUP(D116,TARIFAS!A:K,3,FALSE) + IF(I116="Sí",VLOOKUP(D116,TARIFAS!A:K,5,FALSE),0),
      VLOOKUP(D116,TARIFAS!A:K,4,FALSE) + IF(I116="Sí",VLOOKUP(D116,TARIFAS!A:K,5,FALSE),0)
   ),
   IF(H116="Presencial",
      VLOOKUP(D116,TARIFAS!A:K,9,FALSE) + IF(I116="Sí",VLOOKUP(D116,TARIFAS!A:K,11,FALSE),0),
      VLOOKUP(D116,TARIFAS!A:K,10,FALSE) + IF(I116="Sí",VLOOKUP(D116,TARIFAS!A:K,11,FALSE),0)
   )
 )
)
</f>
        <v>0</v>
      </c>
      <c r="M116" s="45">
        <f>IF(J116="",0,MAX(0,J116 - TARIFAS!G$2) * TARIFAS!F$2)
</f>
        <v>0</v>
      </c>
      <c r="N116" s="45">
        <f>+L116*TARIFAS!$K$2</f>
        <v>0</v>
      </c>
      <c r="O116" s="45">
        <f t="shared" si="1"/>
        <v>0</v>
      </c>
      <c r="P116" s="45">
        <f>+M116+O116+K116+(+I116-(I116*TARIFAS!$K$2))</f>
        <v>0</v>
      </c>
      <c r="Q116" s="42" t="str">
        <f>CONFERENCIAS!T116</f>
        <v/>
      </c>
      <c r="R116" s="45" t="str">
        <f>CONFERENCIAS!U116</f>
        <v/>
      </c>
      <c r="S116" s="45" t="str">
        <f>CONFERENCIAS!W116</f>
        <v/>
      </c>
      <c r="T116" s="48">
        <f>IF(Q116="",0,
   IF(E116=1,
      IF(H116="Presencial",
         VLOOKUP(D116,TARIFAS!A:K,3,FALSE) + IF(I116="Sí",VLOOKUP(D116,TARIFAS!A:K,5,FALSE),0),
         VLOOKUP(D116,TARIFAS!A:K,4,FALSE) + IF(I116="Sí",VLOOKUP(D116,TARIFAS!A:K,5,FALSE),0)
      ),
      IF(H116="Presencial",
         VLOOKUP(D116,TARIFAS!A:K,9,FALSE) + IF(I116="Sí",VLOOKUP(D116,TARIFAS!A:K,11,FALSE),0),
         VLOOKUP(D116,TARIFAS!A:K,10,FALSE) + IF(I116="Sí",VLOOKUP(D116,TARIFAS!A:K,11,FALSE),0)
      )
   )
)
</f>
        <v>0</v>
      </c>
      <c r="U116" s="45">
        <f>IF(R116="",0,MAX(0,R116 - TARIFAS!G$2) * TARIFAS!F$2)
</f>
        <v>0</v>
      </c>
      <c r="V116" s="45">
        <f>+T116*TARIFAS!$K$2</f>
        <v>0</v>
      </c>
      <c r="W116" s="45">
        <f t="shared" si="2"/>
        <v>0</v>
      </c>
      <c r="X116" s="45">
        <f t="shared" si="3"/>
        <v>0</v>
      </c>
      <c r="Y116" s="45">
        <f t="shared" si="4"/>
        <v>0</v>
      </c>
      <c r="Z116" s="42" t="str">
        <f>CONFERENCIAS!AB116</f>
        <v/>
      </c>
      <c r="AA116" s="42" t="str">
        <f>CONFERENCIAS!AC116</f>
        <v/>
      </c>
      <c r="AB116" s="47" t="str">
        <f t="shared" si="5"/>
        <v/>
      </c>
      <c r="AC116" s="9" t="str">
        <f t="shared" si="6"/>
        <v/>
      </c>
    </row>
    <row r="117">
      <c r="A117" s="42" t="str">
        <f>CONFERENCIAS!A117</f>
        <v/>
      </c>
      <c r="D117" s="42" t="str">
        <f>CONFERENCIAS!C117</f>
        <v/>
      </c>
      <c r="E117" s="42" t="str">
        <f>CONFERENCIAS!K117</f>
        <v/>
      </c>
      <c r="F117" s="49" t="str">
        <f>CONFERENCIAS!J117</f>
        <v/>
      </c>
      <c r="G117" s="42" t="str">
        <f>CONFERENCIAS!O117</f>
        <v/>
      </c>
      <c r="H117" s="42" t="str">
        <f>CONFERENCIAS!X117</f>
        <v/>
      </c>
      <c r="I117" s="42" t="str">
        <f>CONFERENCIAS!AA117</f>
        <v/>
      </c>
      <c r="J117" s="44" t="str">
        <f>CONFERENCIAS!P117</f>
        <v/>
      </c>
      <c r="K117" s="45" t="str">
        <f>CONFERENCIAS!R117</f>
        <v/>
      </c>
      <c r="L117" s="45">
        <f>IF(D117="",0,
 IF(E117=1,
   IF(H117="Presencial",
      VLOOKUP(D117,TARIFAS!A:K,3,FALSE) + IF(I117="Sí",VLOOKUP(D117,TARIFAS!A:K,5,FALSE),0),
      VLOOKUP(D117,TARIFAS!A:K,4,FALSE) + IF(I117="Sí",VLOOKUP(D117,TARIFAS!A:K,5,FALSE),0)
   ),
   IF(H117="Presencial",
      VLOOKUP(D117,TARIFAS!A:K,9,FALSE) + IF(I117="Sí",VLOOKUP(D117,TARIFAS!A:K,11,FALSE),0),
      VLOOKUP(D117,TARIFAS!A:K,10,FALSE) + IF(I117="Sí",VLOOKUP(D117,TARIFAS!A:K,11,FALSE),0)
   )
 )
)
</f>
        <v>0</v>
      </c>
      <c r="M117" s="45">
        <f>IF(J117="",0,MAX(0,J117 - TARIFAS!G$2) * TARIFAS!F$2)
</f>
        <v>0</v>
      </c>
      <c r="N117" s="45">
        <f>+L117*TARIFAS!$K$2</f>
        <v>0</v>
      </c>
      <c r="O117" s="45">
        <f t="shared" si="1"/>
        <v>0</v>
      </c>
      <c r="P117" s="45">
        <f>+M117+O117+K117+(+I117-(I117*TARIFAS!$K$2))</f>
        <v>0</v>
      </c>
      <c r="Q117" s="42" t="str">
        <f>CONFERENCIAS!T117</f>
        <v/>
      </c>
      <c r="R117" s="45" t="str">
        <f>CONFERENCIAS!U117</f>
        <v/>
      </c>
      <c r="S117" s="45" t="str">
        <f>CONFERENCIAS!W117</f>
        <v/>
      </c>
      <c r="T117" s="48">
        <f>IF(Q117="",0,
   IF(E117=1,
      IF(H117="Presencial",
         VLOOKUP(D117,TARIFAS!A:K,3,FALSE) + IF(I117="Sí",VLOOKUP(D117,TARIFAS!A:K,5,FALSE),0),
         VLOOKUP(D117,TARIFAS!A:K,4,FALSE) + IF(I117="Sí",VLOOKUP(D117,TARIFAS!A:K,5,FALSE),0)
      ),
      IF(H117="Presencial",
         VLOOKUP(D117,TARIFAS!A:K,9,FALSE) + IF(I117="Sí",VLOOKUP(D117,TARIFAS!A:K,11,FALSE),0),
         VLOOKUP(D117,TARIFAS!A:K,10,FALSE) + IF(I117="Sí",VLOOKUP(D117,TARIFAS!A:K,11,FALSE),0)
      )
   )
)
</f>
        <v>0</v>
      </c>
      <c r="U117" s="45">
        <f>IF(R117="",0,MAX(0,R117 - TARIFAS!G$2) * TARIFAS!F$2)
</f>
        <v>0</v>
      </c>
      <c r="V117" s="45">
        <f>+T117*TARIFAS!$K$2</f>
        <v>0</v>
      </c>
      <c r="W117" s="45">
        <f t="shared" si="2"/>
        <v>0</v>
      </c>
      <c r="X117" s="45">
        <f t="shared" si="3"/>
        <v>0</v>
      </c>
      <c r="Y117" s="45">
        <f t="shared" si="4"/>
        <v>0</v>
      </c>
      <c r="Z117" s="42" t="str">
        <f>CONFERENCIAS!AB117</f>
        <v/>
      </c>
      <c r="AA117" s="42" t="str">
        <f>CONFERENCIAS!AC117</f>
        <v/>
      </c>
      <c r="AB117" s="47" t="str">
        <f t="shared" si="5"/>
        <v/>
      </c>
      <c r="AC117" s="9" t="str">
        <f t="shared" si="6"/>
        <v/>
      </c>
    </row>
    <row r="118">
      <c r="A118" s="42" t="str">
        <f>CONFERENCIAS!A118</f>
        <v/>
      </c>
      <c r="D118" s="42" t="str">
        <f>CONFERENCIAS!C118</f>
        <v/>
      </c>
      <c r="E118" s="42" t="str">
        <f>CONFERENCIAS!K118</f>
        <v/>
      </c>
      <c r="F118" s="49" t="str">
        <f>CONFERENCIAS!J118</f>
        <v/>
      </c>
      <c r="G118" s="42" t="str">
        <f>CONFERENCIAS!O118</f>
        <v/>
      </c>
      <c r="H118" s="42" t="str">
        <f>CONFERENCIAS!X118</f>
        <v/>
      </c>
      <c r="I118" s="42" t="str">
        <f>CONFERENCIAS!AA118</f>
        <v/>
      </c>
      <c r="J118" s="44" t="str">
        <f>CONFERENCIAS!P118</f>
        <v/>
      </c>
      <c r="K118" s="45" t="str">
        <f>CONFERENCIAS!R118</f>
        <v/>
      </c>
      <c r="L118" s="45">
        <f>IF(D118="",0,
 IF(E118=1,
   IF(H118="Presencial",
      VLOOKUP(D118,TARIFAS!A:K,3,FALSE) + IF(I118="Sí",VLOOKUP(D118,TARIFAS!A:K,5,FALSE),0),
      VLOOKUP(D118,TARIFAS!A:K,4,FALSE) + IF(I118="Sí",VLOOKUP(D118,TARIFAS!A:K,5,FALSE),0)
   ),
   IF(H118="Presencial",
      VLOOKUP(D118,TARIFAS!A:K,9,FALSE) + IF(I118="Sí",VLOOKUP(D118,TARIFAS!A:K,11,FALSE),0),
      VLOOKUP(D118,TARIFAS!A:K,10,FALSE) + IF(I118="Sí",VLOOKUP(D118,TARIFAS!A:K,11,FALSE),0)
   )
 )
)
</f>
        <v>0</v>
      </c>
      <c r="M118" s="45">
        <f>IF(J118="",0,MAX(0,J118 - TARIFAS!G$2) * TARIFAS!F$2)
</f>
        <v>0</v>
      </c>
      <c r="N118" s="45">
        <f>+L118*TARIFAS!$K$2</f>
        <v>0</v>
      </c>
      <c r="O118" s="45">
        <f t="shared" si="1"/>
        <v>0</v>
      </c>
      <c r="P118" s="45">
        <f>+M118+O118+K118+(+I118-(I118*TARIFAS!$K$2))</f>
        <v>0</v>
      </c>
      <c r="Q118" s="42" t="str">
        <f>CONFERENCIAS!T118</f>
        <v/>
      </c>
      <c r="R118" s="45" t="str">
        <f>CONFERENCIAS!U118</f>
        <v/>
      </c>
      <c r="S118" s="45" t="str">
        <f>CONFERENCIAS!W118</f>
        <v/>
      </c>
      <c r="T118" s="48">
        <f>IF(Q118="",0,
   IF(E118=1,
      IF(H118="Presencial",
         VLOOKUP(D118,TARIFAS!A:K,3,FALSE) + IF(I118="Sí",VLOOKUP(D118,TARIFAS!A:K,5,FALSE),0),
         VLOOKUP(D118,TARIFAS!A:K,4,FALSE) + IF(I118="Sí",VLOOKUP(D118,TARIFAS!A:K,5,FALSE),0)
      ),
      IF(H118="Presencial",
         VLOOKUP(D118,TARIFAS!A:K,9,FALSE) + IF(I118="Sí",VLOOKUP(D118,TARIFAS!A:K,11,FALSE),0),
         VLOOKUP(D118,TARIFAS!A:K,10,FALSE) + IF(I118="Sí",VLOOKUP(D118,TARIFAS!A:K,11,FALSE),0)
      )
   )
)
</f>
        <v>0</v>
      </c>
      <c r="U118" s="45">
        <f>IF(R118="",0,MAX(0,R118 - TARIFAS!G$2) * TARIFAS!F$2)
</f>
        <v>0</v>
      </c>
      <c r="V118" s="45">
        <f>+T118*TARIFAS!$K$2</f>
        <v>0</v>
      </c>
      <c r="W118" s="45">
        <f t="shared" si="2"/>
        <v>0</v>
      </c>
      <c r="X118" s="45">
        <f t="shared" si="3"/>
        <v>0</v>
      </c>
      <c r="Y118" s="45">
        <f t="shared" si="4"/>
        <v>0</v>
      </c>
      <c r="Z118" s="42" t="str">
        <f>CONFERENCIAS!AB118</f>
        <v/>
      </c>
      <c r="AA118" s="42" t="str">
        <f>CONFERENCIAS!AC118</f>
        <v/>
      </c>
      <c r="AB118" s="47" t="str">
        <f t="shared" si="5"/>
        <v/>
      </c>
      <c r="AC118" s="9" t="str">
        <f t="shared" si="6"/>
        <v/>
      </c>
    </row>
    <row r="119">
      <c r="A119" s="42" t="str">
        <f>CONFERENCIAS!A119</f>
        <v/>
      </c>
      <c r="D119" s="42" t="str">
        <f>CONFERENCIAS!C119</f>
        <v/>
      </c>
      <c r="E119" s="42" t="str">
        <f>CONFERENCIAS!K119</f>
        <v/>
      </c>
      <c r="F119" s="49" t="str">
        <f>CONFERENCIAS!J119</f>
        <v/>
      </c>
      <c r="G119" s="42" t="str">
        <f>CONFERENCIAS!O119</f>
        <v/>
      </c>
      <c r="H119" s="42" t="str">
        <f>CONFERENCIAS!X119</f>
        <v/>
      </c>
      <c r="I119" s="42" t="str">
        <f>CONFERENCIAS!AA119</f>
        <v/>
      </c>
      <c r="J119" s="44" t="str">
        <f>CONFERENCIAS!P119</f>
        <v/>
      </c>
      <c r="K119" s="45" t="str">
        <f>CONFERENCIAS!R119</f>
        <v/>
      </c>
      <c r="L119" s="45">
        <f>IF(D119="",0,
 IF(E119=1,
   IF(H119="Presencial",
      VLOOKUP(D119,TARIFAS!A:K,3,FALSE) + IF(I119="Sí",VLOOKUP(D119,TARIFAS!A:K,5,FALSE),0),
      VLOOKUP(D119,TARIFAS!A:K,4,FALSE) + IF(I119="Sí",VLOOKUP(D119,TARIFAS!A:K,5,FALSE),0)
   ),
   IF(H119="Presencial",
      VLOOKUP(D119,TARIFAS!A:K,9,FALSE) + IF(I119="Sí",VLOOKUP(D119,TARIFAS!A:K,11,FALSE),0),
      VLOOKUP(D119,TARIFAS!A:K,10,FALSE) + IF(I119="Sí",VLOOKUP(D119,TARIFAS!A:K,11,FALSE),0)
   )
 )
)
</f>
        <v>0</v>
      </c>
      <c r="M119" s="45">
        <f>IF(J119="",0,MAX(0,J119 - TARIFAS!G$2) * TARIFAS!F$2)
</f>
        <v>0</v>
      </c>
      <c r="N119" s="45">
        <f>+L119*TARIFAS!$K$2</f>
        <v>0</v>
      </c>
      <c r="O119" s="45">
        <f t="shared" si="1"/>
        <v>0</v>
      </c>
      <c r="P119" s="45">
        <f>+M119+O119+K119+(+I119-(I119*TARIFAS!$K$2))</f>
        <v>0</v>
      </c>
      <c r="Q119" s="42" t="str">
        <f>CONFERENCIAS!T119</f>
        <v/>
      </c>
      <c r="R119" s="45" t="str">
        <f>CONFERENCIAS!U119</f>
        <v/>
      </c>
      <c r="S119" s="45" t="str">
        <f>CONFERENCIAS!W119</f>
        <v/>
      </c>
      <c r="T119" s="48">
        <f>IF(Q119="",0,
   IF(E119=1,
      IF(H119="Presencial",
         VLOOKUP(D119,TARIFAS!A:K,3,FALSE) + IF(I119="Sí",VLOOKUP(D119,TARIFAS!A:K,5,FALSE),0),
         VLOOKUP(D119,TARIFAS!A:K,4,FALSE) + IF(I119="Sí",VLOOKUP(D119,TARIFAS!A:K,5,FALSE),0)
      ),
      IF(H119="Presencial",
         VLOOKUP(D119,TARIFAS!A:K,9,FALSE) + IF(I119="Sí",VLOOKUP(D119,TARIFAS!A:K,11,FALSE),0),
         VLOOKUP(D119,TARIFAS!A:K,10,FALSE) + IF(I119="Sí",VLOOKUP(D119,TARIFAS!A:K,11,FALSE),0)
      )
   )
)
</f>
        <v>0</v>
      </c>
      <c r="U119" s="45">
        <f>IF(R119="",0,MAX(0,R119 - TARIFAS!G$2) * TARIFAS!F$2)
</f>
        <v>0</v>
      </c>
      <c r="V119" s="45">
        <f>+T119*TARIFAS!$K$2</f>
        <v>0</v>
      </c>
      <c r="W119" s="45">
        <f t="shared" si="2"/>
        <v>0</v>
      </c>
      <c r="X119" s="45">
        <f t="shared" si="3"/>
        <v>0</v>
      </c>
      <c r="Y119" s="45">
        <f t="shared" si="4"/>
        <v>0</v>
      </c>
      <c r="Z119" s="42" t="str">
        <f>CONFERENCIAS!AB119</f>
        <v/>
      </c>
      <c r="AA119" s="42" t="str">
        <f>CONFERENCIAS!AC119</f>
        <v/>
      </c>
      <c r="AB119" s="47" t="str">
        <f t="shared" si="5"/>
        <v/>
      </c>
      <c r="AC119" s="9" t="str">
        <f t="shared" si="6"/>
        <v/>
      </c>
    </row>
    <row r="120">
      <c r="A120" s="42" t="str">
        <f>CONFERENCIAS!A120</f>
        <v/>
      </c>
      <c r="D120" s="42" t="str">
        <f>CONFERENCIAS!C120</f>
        <v/>
      </c>
      <c r="E120" s="42" t="str">
        <f>CONFERENCIAS!K120</f>
        <v/>
      </c>
      <c r="F120" s="49" t="str">
        <f>CONFERENCIAS!J120</f>
        <v/>
      </c>
      <c r="G120" s="42" t="str">
        <f>CONFERENCIAS!O120</f>
        <v/>
      </c>
      <c r="H120" s="42" t="str">
        <f>CONFERENCIAS!X120</f>
        <v/>
      </c>
      <c r="I120" s="42" t="str">
        <f>CONFERENCIAS!AA120</f>
        <v/>
      </c>
      <c r="J120" s="44" t="str">
        <f>CONFERENCIAS!P120</f>
        <v/>
      </c>
      <c r="K120" s="45" t="str">
        <f>CONFERENCIAS!R120</f>
        <v/>
      </c>
      <c r="L120" s="45">
        <f>IF(D120="",0,
 IF(E120=1,
   IF(H120="Presencial",
      VLOOKUP(D120,TARIFAS!A:K,3,FALSE) + IF(I120="Sí",VLOOKUP(D120,TARIFAS!A:K,5,FALSE),0),
      VLOOKUP(D120,TARIFAS!A:K,4,FALSE) + IF(I120="Sí",VLOOKUP(D120,TARIFAS!A:K,5,FALSE),0)
   ),
   IF(H120="Presencial",
      VLOOKUP(D120,TARIFAS!A:K,9,FALSE) + IF(I120="Sí",VLOOKUP(D120,TARIFAS!A:K,11,FALSE),0),
      VLOOKUP(D120,TARIFAS!A:K,10,FALSE) + IF(I120="Sí",VLOOKUP(D120,TARIFAS!A:K,11,FALSE),0)
   )
 )
)
</f>
        <v>0</v>
      </c>
      <c r="M120" s="45">
        <f>IF(J120="",0,MAX(0,J120 - TARIFAS!G$2) * TARIFAS!F$2)
</f>
        <v>0</v>
      </c>
      <c r="N120" s="45">
        <f>+L120*TARIFAS!$K$2</f>
        <v>0</v>
      </c>
      <c r="O120" s="45">
        <f t="shared" si="1"/>
        <v>0</v>
      </c>
      <c r="P120" s="45">
        <f>+M120+O120+K120+(+I120-(I120*TARIFAS!$K$2))</f>
        <v>0</v>
      </c>
      <c r="Q120" s="42" t="str">
        <f>CONFERENCIAS!T120</f>
        <v/>
      </c>
      <c r="R120" s="45" t="str">
        <f>CONFERENCIAS!U120</f>
        <v/>
      </c>
      <c r="S120" s="45" t="str">
        <f>CONFERENCIAS!W120</f>
        <v/>
      </c>
      <c r="T120" s="48">
        <f>IF(Q120="",0,
   IF(E120=1,
      IF(H120="Presencial",
         VLOOKUP(D120,TARIFAS!A:K,3,FALSE) + IF(I120="Sí",VLOOKUP(D120,TARIFAS!A:K,5,FALSE),0),
         VLOOKUP(D120,TARIFAS!A:K,4,FALSE) + IF(I120="Sí",VLOOKUP(D120,TARIFAS!A:K,5,FALSE),0)
      ),
      IF(H120="Presencial",
         VLOOKUP(D120,TARIFAS!A:K,9,FALSE) + IF(I120="Sí",VLOOKUP(D120,TARIFAS!A:K,11,FALSE),0),
         VLOOKUP(D120,TARIFAS!A:K,10,FALSE) + IF(I120="Sí",VLOOKUP(D120,TARIFAS!A:K,11,FALSE),0)
      )
   )
)
</f>
        <v>0</v>
      </c>
      <c r="U120" s="45">
        <f>IF(R120="",0,MAX(0,R120 - TARIFAS!G$2) * TARIFAS!F$2)
</f>
        <v>0</v>
      </c>
      <c r="V120" s="45">
        <f>+T120*TARIFAS!$K$2</f>
        <v>0</v>
      </c>
      <c r="W120" s="45">
        <f t="shared" si="2"/>
        <v>0</v>
      </c>
      <c r="X120" s="45">
        <f t="shared" si="3"/>
        <v>0</v>
      </c>
      <c r="Y120" s="45">
        <f t="shared" si="4"/>
        <v>0</v>
      </c>
      <c r="Z120" s="42" t="str">
        <f>CONFERENCIAS!AB120</f>
        <v/>
      </c>
      <c r="AA120" s="42" t="str">
        <f>CONFERENCIAS!AC120</f>
        <v/>
      </c>
      <c r="AB120" s="47" t="str">
        <f t="shared" si="5"/>
        <v/>
      </c>
      <c r="AC120" s="9" t="str">
        <f t="shared" si="6"/>
        <v/>
      </c>
    </row>
    <row r="121">
      <c r="A121" s="42" t="str">
        <f>CONFERENCIAS!A121</f>
        <v/>
      </c>
      <c r="D121" s="42" t="str">
        <f>CONFERENCIAS!C121</f>
        <v/>
      </c>
      <c r="E121" s="42" t="str">
        <f>CONFERENCIAS!K121</f>
        <v/>
      </c>
      <c r="F121" s="49" t="str">
        <f>CONFERENCIAS!J121</f>
        <v/>
      </c>
      <c r="G121" s="42" t="str">
        <f>CONFERENCIAS!O121</f>
        <v/>
      </c>
      <c r="H121" s="42" t="str">
        <f>CONFERENCIAS!X121</f>
        <v/>
      </c>
      <c r="I121" s="42" t="str">
        <f>CONFERENCIAS!AA121</f>
        <v/>
      </c>
      <c r="J121" s="44" t="str">
        <f>CONFERENCIAS!P121</f>
        <v/>
      </c>
      <c r="K121" s="45" t="str">
        <f>CONFERENCIAS!R121</f>
        <v/>
      </c>
      <c r="L121" s="45">
        <f>IF(D121="",0,
 IF(E121=1,
   IF(H121="Presencial",
      VLOOKUP(D121,TARIFAS!A:K,3,FALSE) + IF(I121="Sí",VLOOKUP(D121,TARIFAS!A:K,5,FALSE),0),
      VLOOKUP(D121,TARIFAS!A:K,4,FALSE) + IF(I121="Sí",VLOOKUP(D121,TARIFAS!A:K,5,FALSE),0)
   ),
   IF(H121="Presencial",
      VLOOKUP(D121,TARIFAS!A:K,9,FALSE) + IF(I121="Sí",VLOOKUP(D121,TARIFAS!A:K,11,FALSE),0),
      VLOOKUP(D121,TARIFAS!A:K,10,FALSE) + IF(I121="Sí",VLOOKUP(D121,TARIFAS!A:K,11,FALSE),0)
   )
 )
)
</f>
        <v>0</v>
      </c>
      <c r="M121" s="45">
        <f>IF(J121="",0,MAX(0,J121 - TARIFAS!G$2) * TARIFAS!F$2)
</f>
        <v>0</v>
      </c>
      <c r="N121" s="45">
        <f>+L121*TARIFAS!$K$2</f>
        <v>0</v>
      </c>
      <c r="O121" s="45">
        <f t="shared" si="1"/>
        <v>0</v>
      </c>
      <c r="P121" s="45">
        <f>+M121+O121+K121+(+I121-(I121*TARIFAS!$K$2))</f>
        <v>0</v>
      </c>
      <c r="Q121" s="42" t="str">
        <f>CONFERENCIAS!T121</f>
        <v/>
      </c>
      <c r="R121" s="45" t="str">
        <f>CONFERENCIAS!U121</f>
        <v/>
      </c>
      <c r="S121" s="45" t="str">
        <f>CONFERENCIAS!W121</f>
        <v/>
      </c>
      <c r="T121" s="48">
        <f>IF(Q121="",0,
   IF(E121=1,
      IF(H121="Presencial",
         VLOOKUP(D121,TARIFAS!A:K,3,FALSE) + IF(I121="Sí",VLOOKUP(D121,TARIFAS!A:K,5,FALSE),0),
         VLOOKUP(D121,TARIFAS!A:K,4,FALSE) + IF(I121="Sí",VLOOKUP(D121,TARIFAS!A:K,5,FALSE),0)
      ),
      IF(H121="Presencial",
         VLOOKUP(D121,TARIFAS!A:K,9,FALSE) + IF(I121="Sí",VLOOKUP(D121,TARIFAS!A:K,11,FALSE),0),
         VLOOKUP(D121,TARIFAS!A:K,10,FALSE) + IF(I121="Sí",VLOOKUP(D121,TARIFAS!A:K,11,FALSE),0)
      )
   )
)
</f>
        <v>0</v>
      </c>
      <c r="U121" s="45">
        <f>IF(R121="",0,MAX(0,R121 - TARIFAS!G$2) * TARIFAS!F$2)
</f>
        <v>0</v>
      </c>
      <c r="V121" s="45">
        <f>+T121*TARIFAS!$K$2</f>
        <v>0</v>
      </c>
      <c r="W121" s="45">
        <f t="shared" si="2"/>
        <v>0</v>
      </c>
      <c r="X121" s="45">
        <f t="shared" si="3"/>
        <v>0</v>
      </c>
      <c r="Y121" s="45">
        <f t="shared" si="4"/>
        <v>0</v>
      </c>
      <c r="Z121" s="42" t="str">
        <f>CONFERENCIAS!AB121</f>
        <v/>
      </c>
      <c r="AA121" s="42" t="str">
        <f>CONFERENCIAS!AC121</f>
        <v/>
      </c>
      <c r="AB121" s="47" t="str">
        <f t="shared" si="5"/>
        <v/>
      </c>
      <c r="AC121" s="9" t="str">
        <f t="shared" si="6"/>
        <v/>
      </c>
    </row>
    <row r="122">
      <c r="A122" s="42" t="str">
        <f>CONFERENCIAS!A122</f>
        <v/>
      </c>
      <c r="D122" s="42" t="str">
        <f>CONFERENCIAS!C122</f>
        <v/>
      </c>
      <c r="E122" s="42" t="str">
        <f>CONFERENCIAS!K122</f>
        <v/>
      </c>
      <c r="F122" s="49" t="str">
        <f>CONFERENCIAS!J122</f>
        <v/>
      </c>
      <c r="G122" s="42" t="str">
        <f>CONFERENCIAS!O122</f>
        <v/>
      </c>
      <c r="H122" s="42" t="str">
        <f>CONFERENCIAS!X122</f>
        <v/>
      </c>
      <c r="I122" s="42" t="str">
        <f>CONFERENCIAS!AA122</f>
        <v/>
      </c>
      <c r="J122" s="44" t="str">
        <f>CONFERENCIAS!P122</f>
        <v/>
      </c>
      <c r="K122" s="45" t="str">
        <f>CONFERENCIAS!R122</f>
        <v/>
      </c>
      <c r="L122" s="45">
        <f>IF(D122="",0,
 IF(E122=1,
   IF(H122="Presencial",
      VLOOKUP(D122,TARIFAS!A:K,3,FALSE) + IF(I122="Sí",VLOOKUP(D122,TARIFAS!A:K,5,FALSE),0),
      VLOOKUP(D122,TARIFAS!A:K,4,FALSE) + IF(I122="Sí",VLOOKUP(D122,TARIFAS!A:K,5,FALSE),0)
   ),
   IF(H122="Presencial",
      VLOOKUP(D122,TARIFAS!A:K,9,FALSE) + IF(I122="Sí",VLOOKUP(D122,TARIFAS!A:K,11,FALSE),0),
      VLOOKUP(D122,TARIFAS!A:K,10,FALSE) + IF(I122="Sí",VLOOKUP(D122,TARIFAS!A:K,11,FALSE),0)
   )
 )
)
</f>
        <v>0</v>
      </c>
      <c r="M122" s="45">
        <f>IF(J122="",0,MAX(0,J122 - TARIFAS!G$2) * TARIFAS!F$2)
</f>
        <v>0</v>
      </c>
      <c r="N122" s="45">
        <f>+L122*TARIFAS!$K$2</f>
        <v>0</v>
      </c>
      <c r="O122" s="45">
        <f t="shared" si="1"/>
        <v>0</v>
      </c>
      <c r="P122" s="45">
        <f>+M122+O122+K122+(+I122-(I122*TARIFAS!$K$2))</f>
        <v>0</v>
      </c>
      <c r="Q122" s="42" t="str">
        <f>CONFERENCIAS!T122</f>
        <v/>
      </c>
      <c r="R122" s="45" t="str">
        <f>CONFERENCIAS!U122</f>
        <v/>
      </c>
      <c r="S122" s="45" t="str">
        <f>CONFERENCIAS!W122</f>
        <v/>
      </c>
      <c r="T122" s="48">
        <f>IF(Q122="",0,
   IF(E122=1,
      IF(H122="Presencial",
         VLOOKUP(D122,TARIFAS!A:K,3,FALSE) + IF(I122="Sí",VLOOKUP(D122,TARIFAS!A:K,5,FALSE),0),
         VLOOKUP(D122,TARIFAS!A:K,4,FALSE) + IF(I122="Sí",VLOOKUP(D122,TARIFAS!A:K,5,FALSE),0)
      ),
      IF(H122="Presencial",
         VLOOKUP(D122,TARIFAS!A:K,9,FALSE) + IF(I122="Sí",VLOOKUP(D122,TARIFAS!A:K,11,FALSE),0),
         VLOOKUP(D122,TARIFAS!A:K,10,FALSE) + IF(I122="Sí",VLOOKUP(D122,TARIFAS!A:K,11,FALSE),0)
      )
   )
)
</f>
        <v>0</v>
      </c>
      <c r="U122" s="45">
        <f>IF(R122="",0,MAX(0,R122 - TARIFAS!G$2) * TARIFAS!F$2)
</f>
        <v>0</v>
      </c>
      <c r="V122" s="45">
        <f>+T122*TARIFAS!$K$2</f>
        <v>0</v>
      </c>
      <c r="W122" s="45">
        <f t="shared" si="2"/>
        <v>0</v>
      </c>
      <c r="X122" s="45">
        <f t="shared" si="3"/>
        <v>0</v>
      </c>
      <c r="Y122" s="45">
        <f t="shared" si="4"/>
        <v>0</v>
      </c>
      <c r="Z122" s="42" t="str">
        <f>CONFERENCIAS!AB122</f>
        <v/>
      </c>
      <c r="AA122" s="42" t="str">
        <f>CONFERENCIAS!AC122</f>
        <v/>
      </c>
      <c r="AB122" s="47" t="str">
        <f t="shared" si="5"/>
        <v/>
      </c>
      <c r="AC122" s="9" t="str">
        <f t="shared" si="6"/>
        <v/>
      </c>
    </row>
    <row r="123">
      <c r="A123" s="42" t="str">
        <f>CONFERENCIAS!A123</f>
        <v/>
      </c>
      <c r="D123" s="42" t="str">
        <f>CONFERENCIAS!C123</f>
        <v/>
      </c>
      <c r="E123" s="42" t="str">
        <f>CONFERENCIAS!K123</f>
        <v/>
      </c>
      <c r="F123" s="49" t="str">
        <f>CONFERENCIAS!J123</f>
        <v/>
      </c>
      <c r="G123" s="42" t="str">
        <f>CONFERENCIAS!O123</f>
        <v/>
      </c>
      <c r="H123" s="42" t="str">
        <f>CONFERENCIAS!X123</f>
        <v/>
      </c>
      <c r="I123" s="42" t="str">
        <f>CONFERENCIAS!AA123</f>
        <v/>
      </c>
      <c r="J123" s="44" t="str">
        <f>CONFERENCIAS!P123</f>
        <v/>
      </c>
      <c r="K123" s="45" t="str">
        <f>CONFERENCIAS!R123</f>
        <v/>
      </c>
      <c r="L123" s="45">
        <f>IF(D123="",0,
 IF(E123=1,
   IF(H123="Presencial",
      VLOOKUP(D123,TARIFAS!A:K,3,FALSE) + IF(I123="Sí",VLOOKUP(D123,TARIFAS!A:K,5,FALSE),0),
      VLOOKUP(D123,TARIFAS!A:K,4,FALSE) + IF(I123="Sí",VLOOKUP(D123,TARIFAS!A:K,5,FALSE),0)
   ),
   IF(H123="Presencial",
      VLOOKUP(D123,TARIFAS!A:K,9,FALSE) + IF(I123="Sí",VLOOKUP(D123,TARIFAS!A:K,11,FALSE),0),
      VLOOKUP(D123,TARIFAS!A:K,10,FALSE) + IF(I123="Sí",VLOOKUP(D123,TARIFAS!A:K,11,FALSE),0)
   )
 )
)
</f>
        <v>0</v>
      </c>
      <c r="M123" s="45">
        <f>IF(J123="",0,MAX(0,J123 - TARIFAS!G$2) * TARIFAS!F$2)
</f>
        <v>0</v>
      </c>
      <c r="N123" s="45">
        <f>+L123*TARIFAS!$K$2</f>
        <v>0</v>
      </c>
      <c r="O123" s="45">
        <f t="shared" si="1"/>
        <v>0</v>
      </c>
      <c r="P123" s="45">
        <f>+M123+O123+K123+(+I123-(I123*TARIFAS!$K$2))</f>
        <v>0</v>
      </c>
      <c r="Q123" s="42" t="str">
        <f>CONFERENCIAS!T123</f>
        <v/>
      </c>
      <c r="R123" s="45" t="str">
        <f>CONFERENCIAS!U123</f>
        <v/>
      </c>
      <c r="S123" s="45" t="str">
        <f>CONFERENCIAS!W123</f>
        <v/>
      </c>
      <c r="T123" s="48">
        <f>IF(Q123="",0,
   IF(E123=1,
      IF(H123="Presencial",
         VLOOKUP(D123,TARIFAS!A:K,3,FALSE) + IF(I123="Sí",VLOOKUP(D123,TARIFAS!A:K,5,FALSE),0),
         VLOOKUP(D123,TARIFAS!A:K,4,FALSE) + IF(I123="Sí",VLOOKUP(D123,TARIFAS!A:K,5,FALSE),0)
      ),
      IF(H123="Presencial",
         VLOOKUP(D123,TARIFAS!A:K,9,FALSE) + IF(I123="Sí",VLOOKUP(D123,TARIFAS!A:K,11,FALSE),0),
         VLOOKUP(D123,TARIFAS!A:K,10,FALSE) + IF(I123="Sí",VLOOKUP(D123,TARIFAS!A:K,11,FALSE),0)
      )
   )
)
</f>
        <v>0</v>
      </c>
      <c r="U123" s="45">
        <f>IF(R123="",0,MAX(0,R123 - TARIFAS!G$2) * TARIFAS!F$2)
</f>
        <v>0</v>
      </c>
      <c r="V123" s="45">
        <f>+T123*TARIFAS!$K$2</f>
        <v>0</v>
      </c>
      <c r="W123" s="45">
        <f t="shared" si="2"/>
        <v>0</v>
      </c>
      <c r="X123" s="45">
        <f t="shared" si="3"/>
        <v>0</v>
      </c>
      <c r="Y123" s="45">
        <f t="shared" si="4"/>
        <v>0</v>
      </c>
      <c r="Z123" s="42" t="str">
        <f>CONFERENCIAS!AB123</f>
        <v/>
      </c>
      <c r="AA123" s="42" t="str">
        <f>CONFERENCIAS!AC123</f>
        <v/>
      </c>
      <c r="AB123" s="47" t="str">
        <f t="shared" si="5"/>
        <v/>
      </c>
      <c r="AC123" s="9" t="str">
        <f t="shared" si="6"/>
        <v/>
      </c>
    </row>
    <row r="124">
      <c r="A124" s="42" t="str">
        <f>CONFERENCIAS!A124</f>
        <v/>
      </c>
      <c r="D124" s="42" t="str">
        <f>CONFERENCIAS!C124</f>
        <v/>
      </c>
      <c r="E124" s="42" t="str">
        <f>CONFERENCIAS!K124</f>
        <v/>
      </c>
      <c r="F124" s="49" t="str">
        <f>CONFERENCIAS!J124</f>
        <v/>
      </c>
      <c r="G124" s="42" t="str">
        <f>CONFERENCIAS!O124</f>
        <v/>
      </c>
      <c r="H124" s="42" t="str">
        <f>CONFERENCIAS!X124</f>
        <v/>
      </c>
      <c r="I124" s="42" t="str">
        <f>CONFERENCIAS!AA124</f>
        <v/>
      </c>
      <c r="J124" s="44" t="str">
        <f>CONFERENCIAS!P124</f>
        <v/>
      </c>
      <c r="K124" s="45" t="str">
        <f>CONFERENCIAS!R124</f>
        <v/>
      </c>
      <c r="L124" s="45">
        <f>IF(D124="",0,
 IF(E124=1,
   IF(H124="Presencial",
      VLOOKUP(D124,TARIFAS!A:K,3,FALSE) + IF(I124="Sí",VLOOKUP(D124,TARIFAS!A:K,5,FALSE),0),
      VLOOKUP(D124,TARIFAS!A:K,4,FALSE) + IF(I124="Sí",VLOOKUP(D124,TARIFAS!A:K,5,FALSE),0)
   ),
   IF(H124="Presencial",
      VLOOKUP(D124,TARIFAS!A:K,9,FALSE) + IF(I124="Sí",VLOOKUP(D124,TARIFAS!A:K,11,FALSE),0),
      VLOOKUP(D124,TARIFAS!A:K,10,FALSE) + IF(I124="Sí",VLOOKUP(D124,TARIFAS!A:K,11,FALSE),0)
   )
 )
)
</f>
        <v>0</v>
      </c>
      <c r="M124" s="45">
        <f>IF(J124="",0,MAX(0,J124 - TARIFAS!G$2) * TARIFAS!F$2)
</f>
        <v>0</v>
      </c>
      <c r="N124" s="45">
        <f>+L124*TARIFAS!$K$2</f>
        <v>0</v>
      </c>
      <c r="O124" s="45">
        <f t="shared" si="1"/>
        <v>0</v>
      </c>
      <c r="P124" s="45">
        <f>+M124+O124+K124+(+I124-(I124*TARIFAS!$K$2))</f>
        <v>0</v>
      </c>
      <c r="Q124" s="42" t="str">
        <f>CONFERENCIAS!T124</f>
        <v/>
      </c>
      <c r="R124" s="45" t="str">
        <f>CONFERENCIAS!U124</f>
        <v/>
      </c>
      <c r="S124" s="45" t="str">
        <f>CONFERENCIAS!W124</f>
        <v/>
      </c>
      <c r="T124" s="48">
        <f>IF(Q124="",0,
   IF(E124=1,
      IF(H124="Presencial",
         VLOOKUP(D124,TARIFAS!A:K,3,FALSE) + IF(I124="Sí",VLOOKUP(D124,TARIFAS!A:K,5,FALSE),0),
         VLOOKUP(D124,TARIFAS!A:K,4,FALSE) + IF(I124="Sí",VLOOKUP(D124,TARIFAS!A:K,5,FALSE),0)
      ),
      IF(H124="Presencial",
         VLOOKUP(D124,TARIFAS!A:K,9,FALSE) + IF(I124="Sí",VLOOKUP(D124,TARIFAS!A:K,11,FALSE),0),
         VLOOKUP(D124,TARIFAS!A:K,10,FALSE) + IF(I124="Sí",VLOOKUP(D124,TARIFAS!A:K,11,FALSE),0)
      )
   )
)
</f>
        <v>0</v>
      </c>
      <c r="U124" s="45">
        <f>IF(R124="",0,MAX(0,R124 - TARIFAS!G$2) * TARIFAS!F$2)
</f>
        <v>0</v>
      </c>
      <c r="V124" s="45">
        <f>+T124*TARIFAS!$K$2</f>
        <v>0</v>
      </c>
      <c r="W124" s="45">
        <f t="shared" si="2"/>
        <v>0</v>
      </c>
      <c r="X124" s="45">
        <f t="shared" si="3"/>
        <v>0</v>
      </c>
      <c r="Y124" s="45">
        <f t="shared" si="4"/>
        <v>0</v>
      </c>
      <c r="Z124" s="42" t="str">
        <f>CONFERENCIAS!AB124</f>
        <v/>
      </c>
      <c r="AA124" s="42" t="str">
        <f>CONFERENCIAS!AC124</f>
        <v/>
      </c>
      <c r="AB124" s="47" t="str">
        <f t="shared" si="5"/>
        <v/>
      </c>
      <c r="AC124" s="9" t="str">
        <f t="shared" si="6"/>
        <v/>
      </c>
    </row>
    <row r="125">
      <c r="A125" s="42" t="str">
        <f>CONFERENCIAS!A125</f>
        <v/>
      </c>
      <c r="D125" s="42" t="str">
        <f>CONFERENCIAS!C125</f>
        <v/>
      </c>
      <c r="E125" s="42" t="str">
        <f>CONFERENCIAS!K125</f>
        <v/>
      </c>
      <c r="F125" s="49" t="str">
        <f>CONFERENCIAS!J125</f>
        <v/>
      </c>
      <c r="G125" s="42" t="str">
        <f>CONFERENCIAS!O125</f>
        <v/>
      </c>
      <c r="H125" s="42" t="str">
        <f>CONFERENCIAS!X125</f>
        <v/>
      </c>
      <c r="I125" s="42" t="str">
        <f>CONFERENCIAS!AA125</f>
        <v/>
      </c>
      <c r="J125" s="44" t="str">
        <f>CONFERENCIAS!P125</f>
        <v/>
      </c>
      <c r="K125" s="45" t="str">
        <f>CONFERENCIAS!R125</f>
        <v/>
      </c>
      <c r="L125" s="45">
        <f>IF(D125="",0,
 IF(E125=1,
   IF(H125="Presencial",
      VLOOKUP(D125,TARIFAS!A:K,3,FALSE) + IF(I125="Sí",VLOOKUP(D125,TARIFAS!A:K,5,FALSE),0),
      VLOOKUP(D125,TARIFAS!A:K,4,FALSE) + IF(I125="Sí",VLOOKUP(D125,TARIFAS!A:K,5,FALSE),0)
   ),
   IF(H125="Presencial",
      VLOOKUP(D125,TARIFAS!A:K,9,FALSE) + IF(I125="Sí",VLOOKUP(D125,TARIFAS!A:K,11,FALSE),0),
      VLOOKUP(D125,TARIFAS!A:K,10,FALSE) + IF(I125="Sí",VLOOKUP(D125,TARIFAS!A:K,11,FALSE),0)
   )
 )
)
</f>
        <v>0</v>
      </c>
      <c r="M125" s="45">
        <f>IF(J125="",0,MAX(0,J125 - TARIFAS!G$2) * TARIFAS!F$2)
</f>
        <v>0</v>
      </c>
      <c r="N125" s="45">
        <f>+L125*TARIFAS!$K$2</f>
        <v>0</v>
      </c>
      <c r="O125" s="45">
        <f t="shared" si="1"/>
        <v>0</v>
      </c>
      <c r="P125" s="45">
        <f>+M125+O125+K125+(+I125-(I125*TARIFAS!$K$2))</f>
        <v>0</v>
      </c>
      <c r="Q125" s="42" t="str">
        <f>CONFERENCIAS!T125</f>
        <v/>
      </c>
      <c r="R125" s="45" t="str">
        <f>CONFERENCIAS!U125</f>
        <v/>
      </c>
      <c r="S125" s="45" t="str">
        <f>CONFERENCIAS!W125</f>
        <v/>
      </c>
      <c r="T125" s="48">
        <f>IF(Q125="",0,
   IF(E125=1,
      IF(H125="Presencial",
         VLOOKUP(D125,TARIFAS!A:K,3,FALSE) + IF(I125="Sí",VLOOKUP(D125,TARIFAS!A:K,5,FALSE),0),
         VLOOKUP(D125,TARIFAS!A:K,4,FALSE) + IF(I125="Sí",VLOOKUP(D125,TARIFAS!A:K,5,FALSE),0)
      ),
      IF(H125="Presencial",
         VLOOKUP(D125,TARIFAS!A:K,9,FALSE) + IF(I125="Sí",VLOOKUP(D125,TARIFAS!A:K,11,FALSE),0),
         VLOOKUP(D125,TARIFAS!A:K,10,FALSE) + IF(I125="Sí",VLOOKUP(D125,TARIFAS!A:K,11,FALSE),0)
      )
   )
)
</f>
        <v>0</v>
      </c>
      <c r="U125" s="45">
        <f>IF(R125="",0,MAX(0,R125 - TARIFAS!G$2) * TARIFAS!F$2)
</f>
        <v>0</v>
      </c>
      <c r="V125" s="45">
        <f>+T125*TARIFAS!$K$2</f>
        <v>0</v>
      </c>
      <c r="W125" s="45">
        <f t="shared" si="2"/>
        <v>0</v>
      </c>
      <c r="X125" s="45">
        <f t="shared" si="3"/>
        <v>0</v>
      </c>
      <c r="Y125" s="45">
        <f t="shared" si="4"/>
        <v>0</v>
      </c>
      <c r="Z125" s="42" t="str">
        <f>CONFERENCIAS!AB125</f>
        <v/>
      </c>
      <c r="AA125" s="42" t="str">
        <f>CONFERENCIAS!AC125</f>
        <v/>
      </c>
      <c r="AB125" s="47" t="str">
        <f t="shared" si="5"/>
        <v/>
      </c>
      <c r="AC125" s="9" t="str">
        <f t="shared" si="6"/>
        <v/>
      </c>
    </row>
    <row r="126">
      <c r="A126" s="42" t="str">
        <f>CONFERENCIAS!A126</f>
        <v/>
      </c>
      <c r="D126" s="42" t="str">
        <f>CONFERENCIAS!C126</f>
        <v/>
      </c>
      <c r="E126" s="42" t="str">
        <f>CONFERENCIAS!K126</f>
        <v/>
      </c>
      <c r="F126" s="49" t="str">
        <f>CONFERENCIAS!J126</f>
        <v/>
      </c>
      <c r="G126" s="42" t="str">
        <f>CONFERENCIAS!O126</f>
        <v/>
      </c>
      <c r="H126" s="42" t="str">
        <f>CONFERENCIAS!X126</f>
        <v/>
      </c>
      <c r="I126" s="42" t="str">
        <f>CONFERENCIAS!AA126</f>
        <v/>
      </c>
      <c r="J126" s="44" t="str">
        <f>CONFERENCIAS!P126</f>
        <v/>
      </c>
      <c r="K126" s="45" t="str">
        <f>CONFERENCIAS!R126</f>
        <v/>
      </c>
      <c r="L126" s="45">
        <f>IF(D126="",0,
 IF(E126=1,
   IF(H126="Presencial",
      VLOOKUP(D126,TARIFAS!A:K,3,FALSE) + IF(I126="Sí",VLOOKUP(D126,TARIFAS!A:K,5,FALSE),0),
      VLOOKUP(D126,TARIFAS!A:K,4,FALSE) + IF(I126="Sí",VLOOKUP(D126,TARIFAS!A:K,5,FALSE),0)
   ),
   IF(H126="Presencial",
      VLOOKUP(D126,TARIFAS!A:K,9,FALSE) + IF(I126="Sí",VLOOKUP(D126,TARIFAS!A:K,11,FALSE),0),
      VLOOKUP(D126,TARIFAS!A:K,10,FALSE) + IF(I126="Sí",VLOOKUP(D126,TARIFAS!A:K,11,FALSE),0)
   )
 )
)
</f>
        <v>0</v>
      </c>
      <c r="M126" s="45">
        <f>IF(J126="",0,MAX(0,J126 - TARIFAS!G$2) * TARIFAS!F$2)
</f>
        <v>0</v>
      </c>
      <c r="N126" s="45">
        <f>+L126*TARIFAS!$K$2</f>
        <v>0</v>
      </c>
      <c r="O126" s="45">
        <f t="shared" si="1"/>
        <v>0</v>
      </c>
      <c r="P126" s="45">
        <f>+M126+O126+K126+(+I126-(I126*TARIFAS!$K$2))</f>
        <v>0</v>
      </c>
      <c r="Q126" s="42" t="str">
        <f>CONFERENCIAS!T126</f>
        <v/>
      </c>
      <c r="R126" s="45" t="str">
        <f>CONFERENCIAS!U126</f>
        <v/>
      </c>
      <c r="S126" s="45" t="str">
        <f>CONFERENCIAS!W126</f>
        <v/>
      </c>
      <c r="T126" s="48">
        <f>IF(Q126="",0,
   IF(E126=1,
      IF(H126="Presencial",
         VLOOKUP(D126,TARIFAS!A:K,3,FALSE) + IF(I126="Sí",VLOOKUP(D126,TARIFAS!A:K,5,FALSE),0),
         VLOOKUP(D126,TARIFAS!A:K,4,FALSE) + IF(I126="Sí",VLOOKUP(D126,TARIFAS!A:K,5,FALSE),0)
      ),
      IF(H126="Presencial",
         VLOOKUP(D126,TARIFAS!A:K,9,FALSE) + IF(I126="Sí",VLOOKUP(D126,TARIFAS!A:K,11,FALSE),0),
         VLOOKUP(D126,TARIFAS!A:K,10,FALSE) + IF(I126="Sí",VLOOKUP(D126,TARIFAS!A:K,11,FALSE),0)
      )
   )
)
</f>
        <v>0</v>
      </c>
      <c r="U126" s="45">
        <f>IF(R126="",0,MAX(0,R126 - TARIFAS!G$2) * TARIFAS!F$2)
</f>
        <v>0</v>
      </c>
      <c r="V126" s="45">
        <f>+T126*TARIFAS!$K$2</f>
        <v>0</v>
      </c>
      <c r="W126" s="45">
        <f t="shared" si="2"/>
        <v>0</v>
      </c>
      <c r="X126" s="45">
        <f t="shared" si="3"/>
        <v>0</v>
      </c>
      <c r="Y126" s="45">
        <f t="shared" si="4"/>
        <v>0</v>
      </c>
      <c r="Z126" s="42" t="str">
        <f>CONFERENCIAS!AB126</f>
        <v/>
      </c>
      <c r="AA126" s="42" t="str">
        <f>CONFERENCIAS!AC126</f>
        <v/>
      </c>
      <c r="AB126" s="47" t="str">
        <f t="shared" si="5"/>
        <v/>
      </c>
      <c r="AC126" s="9" t="str">
        <f t="shared" si="6"/>
        <v/>
      </c>
    </row>
    <row r="127">
      <c r="A127" s="42" t="str">
        <f>CONFERENCIAS!A127</f>
        <v/>
      </c>
      <c r="D127" s="42" t="str">
        <f>CONFERENCIAS!C127</f>
        <v/>
      </c>
      <c r="E127" s="42" t="str">
        <f>CONFERENCIAS!K127</f>
        <v/>
      </c>
      <c r="F127" s="49" t="str">
        <f>CONFERENCIAS!J127</f>
        <v/>
      </c>
      <c r="G127" s="42" t="str">
        <f>CONFERENCIAS!O127</f>
        <v/>
      </c>
      <c r="H127" s="42" t="str">
        <f>CONFERENCIAS!X127</f>
        <v/>
      </c>
      <c r="I127" s="42" t="str">
        <f>CONFERENCIAS!AA127</f>
        <v/>
      </c>
      <c r="J127" s="44" t="str">
        <f>CONFERENCIAS!P127</f>
        <v/>
      </c>
      <c r="K127" s="45" t="str">
        <f>CONFERENCIAS!R127</f>
        <v/>
      </c>
      <c r="L127" s="45">
        <f>IF(D127="",0,
 IF(E127=1,
   IF(H127="Presencial",
      VLOOKUP(D127,TARIFAS!A:K,3,FALSE) + IF(I127="Sí",VLOOKUP(D127,TARIFAS!A:K,5,FALSE),0),
      VLOOKUP(D127,TARIFAS!A:K,4,FALSE) + IF(I127="Sí",VLOOKUP(D127,TARIFAS!A:K,5,FALSE),0)
   ),
   IF(H127="Presencial",
      VLOOKUP(D127,TARIFAS!A:K,9,FALSE) + IF(I127="Sí",VLOOKUP(D127,TARIFAS!A:K,11,FALSE),0),
      VLOOKUP(D127,TARIFAS!A:K,10,FALSE) + IF(I127="Sí",VLOOKUP(D127,TARIFAS!A:K,11,FALSE),0)
   )
 )
)
</f>
        <v>0</v>
      </c>
      <c r="M127" s="45">
        <f>IF(J127="",0,MAX(0,J127 - TARIFAS!G$2) * TARIFAS!F$2)
</f>
        <v>0</v>
      </c>
      <c r="N127" s="45">
        <f>+L127*TARIFAS!$K$2</f>
        <v>0</v>
      </c>
      <c r="O127" s="45">
        <f t="shared" si="1"/>
        <v>0</v>
      </c>
      <c r="P127" s="45">
        <f>+M127+O127+K127+(+I127-(I127*TARIFAS!$K$2))</f>
        <v>0</v>
      </c>
      <c r="Q127" s="42" t="str">
        <f>CONFERENCIAS!T127</f>
        <v/>
      </c>
      <c r="R127" s="45" t="str">
        <f>CONFERENCIAS!U127</f>
        <v/>
      </c>
      <c r="S127" s="45" t="str">
        <f>CONFERENCIAS!W127</f>
        <v/>
      </c>
      <c r="T127" s="48">
        <f>IF(Q127="",0,
   IF(E127=1,
      IF(H127="Presencial",
         VLOOKUP(D127,TARIFAS!A:K,3,FALSE) + IF(I127="Sí",VLOOKUP(D127,TARIFAS!A:K,5,FALSE),0),
         VLOOKUP(D127,TARIFAS!A:K,4,FALSE) + IF(I127="Sí",VLOOKUP(D127,TARIFAS!A:K,5,FALSE),0)
      ),
      IF(H127="Presencial",
         VLOOKUP(D127,TARIFAS!A:K,9,FALSE) + IF(I127="Sí",VLOOKUP(D127,TARIFAS!A:K,11,FALSE),0),
         VLOOKUP(D127,TARIFAS!A:K,10,FALSE) + IF(I127="Sí",VLOOKUP(D127,TARIFAS!A:K,11,FALSE),0)
      )
   )
)
</f>
        <v>0</v>
      </c>
      <c r="U127" s="45">
        <f>IF(R127="",0,MAX(0,R127 - TARIFAS!G$2) * TARIFAS!F$2)
</f>
        <v>0</v>
      </c>
      <c r="V127" s="45">
        <f>+T127*TARIFAS!$K$2</f>
        <v>0</v>
      </c>
      <c r="W127" s="45">
        <f t="shared" si="2"/>
        <v>0</v>
      </c>
      <c r="X127" s="45">
        <f t="shared" si="3"/>
        <v>0</v>
      </c>
      <c r="Y127" s="45">
        <f t="shared" si="4"/>
        <v>0</v>
      </c>
      <c r="Z127" s="42" t="str">
        <f>CONFERENCIAS!AB127</f>
        <v/>
      </c>
      <c r="AA127" s="42" t="str">
        <f>CONFERENCIAS!AC127</f>
        <v/>
      </c>
      <c r="AB127" s="47" t="str">
        <f t="shared" si="5"/>
        <v/>
      </c>
      <c r="AC127" s="9" t="str">
        <f t="shared" si="6"/>
        <v/>
      </c>
    </row>
    <row r="128">
      <c r="A128" s="42" t="str">
        <f>CONFERENCIAS!A128</f>
        <v/>
      </c>
      <c r="D128" s="42" t="str">
        <f>CONFERENCIAS!C128</f>
        <v/>
      </c>
      <c r="E128" s="42" t="str">
        <f>CONFERENCIAS!K128</f>
        <v/>
      </c>
      <c r="F128" s="49" t="str">
        <f>CONFERENCIAS!J128</f>
        <v/>
      </c>
      <c r="G128" s="42" t="str">
        <f>CONFERENCIAS!O128</f>
        <v/>
      </c>
      <c r="H128" s="42" t="str">
        <f>CONFERENCIAS!X128</f>
        <v/>
      </c>
      <c r="I128" s="42" t="str">
        <f>CONFERENCIAS!AA128</f>
        <v/>
      </c>
      <c r="J128" s="44" t="str">
        <f>CONFERENCIAS!P128</f>
        <v/>
      </c>
      <c r="K128" s="45" t="str">
        <f>CONFERENCIAS!R128</f>
        <v/>
      </c>
      <c r="L128" s="45">
        <f>IF(D128="",0,
 IF(E128=1,
   IF(H128="Presencial",
      VLOOKUP(D128,TARIFAS!A:K,3,FALSE) + IF(I128="Sí",VLOOKUP(D128,TARIFAS!A:K,5,FALSE),0),
      VLOOKUP(D128,TARIFAS!A:K,4,FALSE) + IF(I128="Sí",VLOOKUP(D128,TARIFAS!A:K,5,FALSE),0)
   ),
   IF(H128="Presencial",
      VLOOKUP(D128,TARIFAS!A:K,9,FALSE) + IF(I128="Sí",VLOOKUP(D128,TARIFAS!A:K,11,FALSE),0),
      VLOOKUP(D128,TARIFAS!A:K,10,FALSE) + IF(I128="Sí",VLOOKUP(D128,TARIFAS!A:K,11,FALSE),0)
   )
 )
)
</f>
        <v>0</v>
      </c>
      <c r="M128" s="45">
        <f>IF(J128="",0,MAX(0,J128 - TARIFAS!G$2) * TARIFAS!F$2)
</f>
        <v>0</v>
      </c>
      <c r="N128" s="45">
        <f>+L128*TARIFAS!$K$2</f>
        <v>0</v>
      </c>
      <c r="O128" s="45">
        <f t="shared" si="1"/>
        <v>0</v>
      </c>
      <c r="P128" s="45">
        <f>+M128+O128+K128+(+I128-(I128*TARIFAS!$K$2))</f>
        <v>0</v>
      </c>
      <c r="Q128" s="42" t="str">
        <f>CONFERENCIAS!T128</f>
        <v/>
      </c>
      <c r="R128" s="45" t="str">
        <f>CONFERENCIAS!U128</f>
        <v/>
      </c>
      <c r="S128" s="45" t="str">
        <f>CONFERENCIAS!W128</f>
        <v/>
      </c>
      <c r="T128" s="48">
        <f>IF(Q128="",0,
   IF(E128=1,
      IF(H128="Presencial",
         VLOOKUP(D128,TARIFAS!A:K,3,FALSE) + IF(I128="Sí",VLOOKUP(D128,TARIFAS!A:K,5,FALSE),0),
         VLOOKUP(D128,TARIFAS!A:K,4,FALSE) + IF(I128="Sí",VLOOKUP(D128,TARIFAS!A:K,5,FALSE),0)
      ),
      IF(H128="Presencial",
         VLOOKUP(D128,TARIFAS!A:K,9,FALSE) + IF(I128="Sí",VLOOKUP(D128,TARIFAS!A:K,11,FALSE),0),
         VLOOKUP(D128,TARIFAS!A:K,10,FALSE) + IF(I128="Sí",VLOOKUP(D128,TARIFAS!A:K,11,FALSE),0)
      )
   )
)
</f>
        <v>0</v>
      </c>
      <c r="U128" s="45">
        <f>IF(R128="",0,MAX(0,R128 - TARIFAS!G$2) * TARIFAS!F$2)
</f>
        <v>0</v>
      </c>
      <c r="V128" s="45">
        <f>+T128*TARIFAS!$K$2</f>
        <v>0</v>
      </c>
      <c r="W128" s="45">
        <f t="shared" si="2"/>
        <v>0</v>
      </c>
      <c r="X128" s="45">
        <f t="shared" si="3"/>
        <v>0</v>
      </c>
      <c r="Y128" s="45">
        <f t="shared" si="4"/>
        <v>0</v>
      </c>
      <c r="Z128" s="42" t="str">
        <f>CONFERENCIAS!AB128</f>
        <v/>
      </c>
      <c r="AA128" s="42" t="str">
        <f>CONFERENCIAS!AC128</f>
        <v/>
      </c>
      <c r="AB128" s="47" t="str">
        <f t="shared" si="5"/>
        <v/>
      </c>
      <c r="AC128" s="9" t="str">
        <f t="shared" si="6"/>
        <v/>
      </c>
    </row>
    <row r="129">
      <c r="A129" s="42" t="str">
        <f>CONFERENCIAS!A129</f>
        <v/>
      </c>
      <c r="D129" s="42" t="str">
        <f>CONFERENCIAS!C129</f>
        <v/>
      </c>
      <c r="E129" s="42" t="str">
        <f>CONFERENCIAS!K129</f>
        <v/>
      </c>
      <c r="F129" s="49" t="str">
        <f>CONFERENCIAS!J129</f>
        <v/>
      </c>
      <c r="G129" s="42" t="str">
        <f>CONFERENCIAS!O129</f>
        <v/>
      </c>
      <c r="H129" s="42" t="str">
        <f>CONFERENCIAS!X129</f>
        <v/>
      </c>
      <c r="I129" s="42" t="str">
        <f>CONFERENCIAS!AA129</f>
        <v/>
      </c>
      <c r="J129" s="44" t="str">
        <f>CONFERENCIAS!P129</f>
        <v/>
      </c>
      <c r="K129" s="45" t="str">
        <f>CONFERENCIAS!R129</f>
        <v/>
      </c>
      <c r="L129" s="45">
        <f>IF(D129="",0,
 IF(E129=1,
   IF(H129="Presencial",
      VLOOKUP(D129,TARIFAS!A:K,3,FALSE) + IF(I129="Sí",VLOOKUP(D129,TARIFAS!A:K,5,FALSE),0),
      VLOOKUP(D129,TARIFAS!A:K,4,FALSE) + IF(I129="Sí",VLOOKUP(D129,TARIFAS!A:K,5,FALSE),0)
   ),
   IF(H129="Presencial",
      VLOOKUP(D129,TARIFAS!A:K,9,FALSE) + IF(I129="Sí",VLOOKUP(D129,TARIFAS!A:K,11,FALSE),0),
      VLOOKUP(D129,TARIFAS!A:K,10,FALSE) + IF(I129="Sí",VLOOKUP(D129,TARIFAS!A:K,11,FALSE),0)
   )
 )
)
</f>
        <v>0</v>
      </c>
      <c r="M129" s="45">
        <f>IF(J129="",0,MAX(0,J129 - TARIFAS!G$2) * TARIFAS!F$2)
</f>
        <v>0</v>
      </c>
      <c r="N129" s="45">
        <f>+L129*TARIFAS!$K$2</f>
        <v>0</v>
      </c>
      <c r="O129" s="45">
        <f t="shared" si="1"/>
        <v>0</v>
      </c>
      <c r="P129" s="45">
        <f>+M129+O129+K129+(+I129-(I129*TARIFAS!$K$2))</f>
        <v>0</v>
      </c>
      <c r="Q129" s="42" t="str">
        <f>CONFERENCIAS!T129</f>
        <v/>
      </c>
      <c r="R129" s="45" t="str">
        <f>CONFERENCIAS!U129</f>
        <v/>
      </c>
      <c r="S129" s="45" t="str">
        <f>CONFERENCIAS!W129</f>
        <v/>
      </c>
      <c r="T129" s="48">
        <f>IF(Q129="",0,
   IF(E129=1,
      IF(H129="Presencial",
         VLOOKUP(D129,TARIFAS!A:K,3,FALSE) + IF(I129="Sí",VLOOKUP(D129,TARIFAS!A:K,5,FALSE),0),
         VLOOKUP(D129,TARIFAS!A:K,4,FALSE) + IF(I129="Sí",VLOOKUP(D129,TARIFAS!A:K,5,FALSE),0)
      ),
      IF(H129="Presencial",
         VLOOKUP(D129,TARIFAS!A:K,9,FALSE) + IF(I129="Sí",VLOOKUP(D129,TARIFAS!A:K,11,FALSE),0),
         VLOOKUP(D129,TARIFAS!A:K,10,FALSE) + IF(I129="Sí",VLOOKUP(D129,TARIFAS!A:K,11,FALSE),0)
      )
   )
)
</f>
        <v>0</v>
      </c>
      <c r="U129" s="45">
        <f>IF(R129="",0,MAX(0,R129 - TARIFAS!G$2) * TARIFAS!F$2)
</f>
        <v>0</v>
      </c>
      <c r="V129" s="45">
        <f>+T129*TARIFAS!$K$2</f>
        <v>0</v>
      </c>
      <c r="W129" s="45">
        <f t="shared" si="2"/>
        <v>0</v>
      </c>
      <c r="X129" s="45">
        <f t="shared" si="3"/>
        <v>0</v>
      </c>
      <c r="Y129" s="45">
        <f t="shared" si="4"/>
        <v>0</v>
      </c>
      <c r="Z129" s="42" t="str">
        <f>CONFERENCIAS!AB129</f>
        <v/>
      </c>
      <c r="AA129" s="42" t="str">
        <f>CONFERENCIAS!AC129</f>
        <v/>
      </c>
      <c r="AB129" s="47" t="str">
        <f t="shared" si="5"/>
        <v/>
      </c>
      <c r="AC129" s="9" t="str">
        <f t="shared" si="6"/>
        <v/>
      </c>
    </row>
    <row r="130">
      <c r="A130" s="42" t="str">
        <f>CONFERENCIAS!A130</f>
        <v/>
      </c>
      <c r="D130" s="42" t="str">
        <f>CONFERENCIAS!C130</f>
        <v/>
      </c>
      <c r="E130" s="42" t="str">
        <f>CONFERENCIAS!K130</f>
        <v/>
      </c>
      <c r="F130" s="49" t="str">
        <f>CONFERENCIAS!J130</f>
        <v/>
      </c>
      <c r="G130" s="42" t="str">
        <f>CONFERENCIAS!O130</f>
        <v/>
      </c>
      <c r="H130" s="42" t="str">
        <f>CONFERENCIAS!X130</f>
        <v/>
      </c>
      <c r="I130" s="42" t="str">
        <f>CONFERENCIAS!AA130</f>
        <v/>
      </c>
      <c r="J130" s="44" t="str">
        <f>CONFERENCIAS!P130</f>
        <v/>
      </c>
      <c r="K130" s="45" t="str">
        <f>CONFERENCIAS!R130</f>
        <v/>
      </c>
      <c r="L130" s="45">
        <f>IF(D130="",0,
 IF(E130=1,
   IF(H130="Presencial",
      VLOOKUP(D130,TARIFAS!A:K,3,FALSE) + IF(I130="Sí",VLOOKUP(D130,TARIFAS!A:K,5,FALSE),0),
      VLOOKUP(D130,TARIFAS!A:K,4,FALSE) + IF(I130="Sí",VLOOKUP(D130,TARIFAS!A:K,5,FALSE),0)
   ),
   IF(H130="Presencial",
      VLOOKUP(D130,TARIFAS!A:K,9,FALSE) + IF(I130="Sí",VLOOKUP(D130,TARIFAS!A:K,11,FALSE),0),
      VLOOKUP(D130,TARIFAS!A:K,10,FALSE) + IF(I130="Sí",VLOOKUP(D130,TARIFAS!A:K,11,FALSE),0)
   )
 )
)
</f>
        <v>0</v>
      </c>
      <c r="M130" s="45">
        <f>IF(J130="",0,MAX(0,J130 - TARIFAS!G$2) * TARIFAS!F$2)
</f>
        <v>0</v>
      </c>
      <c r="N130" s="45">
        <f>+L130*TARIFAS!$K$2</f>
        <v>0</v>
      </c>
      <c r="O130" s="45">
        <f t="shared" si="1"/>
        <v>0</v>
      </c>
      <c r="P130" s="45">
        <f>+M130+O130+K130+(+I130-(I130*TARIFAS!$K$2))</f>
        <v>0</v>
      </c>
      <c r="Q130" s="42" t="str">
        <f>CONFERENCIAS!T130</f>
        <v/>
      </c>
      <c r="R130" s="45" t="str">
        <f>CONFERENCIAS!U130</f>
        <v/>
      </c>
      <c r="S130" s="45" t="str">
        <f>CONFERENCIAS!W130</f>
        <v/>
      </c>
      <c r="T130" s="48">
        <f>IF(Q130="",0,
   IF(E130=1,
      IF(H130="Presencial",
         VLOOKUP(D130,TARIFAS!A:K,3,FALSE) + IF(I130="Sí",VLOOKUP(D130,TARIFAS!A:K,5,FALSE),0),
         VLOOKUP(D130,TARIFAS!A:K,4,FALSE) + IF(I130="Sí",VLOOKUP(D130,TARIFAS!A:K,5,FALSE),0)
      ),
      IF(H130="Presencial",
         VLOOKUP(D130,TARIFAS!A:K,9,FALSE) + IF(I130="Sí",VLOOKUP(D130,TARIFAS!A:K,11,FALSE),0),
         VLOOKUP(D130,TARIFAS!A:K,10,FALSE) + IF(I130="Sí",VLOOKUP(D130,TARIFAS!A:K,11,FALSE),0)
      )
   )
)
</f>
        <v>0</v>
      </c>
      <c r="U130" s="45">
        <f>IF(R130="",0,MAX(0,R130 - TARIFAS!G$2) * TARIFAS!F$2)
</f>
        <v>0</v>
      </c>
      <c r="V130" s="45">
        <f>+T130*TARIFAS!$K$2</f>
        <v>0</v>
      </c>
      <c r="W130" s="45">
        <f t="shared" si="2"/>
        <v>0</v>
      </c>
      <c r="X130" s="45">
        <f t="shared" si="3"/>
        <v>0</v>
      </c>
      <c r="Y130" s="45">
        <f t="shared" si="4"/>
        <v>0</v>
      </c>
      <c r="Z130" s="42" t="str">
        <f>CONFERENCIAS!AB130</f>
        <v/>
      </c>
      <c r="AA130" s="42" t="str">
        <f>CONFERENCIAS!AC130</f>
        <v/>
      </c>
      <c r="AB130" s="47" t="str">
        <f t="shared" si="5"/>
        <v/>
      </c>
      <c r="AC130" s="9" t="str">
        <f t="shared" si="6"/>
        <v/>
      </c>
    </row>
    <row r="131">
      <c r="A131" s="42" t="str">
        <f>CONFERENCIAS!A131</f>
        <v/>
      </c>
      <c r="D131" s="42" t="str">
        <f>CONFERENCIAS!C131</f>
        <v/>
      </c>
      <c r="E131" s="42" t="str">
        <f>CONFERENCIAS!K131</f>
        <v/>
      </c>
      <c r="F131" s="49" t="str">
        <f>CONFERENCIAS!J131</f>
        <v/>
      </c>
      <c r="G131" s="42" t="str">
        <f>CONFERENCIAS!O131</f>
        <v/>
      </c>
      <c r="H131" s="42" t="str">
        <f>CONFERENCIAS!X131</f>
        <v/>
      </c>
      <c r="I131" s="42" t="str">
        <f>CONFERENCIAS!AA131</f>
        <v/>
      </c>
      <c r="J131" s="44" t="str">
        <f>CONFERENCIAS!P131</f>
        <v/>
      </c>
      <c r="K131" s="45" t="str">
        <f>CONFERENCIAS!R131</f>
        <v/>
      </c>
      <c r="L131" s="45">
        <f>IF(D131="",0,
 IF(E131=1,
   IF(H131="Presencial",
      VLOOKUP(D131,TARIFAS!A:K,3,FALSE) + IF(I131="Sí",VLOOKUP(D131,TARIFAS!A:K,5,FALSE),0),
      VLOOKUP(D131,TARIFAS!A:K,4,FALSE) + IF(I131="Sí",VLOOKUP(D131,TARIFAS!A:K,5,FALSE),0)
   ),
   IF(H131="Presencial",
      VLOOKUP(D131,TARIFAS!A:K,9,FALSE) + IF(I131="Sí",VLOOKUP(D131,TARIFAS!A:K,11,FALSE),0),
      VLOOKUP(D131,TARIFAS!A:K,10,FALSE) + IF(I131="Sí",VLOOKUP(D131,TARIFAS!A:K,11,FALSE),0)
   )
 )
)
</f>
        <v>0</v>
      </c>
      <c r="M131" s="45">
        <f>IF(J131="",0,MAX(0,J131 - TARIFAS!G$2) * TARIFAS!F$2)
</f>
        <v>0</v>
      </c>
      <c r="N131" s="45">
        <f>+L131*TARIFAS!$K$2</f>
        <v>0</v>
      </c>
      <c r="O131" s="45">
        <f t="shared" si="1"/>
        <v>0</v>
      </c>
      <c r="P131" s="45">
        <f>+M131+O131+K131+(+I131-(I131*TARIFAS!$K$2))</f>
        <v>0</v>
      </c>
      <c r="Q131" s="42" t="str">
        <f>CONFERENCIAS!T131</f>
        <v/>
      </c>
      <c r="R131" s="45" t="str">
        <f>CONFERENCIAS!U131</f>
        <v/>
      </c>
      <c r="S131" s="45" t="str">
        <f>CONFERENCIAS!W131</f>
        <v/>
      </c>
      <c r="T131" s="48">
        <f>IF(Q131="",0,
   IF(E131=1,
      IF(H131="Presencial",
         VLOOKUP(D131,TARIFAS!A:K,3,FALSE) + IF(I131="Sí",VLOOKUP(D131,TARIFAS!A:K,5,FALSE),0),
         VLOOKUP(D131,TARIFAS!A:K,4,FALSE) + IF(I131="Sí",VLOOKUP(D131,TARIFAS!A:K,5,FALSE),0)
      ),
      IF(H131="Presencial",
         VLOOKUP(D131,TARIFAS!A:K,9,FALSE) + IF(I131="Sí",VLOOKUP(D131,TARIFAS!A:K,11,FALSE),0),
         VLOOKUP(D131,TARIFAS!A:K,10,FALSE) + IF(I131="Sí",VLOOKUP(D131,TARIFAS!A:K,11,FALSE),0)
      )
   )
)
</f>
        <v>0</v>
      </c>
      <c r="U131" s="45">
        <f>IF(R131="",0,MAX(0,R131 - TARIFAS!G$2) * TARIFAS!F$2)
</f>
        <v>0</v>
      </c>
      <c r="V131" s="45">
        <f>+T131*TARIFAS!$K$2</f>
        <v>0</v>
      </c>
      <c r="W131" s="45">
        <f t="shared" si="2"/>
        <v>0</v>
      </c>
      <c r="X131" s="45">
        <f t="shared" si="3"/>
        <v>0</v>
      </c>
      <c r="Y131" s="45">
        <f t="shared" si="4"/>
        <v>0</v>
      </c>
      <c r="Z131" s="42" t="str">
        <f>CONFERENCIAS!AB131</f>
        <v/>
      </c>
      <c r="AA131" s="42" t="str">
        <f>CONFERENCIAS!AC131</f>
        <v/>
      </c>
      <c r="AB131" s="47" t="str">
        <f t="shared" si="5"/>
        <v/>
      </c>
      <c r="AC131" s="9" t="str">
        <f t="shared" si="6"/>
        <v/>
      </c>
    </row>
    <row r="132">
      <c r="A132" s="42" t="str">
        <f>CONFERENCIAS!A132</f>
        <v/>
      </c>
      <c r="D132" s="42" t="str">
        <f>CONFERENCIAS!C132</f>
        <v/>
      </c>
      <c r="E132" s="42" t="str">
        <f>CONFERENCIAS!K132</f>
        <v/>
      </c>
      <c r="F132" s="49" t="str">
        <f>CONFERENCIAS!J132</f>
        <v/>
      </c>
      <c r="G132" s="42" t="str">
        <f>CONFERENCIAS!O132</f>
        <v/>
      </c>
      <c r="H132" s="42" t="str">
        <f>CONFERENCIAS!X132</f>
        <v/>
      </c>
      <c r="I132" s="42" t="str">
        <f>CONFERENCIAS!AA132</f>
        <v/>
      </c>
      <c r="J132" s="44" t="str">
        <f>CONFERENCIAS!P132</f>
        <v/>
      </c>
      <c r="K132" s="45" t="str">
        <f>CONFERENCIAS!R132</f>
        <v/>
      </c>
      <c r="L132" s="45">
        <f>IF(D132="",0,
 IF(E132=1,
   IF(H132="Presencial",
      VLOOKUP(D132,TARIFAS!A:K,3,FALSE) + IF(I132="Sí",VLOOKUP(D132,TARIFAS!A:K,5,FALSE),0),
      VLOOKUP(D132,TARIFAS!A:K,4,FALSE) + IF(I132="Sí",VLOOKUP(D132,TARIFAS!A:K,5,FALSE),0)
   ),
   IF(H132="Presencial",
      VLOOKUP(D132,TARIFAS!A:K,9,FALSE) + IF(I132="Sí",VLOOKUP(D132,TARIFAS!A:K,11,FALSE),0),
      VLOOKUP(D132,TARIFAS!A:K,10,FALSE) + IF(I132="Sí",VLOOKUP(D132,TARIFAS!A:K,11,FALSE),0)
   )
 )
)
</f>
        <v>0</v>
      </c>
      <c r="M132" s="45">
        <f>IF(J132="",0,MAX(0,J132 - TARIFAS!G$2) * TARIFAS!F$2)
</f>
        <v>0</v>
      </c>
      <c r="N132" s="45">
        <f>+L132*TARIFAS!$K$2</f>
        <v>0</v>
      </c>
      <c r="O132" s="45">
        <f t="shared" si="1"/>
        <v>0</v>
      </c>
      <c r="P132" s="45">
        <f>+M132+O132+K132+(+I132-(I132*TARIFAS!$K$2))</f>
        <v>0</v>
      </c>
      <c r="Q132" s="42" t="str">
        <f>CONFERENCIAS!T132</f>
        <v/>
      </c>
      <c r="R132" s="45" t="str">
        <f>CONFERENCIAS!U132</f>
        <v/>
      </c>
      <c r="S132" s="45" t="str">
        <f>CONFERENCIAS!W132</f>
        <v/>
      </c>
      <c r="T132" s="48">
        <f>IF(Q132="",0,
   IF(E132=1,
      IF(H132="Presencial",
         VLOOKUP(D132,TARIFAS!A:K,3,FALSE) + IF(I132="Sí",VLOOKUP(D132,TARIFAS!A:K,5,FALSE),0),
         VLOOKUP(D132,TARIFAS!A:K,4,FALSE) + IF(I132="Sí",VLOOKUP(D132,TARIFAS!A:K,5,FALSE),0)
      ),
      IF(H132="Presencial",
         VLOOKUP(D132,TARIFAS!A:K,9,FALSE) + IF(I132="Sí",VLOOKUP(D132,TARIFAS!A:K,11,FALSE),0),
         VLOOKUP(D132,TARIFAS!A:K,10,FALSE) + IF(I132="Sí",VLOOKUP(D132,TARIFAS!A:K,11,FALSE),0)
      )
   )
)
</f>
        <v>0</v>
      </c>
      <c r="U132" s="45">
        <f>IF(R132="",0,MAX(0,R132 - TARIFAS!G$2) * TARIFAS!F$2)
</f>
        <v>0</v>
      </c>
      <c r="V132" s="45">
        <f>+T132*TARIFAS!$K$2</f>
        <v>0</v>
      </c>
      <c r="W132" s="45">
        <f t="shared" si="2"/>
        <v>0</v>
      </c>
      <c r="X132" s="45">
        <f t="shared" si="3"/>
        <v>0</v>
      </c>
      <c r="Y132" s="45">
        <f t="shared" si="4"/>
        <v>0</v>
      </c>
      <c r="Z132" s="42" t="str">
        <f>CONFERENCIAS!AB132</f>
        <v/>
      </c>
      <c r="AA132" s="42" t="str">
        <f>CONFERENCIAS!AC132</f>
        <v/>
      </c>
      <c r="AB132" s="47" t="str">
        <f t="shared" si="5"/>
        <v/>
      </c>
      <c r="AC132" s="9" t="str">
        <f t="shared" si="6"/>
        <v/>
      </c>
    </row>
    <row r="133">
      <c r="A133" s="42" t="str">
        <f>CONFERENCIAS!A133</f>
        <v/>
      </c>
      <c r="D133" s="42" t="str">
        <f>CONFERENCIAS!C133</f>
        <v/>
      </c>
      <c r="E133" s="42" t="str">
        <f>CONFERENCIAS!K133</f>
        <v/>
      </c>
      <c r="F133" s="49" t="str">
        <f>CONFERENCIAS!J133</f>
        <v/>
      </c>
      <c r="G133" s="42" t="str">
        <f>CONFERENCIAS!O133</f>
        <v/>
      </c>
      <c r="H133" s="42" t="str">
        <f>CONFERENCIAS!X133</f>
        <v/>
      </c>
      <c r="I133" s="42" t="str">
        <f>CONFERENCIAS!AA133</f>
        <v/>
      </c>
      <c r="J133" s="44" t="str">
        <f>CONFERENCIAS!P133</f>
        <v/>
      </c>
      <c r="K133" s="45" t="str">
        <f>CONFERENCIAS!R133</f>
        <v/>
      </c>
      <c r="L133" s="45">
        <f>IF(D133="",0,
 IF(E133=1,
   IF(H133="Presencial",
      VLOOKUP(D133,TARIFAS!A:K,3,FALSE) + IF(I133="Sí",VLOOKUP(D133,TARIFAS!A:K,5,FALSE),0),
      VLOOKUP(D133,TARIFAS!A:K,4,FALSE) + IF(I133="Sí",VLOOKUP(D133,TARIFAS!A:K,5,FALSE),0)
   ),
   IF(H133="Presencial",
      VLOOKUP(D133,TARIFAS!A:K,9,FALSE) + IF(I133="Sí",VLOOKUP(D133,TARIFAS!A:K,11,FALSE),0),
      VLOOKUP(D133,TARIFAS!A:K,10,FALSE) + IF(I133="Sí",VLOOKUP(D133,TARIFAS!A:K,11,FALSE),0)
   )
 )
)
</f>
        <v>0</v>
      </c>
      <c r="M133" s="45">
        <f>IF(J133="",0,MAX(0,J133 - TARIFAS!G$2) * TARIFAS!F$2)
</f>
        <v>0</v>
      </c>
      <c r="N133" s="45">
        <f>+L133*TARIFAS!$K$2</f>
        <v>0</v>
      </c>
      <c r="O133" s="45">
        <f t="shared" si="1"/>
        <v>0</v>
      </c>
      <c r="P133" s="45">
        <f>+M133+O133+K133+(+I133-(I133*TARIFAS!$K$2))</f>
        <v>0</v>
      </c>
      <c r="Q133" s="42" t="str">
        <f>CONFERENCIAS!T133</f>
        <v/>
      </c>
      <c r="R133" s="45" t="str">
        <f>CONFERENCIAS!U133</f>
        <v/>
      </c>
      <c r="S133" s="45" t="str">
        <f>CONFERENCIAS!W133</f>
        <v/>
      </c>
      <c r="T133" s="48">
        <f>IF(Q133="",0,
   IF(E133=1,
      IF(H133="Presencial",
         VLOOKUP(D133,TARIFAS!A:K,3,FALSE) + IF(I133="Sí",VLOOKUP(D133,TARIFAS!A:K,5,FALSE),0),
         VLOOKUP(D133,TARIFAS!A:K,4,FALSE) + IF(I133="Sí",VLOOKUP(D133,TARIFAS!A:K,5,FALSE),0)
      ),
      IF(H133="Presencial",
         VLOOKUP(D133,TARIFAS!A:K,9,FALSE) + IF(I133="Sí",VLOOKUP(D133,TARIFAS!A:K,11,FALSE),0),
         VLOOKUP(D133,TARIFAS!A:K,10,FALSE) + IF(I133="Sí",VLOOKUP(D133,TARIFAS!A:K,11,FALSE),0)
      )
   )
)
</f>
        <v>0</v>
      </c>
      <c r="U133" s="45">
        <f>IF(R133="",0,MAX(0,R133 - TARIFAS!G$2) * TARIFAS!F$2)
</f>
        <v>0</v>
      </c>
      <c r="V133" s="45">
        <f>+T133*TARIFAS!$K$2</f>
        <v>0</v>
      </c>
      <c r="W133" s="45">
        <f t="shared" si="2"/>
        <v>0</v>
      </c>
      <c r="X133" s="45">
        <f t="shared" si="3"/>
        <v>0</v>
      </c>
      <c r="Y133" s="45">
        <f t="shared" si="4"/>
        <v>0</v>
      </c>
      <c r="Z133" s="42" t="str">
        <f>CONFERENCIAS!AB133</f>
        <v/>
      </c>
      <c r="AA133" s="42" t="str">
        <f>CONFERENCIAS!AC133</f>
        <v/>
      </c>
      <c r="AB133" s="47" t="str">
        <f t="shared" si="5"/>
        <v/>
      </c>
      <c r="AC133" s="9" t="str">
        <f t="shared" si="6"/>
        <v/>
      </c>
    </row>
    <row r="134">
      <c r="A134" s="42" t="str">
        <f>CONFERENCIAS!A134</f>
        <v/>
      </c>
      <c r="D134" s="42" t="str">
        <f>CONFERENCIAS!C134</f>
        <v/>
      </c>
      <c r="E134" s="42" t="str">
        <f>CONFERENCIAS!K134</f>
        <v/>
      </c>
      <c r="F134" s="49" t="str">
        <f>CONFERENCIAS!J134</f>
        <v/>
      </c>
      <c r="G134" s="42" t="str">
        <f>CONFERENCIAS!O134</f>
        <v/>
      </c>
      <c r="H134" s="42" t="str">
        <f>CONFERENCIAS!X134</f>
        <v/>
      </c>
      <c r="I134" s="42" t="str">
        <f>CONFERENCIAS!AA134</f>
        <v/>
      </c>
      <c r="J134" s="44" t="str">
        <f>CONFERENCIAS!P134</f>
        <v/>
      </c>
      <c r="K134" s="45" t="str">
        <f>CONFERENCIAS!R134</f>
        <v/>
      </c>
      <c r="L134" s="45">
        <f>IF(D134="",0,
 IF(E134=1,
   IF(H134="Presencial",
      VLOOKUP(D134,TARIFAS!A:K,3,FALSE) + IF(I134="Sí",VLOOKUP(D134,TARIFAS!A:K,5,FALSE),0),
      VLOOKUP(D134,TARIFAS!A:K,4,FALSE) + IF(I134="Sí",VLOOKUP(D134,TARIFAS!A:K,5,FALSE),0)
   ),
   IF(H134="Presencial",
      VLOOKUP(D134,TARIFAS!A:K,9,FALSE) + IF(I134="Sí",VLOOKUP(D134,TARIFAS!A:K,11,FALSE),0),
      VLOOKUP(D134,TARIFAS!A:K,10,FALSE) + IF(I134="Sí",VLOOKUP(D134,TARIFAS!A:K,11,FALSE),0)
   )
 )
)
</f>
        <v>0</v>
      </c>
      <c r="M134" s="45">
        <f>IF(J134="",0,MAX(0,J134 - TARIFAS!G$2) * TARIFAS!F$2)
</f>
        <v>0</v>
      </c>
      <c r="N134" s="45">
        <f>+L134*TARIFAS!$K$2</f>
        <v>0</v>
      </c>
      <c r="O134" s="45">
        <f t="shared" si="1"/>
        <v>0</v>
      </c>
      <c r="P134" s="45">
        <f>+M134+O134+K134+(+I134-(I134*TARIFAS!$K$2))</f>
        <v>0</v>
      </c>
      <c r="Q134" s="42" t="str">
        <f>CONFERENCIAS!T134</f>
        <v/>
      </c>
      <c r="R134" s="45" t="str">
        <f>CONFERENCIAS!U134</f>
        <v/>
      </c>
      <c r="S134" s="45" t="str">
        <f>CONFERENCIAS!W134</f>
        <v/>
      </c>
      <c r="T134" s="48">
        <f>IF(Q134="",0,
   IF(E134=1,
      IF(H134="Presencial",
         VLOOKUP(D134,TARIFAS!A:K,3,FALSE) + IF(I134="Sí",VLOOKUP(D134,TARIFAS!A:K,5,FALSE),0),
         VLOOKUP(D134,TARIFAS!A:K,4,FALSE) + IF(I134="Sí",VLOOKUP(D134,TARIFAS!A:K,5,FALSE),0)
      ),
      IF(H134="Presencial",
         VLOOKUP(D134,TARIFAS!A:K,9,FALSE) + IF(I134="Sí",VLOOKUP(D134,TARIFAS!A:K,11,FALSE),0),
         VLOOKUP(D134,TARIFAS!A:K,10,FALSE) + IF(I134="Sí",VLOOKUP(D134,TARIFAS!A:K,11,FALSE),0)
      )
   )
)
</f>
        <v>0</v>
      </c>
      <c r="U134" s="45">
        <f>IF(R134="",0,MAX(0,R134 - TARIFAS!G$2) * TARIFAS!F$2)
</f>
        <v>0</v>
      </c>
      <c r="V134" s="45">
        <f>+T134*TARIFAS!$K$2</f>
        <v>0</v>
      </c>
      <c r="W134" s="45">
        <f t="shared" si="2"/>
        <v>0</v>
      </c>
      <c r="X134" s="45">
        <f t="shared" si="3"/>
        <v>0</v>
      </c>
      <c r="Y134" s="45">
        <f t="shared" si="4"/>
        <v>0</v>
      </c>
      <c r="Z134" s="42" t="str">
        <f>CONFERENCIAS!AB134</f>
        <v/>
      </c>
      <c r="AA134" s="42" t="str">
        <f>CONFERENCIAS!AC134</f>
        <v/>
      </c>
      <c r="AB134" s="47" t="str">
        <f t="shared" si="5"/>
        <v/>
      </c>
      <c r="AC134" s="9" t="str">
        <f t="shared" si="6"/>
        <v/>
      </c>
    </row>
    <row r="135">
      <c r="A135" s="42" t="str">
        <f>CONFERENCIAS!A135</f>
        <v/>
      </c>
      <c r="D135" s="42" t="str">
        <f>CONFERENCIAS!C135</f>
        <v/>
      </c>
      <c r="E135" s="42" t="str">
        <f>CONFERENCIAS!K135</f>
        <v/>
      </c>
      <c r="F135" s="49" t="str">
        <f>CONFERENCIAS!J135</f>
        <v/>
      </c>
      <c r="G135" s="42" t="str">
        <f>CONFERENCIAS!O135</f>
        <v/>
      </c>
      <c r="H135" s="42" t="str">
        <f>CONFERENCIAS!X135</f>
        <v/>
      </c>
      <c r="I135" s="42" t="str">
        <f>CONFERENCIAS!AA135</f>
        <v/>
      </c>
      <c r="J135" s="44" t="str">
        <f>CONFERENCIAS!P135</f>
        <v/>
      </c>
      <c r="K135" s="45" t="str">
        <f>CONFERENCIAS!R135</f>
        <v/>
      </c>
      <c r="L135" s="45">
        <f>IF(D135="",0,
 IF(E135=1,
   IF(H135="Presencial",
      VLOOKUP(D135,TARIFAS!A:K,3,FALSE) + IF(I135="Sí",VLOOKUP(D135,TARIFAS!A:K,5,FALSE),0),
      VLOOKUP(D135,TARIFAS!A:K,4,FALSE) + IF(I135="Sí",VLOOKUP(D135,TARIFAS!A:K,5,FALSE),0)
   ),
   IF(H135="Presencial",
      VLOOKUP(D135,TARIFAS!A:K,9,FALSE) + IF(I135="Sí",VLOOKUP(D135,TARIFAS!A:K,11,FALSE),0),
      VLOOKUP(D135,TARIFAS!A:K,10,FALSE) + IF(I135="Sí",VLOOKUP(D135,TARIFAS!A:K,11,FALSE),0)
   )
 )
)
</f>
        <v>0</v>
      </c>
      <c r="M135" s="45">
        <f>IF(J135="",0,MAX(0,J135 - TARIFAS!G$2) * TARIFAS!F$2)
</f>
        <v>0</v>
      </c>
      <c r="N135" s="45">
        <f>+L135*TARIFAS!$K$2</f>
        <v>0</v>
      </c>
      <c r="O135" s="45">
        <f t="shared" si="1"/>
        <v>0</v>
      </c>
      <c r="P135" s="45">
        <f>+M135+O135+K135+(+I135-(I135*TARIFAS!$K$2))</f>
        <v>0</v>
      </c>
      <c r="Q135" s="42" t="str">
        <f>CONFERENCIAS!T135</f>
        <v/>
      </c>
      <c r="R135" s="45" t="str">
        <f>CONFERENCIAS!U135</f>
        <v/>
      </c>
      <c r="S135" s="45" t="str">
        <f>CONFERENCIAS!W135</f>
        <v/>
      </c>
      <c r="T135" s="48">
        <f>IF(Q135="",0,
   IF(E135=1,
      IF(H135="Presencial",
         VLOOKUP(D135,TARIFAS!A:K,3,FALSE) + IF(I135="Sí",VLOOKUP(D135,TARIFAS!A:K,5,FALSE),0),
         VLOOKUP(D135,TARIFAS!A:K,4,FALSE) + IF(I135="Sí",VLOOKUP(D135,TARIFAS!A:K,5,FALSE),0)
      ),
      IF(H135="Presencial",
         VLOOKUP(D135,TARIFAS!A:K,9,FALSE) + IF(I135="Sí",VLOOKUP(D135,TARIFAS!A:K,11,FALSE),0),
         VLOOKUP(D135,TARIFAS!A:K,10,FALSE) + IF(I135="Sí",VLOOKUP(D135,TARIFAS!A:K,11,FALSE),0)
      )
   )
)
</f>
        <v>0</v>
      </c>
      <c r="U135" s="45">
        <f>IF(R135="",0,MAX(0,R135 - TARIFAS!G$2) * TARIFAS!F$2)
</f>
        <v>0</v>
      </c>
      <c r="V135" s="45">
        <f>+T135*TARIFAS!$K$2</f>
        <v>0</v>
      </c>
      <c r="W135" s="45">
        <f t="shared" si="2"/>
        <v>0</v>
      </c>
      <c r="X135" s="45">
        <f t="shared" si="3"/>
        <v>0</v>
      </c>
      <c r="Y135" s="45">
        <f t="shared" si="4"/>
        <v>0</v>
      </c>
      <c r="Z135" s="42" t="str">
        <f>CONFERENCIAS!AB135</f>
        <v/>
      </c>
      <c r="AA135" s="42" t="str">
        <f>CONFERENCIAS!AC135</f>
        <v/>
      </c>
      <c r="AB135" s="47" t="str">
        <f t="shared" si="5"/>
        <v/>
      </c>
      <c r="AC135" s="9" t="str">
        <f t="shared" si="6"/>
        <v/>
      </c>
    </row>
    <row r="136">
      <c r="A136" s="42" t="str">
        <f>CONFERENCIAS!A136</f>
        <v/>
      </c>
      <c r="D136" s="42" t="str">
        <f>CONFERENCIAS!C136</f>
        <v/>
      </c>
      <c r="E136" s="42" t="str">
        <f>CONFERENCIAS!K136</f>
        <v/>
      </c>
      <c r="F136" s="49" t="str">
        <f>CONFERENCIAS!J136</f>
        <v/>
      </c>
      <c r="G136" s="42" t="str">
        <f>CONFERENCIAS!O136</f>
        <v/>
      </c>
      <c r="H136" s="42" t="str">
        <f>CONFERENCIAS!X136</f>
        <v/>
      </c>
      <c r="I136" s="42" t="str">
        <f>CONFERENCIAS!AA136</f>
        <v/>
      </c>
      <c r="J136" s="44" t="str">
        <f>CONFERENCIAS!P136</f>
        <v/>
      </c>
      <c r="K136" s="45" t="str">
        <f>CONFERENCIAS!R136</f>
        <v/>
      </c>
      <c r="L136" s="45">
        <f>IF(D136="",0,
 IF(E136=1,
   IF(H136="Presencial",
      VLOOKUP(D136,TARIFAS!A:K,3,FALSE) + IF(I136="Sí",VLOOKUP(D136,TARIFAS!A:K,5,FALSE),0),
      VLOOKUP(D136,TARIFAS!A:K,4,FALSE) + IF(I136="Sí",VLOOKUP(D136,TARIFAS!A:K,5,FALSE),0)
   ),
   IF(H136="Presencial",
      VLOOKUP(D136,TARIFAS!A:K,9,FALSE) + IF(I136="Sí",VLOOKUP(D136,TARIFAS!A:K,11,FALSE),0),
      VLOOKUP(D136,TARIFAS!A:K,10,FALSE) + IF(I136="Sí",VLOOKUP(D136,TARIFAS!A:K,11,FALSE),0)
   )
 )
)
</f>
        <v>0</v>
      </c>
      <c r="M136" s="45">
        <f>IF(J136="",0,MAX(0,J136 - TARIFAS!G$2) * TARIFAS!F$2)
</f>
        <v>0</v>
      </c>
      <c r="N136" s="45">
        <f>+L136*TARIFAS!$K$2</f>
        <v>0</v>
      </c>
      <c r="O136" s="45">
        <f t="shared" si="1"/>
        <v>0</v>
      </c>
      <c r="P136" s="45">
        <f>+M136+O136+K136+(+I136-(I136*TARIFAS!$K$2))</f>
        <v>0</v>
      </c>
      <c r="Q136" s="42" t="str">
        <f>CONFERENCIAS!T136</f>
        <v/>
      </c>
      <c r="R136" s="45" t="str">
        <f>CONFERENCIAS!U136</f>
        <v/>
      </c>
      <c r="S136" s="45" t="str">
        <f>CONFERENCIAS!W136</f>
        <v/>
      </c>
      <c r="T136" s="48">
        <f>IF(Q136="",0,
   IF(E136=1,
      IF(H136="Presencial",
         VLOOKUP(D136,TARIFAS!A:K,3,FALSE) + IF(I136="Sí",VLOOKUP(D136,TARIFAS!A:K,5,FALSE),0),
         VLOOKUP(D136,TARIFAS!A:K,4,FALSE) + IF(I136="Sí",VLOOKUP(D136,TARIFAS!A:K,5,FALSE),0)
      ),
      IF(H136="Presencial",
         VLOOKUP(D136,TARIFAS!A:K,9,FALSE) + IF(I136="Sí",VLOOKUP(D136,TARIFAS!A:K,11,FALSE),0),
         VLOOKUP(D136,TARIFAS!A:K,10,FALSE) + IF(I136="Sí",VLOOKUP(D136,TARIFAS!A:K,11,FALSE),0)
      )
   )
)
</f>
        <v>0</v>
      </c>
      <c r="U136" s="45">
        <f>IF(R136="",0,MAX(0,R136 - TARIFAS!G$2) * TARIFAS!F$2)
</f>
        <v>0</v>
      </c>
      <c r="V136" s="45">
        <f>+T136*TARIFAS!$K$2</f>
        <v>0</v>
      </c>
      <c r="W136" s="45">
        <f t="shared" si="2"/>
        <v>0</v>
      </c>
      <c r="X136" s="45">
        <f t="shared" si="3"/>
        <v>0</v>
      </c>
      <c r="Y136" s="45">
        <f t="shared" si="4"/>
        <v>0</v>
      </c>
      <c r="Z136" s="42" t="str">
        <f>CONFERENCIAS!AB136</f>
        <v/>
      </c>
      <c r="AA136" s="42" t="str">
        <f>CONFERENCIAS!AC136</f>
        <v/>
      </c>
      <c r="AB136" s="47" t="str">
        <f t="shared" si="5"/>
        <v/>
      </c>
      <c r="AC136" s="9" t="str">
        <f t="shared" si="6"/>
        <v/>
      </c>
    </row>
    <row r="137">
      <c r="A137" s="42" t="str">
        <f>CONFERENCIAS!A137</f>
        <v/>
      </c>
      <c r="D137" s="42" t="str">
        <f>CONFERENCIAS!C137</f>
        <v/>
      </c>
      <c r="E137" s="42" t="str">
        <f>CONFERENCIAS!K137</f>
        <v/>
      </c>
      <c r="F137" s="49" t="str">
        <f>CONFERENCIAS!J137</f>
        <v/>
      </c>
      <c r="G137" s="42" t="str">
        <f>CONFERENCIAS!O137</f>
        <v/>
      </c>
      <c r="H137" s="42" t="str">
        <f>CONFERENCIAS!X137</f>
        <v/>
      </c>
      <c r="I137" s="42" t="str">
        <f>CONFERENCIAS!AA137</f>
        <v/>
      </c>
      <c r="J137" s="44" t="str">
        <f>CONFERENCIAS!P137</f>
        <v/>
      </c>
      <c r="K137" s="45" t="str">
        <f>CONFERENCIAS!R137</f>
        <v/>
      </c>
      <c r="L137" s="45">
        <f>IF(D137="",0,
 IF(E137=1,
   IF(H137="Presencial",
      VLOOKUP(D137,TARIFAS!A:K,3,FALSE) + IF(I137="Sí",VLOOKUP(D137,TARIFAS!A:K,5,FALSE),0),
      VLOOKUP(D137,TARIFAS!A:K,4,FALSE) + IF(I137="Sí",VLOOKUP(D137,TARIFAS!A:K,5,FALSE),0)
   ),
   IF(H137="Presencial",
      VLOOKUP(D137,TARIFAS!A:K,9,FALSE) + IF(I137="Sí",VLOOKUP(D137,TARIFAS!A:K,11,FALSE),0),
      VLOOKUP(D137,TARIFAS!A:K,10,FALSE) + IF(I137="Sí",VLOOKUP(D137,TARIFAS!A:K,11,FALSE),0)
   )
 )
)
</f>
        <v>0</v>
      </c>
      <c r="M137" s="45">
        <f>IF(J137="",0,MAX(0,J137 - TARIFAS!G$2) * TARIFAS!F$2)
</f>
        <v>0</v>
      </c>
      <c r="N137" s="45">
        <f>+L137*TARIFAS!$K$2</f>
        <v>0</v>
      </c>
      <c r="O137" s="45">
        <f t="shared" si="1"/>
        <v>0</v>
      </c>
      <c r="P137" s="45">
        <f>+M137+O137+K137+(+I137-(I137*TARIFAS!$K$2))</f>
        <v>0</v>
      </c>
      <c r="Q137" s="42" t="str">
        <f>CONFERENCIAS!T137</f>
        <v/>
      </c>
      <c r="R137" s="45" t="str">
        <f>CONFERENCIAS!U137</f>
        <v/>
      </c>
      <c r="S137" s="45" t="str">
        <f>CONFERENCIAS!W137</f>
        <v/>
      </c>
      <c r="T137" s="48">
        <f>IF(Q137="",0,
   IF(E137=1,
      IF(H137="Presencial",
         VLOOKUP(D137,TARIFAS!A:K,3,FALSE) + IF(I137="Sí",VLOOKUP(D137,TARIFAS!A:K,5,FALSE),0),
         VLOOKUP(D137,TARIFAS!A:K,4,FALSE) + IF(I137="Sí",VLOOKUP(D137,TARIFAS!A:K,5,FALSE),0)
      ),
      IF(H137="Presencial",
         VLOOKUP(D137,TARIFAS!A:K,9,FALSE) + IF(I137="Sí",VLOOKUP(D137,TARIFAS!A:K,11,FALSE),0),
         VLOOKUP(D137,TARIFAS!A:K,10,FALSE) + IF(I137="Sí",VLOOKUP(D137,TARIFAS!A:K,11,FALSE),0)
      )
   )
)
</f>
        <v>0</v>
      </c>
      <c r="U137" s="45">
        <f>IF(R137="",0,MAX(0,R137 - TARIFAS!G$2) * TARIFAS!F$2)
</f>
        <v>0</v>
      </c>
      <c r="V137" s="45">
        <f>+T137*TARIFAS!$K$2</f>
        <v>0</v>
      </c>
      <c r="W137" s="45">
        <f t="shared" si="2"/>
        <v>0</v>
      </c>
      <c r="X137" s="45">
        <f t="shared" si="3"/>
        <v>0</v>
      </c>
      <c r="Y137" s="45">
        <f t="shared" si="4"/>
        <v>0</v>
      </c>
      <c r="Z137" s="42" t="str">
        <f>CONFERENCIAS!AB137</f>
        <v/>
      </c>
      <c r="AA137" s="42" t="str">
        <f>CONFERENCIAS!AC137</f>
        <v/>
      </c>
      <c r="AB137" s="47" t="str">
        <f t="shared" si="5"/>
        <v/>
      </c>
      <c r="AC137" s="9" t="str">
        <f t="shared" si="6"/>
        <v/>
      </c>
    </row>
    <row r="138">
      <c r="A138" s="42" t="str">
        <f>CONFERENCIAS!A138</f>
        <v/>
      </c>
      <c r="D138" s="42" t="str">
        <f>CONFERENCIAS!C138</f>
        <v/>
      </c>
      <c r="E138" s="42" t="str">
        <f>CONFERENCIAS!K138</f>
        <v/>
      </c>
      <c r="F138" s="49" t="str">
        <f>CONFERENCIAS!J138</f>
        <v/>
      </c>
      <c r="G138" s="42" t="str">
        <f>CONFERENCIAS!O138</f>
        <v/>
      </c>
      <c r="H138" s="42" t="str">
        <f>CONFERENCIAS!X138</f>
        <v/>
      </c>
      <c r="I138" s="42" t="str">
        <f>CONFERENCIAS!AA138</f>
        <v/>
      </c>
      <c r="J138" s="44" t="str">
        <f>CONFERENCIAS!P138</f>
        <v/>
      </c>
      <c r="K138" s="45" t="str">
        <f>CONFERENCIAS!R138</f>
        <v/>
      </c>
      <c r="L138" s="45">
        <f>IF(D138="",0,
 IF(E138=1,
   IF(H138="Presencial",
      VLOOKUP(D138,TARIFAS!A:K,3,FALSE) + IF(I138="Sí",VLOOKUP(D138,TARIFAS!A:K,5,FALSE),0),
      VLOOKUP(D138,TARIFAS!A:K,4,FALSE) + IF(I138="Sí",VLOOKUP(D138,TARIFAS!A:K,5,FALSE),0)
   ),
   IF(H138="Presencial",
      VLOOKUP(D138,TARIFAS!A:K,9,FALSE) + IF(I138="Sí",VLOOKUP(D138,TARIFAS!A:K,11,FALSE),0),
      VLOOKUP(D138,TARIFAS!A:K,10,FALSE) + IF(I138="Sí",VLOOKUP(D138,TARIFAS!A:K,11,FALSE),0)
   )
 )
)
</f>
        <v>0</v>
      </c>
      <c r="M138" s="45">
        <f>IF(J138="",0,MAX(0,J138 - TARIFAS!G$2) * TARIFAS!F$2)
</f>
        <v>0</v>
      </c>
      <c r="N138" s="45">
        <f>+L138*TARIFAS!$K$2</f>
        <v>0</v>
      </c>
      <c r="O138" s="45">
        <f t="shared" si="1"/>
        <v>0</v>
      </c>
      <c r="P138" s="45">
        <f>+M138+O138+K138+(+I138-(I138*TARIFAS!$K$2))</f>
        <v>0</v>
      </c>
      <c r="Q138" s="42" t="str">
        <f>CONFERENCIAS!T138</f>
        <v/>
      </c>
      <c r="R138" s="45" t="str">
        <f>CONFERENCIAS!U138</f>
        <v/>
      </c>
      <c r="S138" s="45" t="str">
        <f>CONFERENCIAS!W138</f>
        <v/>
      </c>
      <c r="T138" s="48">
        <f>IF(Q138="",0,
   IF(E138=1,
      IF(H138="Presencial",
         VLOOKUP(D138,TARIFAS!A:K,3,FALSE) + IF(I138="Sí",VLOOKUP(D138,TARIFAS!A:K,5,FALSE),0),
         VLOOKUP(D138,TARIFAS!A:K,4,FALSE) + IF(I138="Sí",VLOOKUP(D138,TARIFAS!A:K,5,FALSE),0)
      ),
      IF(H138="Presencial",
         VLOOKUP(D138,TARIFAS!A:K,9,FALSE) + IF(I138="Sí",VLOOKUP(D138,TARIFAS!A:K,11,FALSE),0),
         VLOOKUP(D138,TARIFAS!A:K,10,FALSE) + IF(I138="Sí",VLOOKUP(D138,TARIFAS!A:K,11,FALSE),0)
      )
   )
)
</f>
        <v>0</v>
      </c>
      <c r="U138" s="45">
        <f>IF(R138="",0,MAX(0,R138 - TARIFAS!G$2) * TARIFAS!F$2)
</f>
        <v>0</v>
      </c>
      <c r="V138" s="45">
        <f>+T138*TARIFAS!$K$2</f>
        <v>0</v>
      </c>
      <c r="W138" s="45">
        <f t="shared" si="2"/>
        <v>0</v>
      </c>
      <c r="X138" s="45">
        <f t="shared" si="3"/>
        <v>0</v>
      </c>
      <c r="Y138" s="45">
        <f t="shared" si="4"/>
        <v>0</v>
      </c>
      <c r="Z138" s="42" t="str">
        <f>CONFERENCIAS!AB138</f>
        <v/>
      </c>
      <c r="AA138" s="42" t="str">
        <f>CONFERENCIAS!AC138</f>
        <v/>
      </c>
      <c r="AB138" s="47" t="str">
        <f t="shared" si="5"/>
        <v/>
      </c>
      <c r="AC138" s="9" t="str">
        <f t="shared" si="6"/>
        <v/>
      </c>
    </row>
    <row r="139">
      <c r="A139" s="42" t="str">
        <f>CONFERENCIAS!A139</f>
        <v/>
      </c>
      <c r="D139" s="42" t="str">
        <f>CONFERENCIAS!C139</f>
        <v/>
      </c>
      <c r="E139" s="42" t="str">
        <f>CONFERENCIAS!K139</f>
        <v/>
      </c>
      <c r="F139" s="49" t="str">
        <f>CONFERENCIAS!J139</f>
        <v/>
      </c>
      <c r="G139" s="42" t="str">
        <f>CONFERENCIAS!O139</f>
        <v/>
      </c>
      <c r="H139" s="42" t="str">
        <f>CONFERENCIAS!X139</f>
        <v/>
      </c>
      <c r="I139" s="42" t="str">
        <f>CONFERENCIAS!AA139</f>
        <v/>
      </c>
      <c r="J139" s="44" t="str">
        <f>CONFERENCIAS!P139</f>
        <v/>
      </c>
      <c r="K139" s="45" t="str">
        <f>CONFERENCIAS!R139</f>
        <v/>
      </c>
      <c r="L139" s="45">
        <f>IF(D139="",0,
 IF(E139=1,
   IF(H139="Presencial",
      VLOOKUP(D139,TARIFAS!A:K,3,FALSE) + IF(I139="Sí",VLOOKUP(D139,TARIFAS!A:K,5,FALSE),0),
      VLOOKUP(D139,TARIFAS!A:K,4,FALSE) + IF(I139="Sí",VLOOKUP(D139,TARIFAS!A:K,5,FALSE),0)
   ),
   IF(H139="Presencial",
      VLOOKUP(D139,TARIFAS!A:K,9,FALSE) + IF(I139="Sí",VLOOKUP(D139,TARIFAS!A:K,11,FALSE),0),
      VLOOKUP(D139,TARIFAS!A:K,10,FALSE) + IF(I139="Sí",VLOOKUP(D139,TARIFAS!A:K,11,FALSE),0)
   )
 )
)
</f>
        <v>0</v>
      </c>
      <c r="M139" s="45">
        <f>IF(J139="",0,MAX(0,J139 - TARIFAS!G$2) * TARIFAS!F$2)
</f>
        <v>0</v>
      </c>
      <c r="N139" s="45">
        <f>+L139*TARIFAS!$K$2</f>
        <v>0</v>
      </c>
      <c r="O139" s="45">
        <f t="shared" si="1"/>
        <v>0</v>
      </c>
      <c r="P139" s="45">
        <f>+M139+O139+K139+(+I139-(I139*TARIFAS!$K$2))</f>
        <v>0</v>
      </c>
      <c r="Q139" s="42" t="str">
        <f>CONFERENCIAS!T139</f>
        <v/>
      </c>
      <c r="R139" s="45" t="str">
        <f>CONFERENCIAS!U139</f>
        <v/>
      </c>
      <c r="S139" s="45" t="str">
        <f>CONFERENCIAS!W139</f>
        <v/>
      </c>
      <c r="T139" s="48">
        <f>IF(Q139="",0,
   IF(E139=1,
      IF(H139="Presencial",
         VLOOKUP(D139,TARIFAS!A:K,3,FALSE) + IF(I139="Sí",VLOOKUP(D139,TARIFAS!A:K,5,FALSE),0),
         VLOOKUP(D139,TARIFAS!A:K,4,FALSE) + IF(I139="Sí",VLOOKUP(D139,TARIFAS!A:K,5,FALSE),0)
      ),
      IF(H139="Presencial",
         VLOOKUP(D139,TARIFAS!A:K,9,FALSE) + IF(I139="Sí",VLOOKUP(D139,TARIFAS!A:K,11,FALSE),0),
         VLOOKUP(D139,TARIFAS!A:K,10,FALSE) + IF(I139="Sí",VLOOKUP(D139,TARIFAS!A:K,11,FALSE),0)
      )
   )
)
</f>
        <v>0</v>
      </c>
      <c r="U139" s="45">
        <f>IF(R139="",0,MAX(0,R139 - TARIFAS!G$2) * TARIFAS!F$2)
</f>
        <v>0</v>
      </c>
      <c r="V139" s="45">
        <f>+T139*TARIFAS!$K$2</f>
        <v>0</v>
      </c>
      <c r="W139" s="45">
        <f t="shared" si="2"/>
        <v>0</v>
      </c>
      <c r="X139" s="45">
        <f t="shared" si="3"/>
        <v>0</v>
      </c>
      <c r="Y139" s="45">
        <f t="shared" si="4"/>
        <v>0</v>
      </c>
      <c r="Z139" s="42" t="str">
        <f>CONFERENCIAS!AB139</f>
        <v/>
      </c>
      <c r="AA139" s="42" t="str">
        <f>CONFERENCIAS!AC139</f>
        <v/>
      </c>
      <c r="AB139" s="47" t="str">
        <f t="shared" si="5"/>
        <v/>
      </c>
      <c r="AC139" s="9" t="str">
        <f t="shared" si="6"/>
        <v/>
      </c>
    </row>
    <row r="140">
      <c r="A140" s="42" t="str">
        <f>CONFERENCIAS!A140</f>
        <v/>
      </c>
      <c r="D140" s="42" t="str">
        <f>CONFERENCIAS!C140</f>
        <v/>
      </c>
      <c r="E140" s="42" t="str">
        <f>CONFERENCIAS!K140</f>
        <v/>
      </c>
      <c r="F140" s="49" t="str">
        <f>CONFERENCIAS!J140</f>
        <v/>
      </c>
      <c r="G140" s="42" t="str">
        <f>CONFERENCIAS!O140</f>
        <v/>
      </c>
      <c r="H140" s="42" t="str">
        <f>CONFERENCIAS!X140</f>
        <v/>
      </c>
      <c r="I140" s="42" t="str">
        <f>CONFERENCIAS!AA140</f>
        <v/>
      </c>
      <c r="J140" s="44" t="str">
        <f>CONFERENCIAS!P140</f>
        <v/>
      </c>
      <c r="K140" s="45" t="str">
        <f>CONFERENCIAS!R140</f>
        <v/>
      </c>
      <c r="L140" s="45">
        <f>IF(D140="",0,
 IF(E140=1,
   IF(H140="Presencial",
      VLOOKUP(D140,TARIFAS!A:K,3,FALSE) + IF(I140="Sí",VLOOKUP(D140,TARIFAS!A:K,5,FALSE),0),
      VLOOKUP(D140,TARIFAS!A:K,4,FALSE) + IF(I140="Sí",VLOOKUP(D140,TARIFAS!A:K,5,FALSE),0)
   ),
   IF(H140="Presencial",
      VLOOKUP(D140,TARIFAS!A:K,9,FALSE) + IF(I140="Sí",VLOOKUP(D140,TARIFAS!A:K,11,FALSE),0),
      VLOOKUP(D140,TARIFAS!A:K,10,FALSE) + IF(I140="Sí",VLOOKUP(D140,TARIFAS!A:K,11,FALSE),0)
   )
 )
)
</f>
        <v>0</v>
      </c>
      <c r="M140" s="45">
        <f>IF(J140="",0,MAX(0,J140 - TARIFAS!G$2) * TARIFAS!F$2)
</f>
        <v>0</v>
      </c>
      <c r="N140" s="45">
        <f>+L140*TARIFAS!$K$2</f>
        <v>0</v>
      </c>
      <c r="O140" s="45">
        <f t="shared" si="1"/>
        <v>0</v>
      </c>
      <c r="P140" s="45">
        <f>+M140+O140+K140+(+I140-(I140*TARIFAS!$K$2))</f>
        <v>0</v>
      </c>
      <c r="Q140" s="42" t="str">
        <f>CONFERENCIAS!T140</f>
        <v/>
      </c>
      <c r="R140" s="45" t="str">
        <f>CONFERENCIAS!U140</f>
        <v/>
      </c>
      <c r="S140" s="45" t="str">
        <f>CONFERENCIAS!W140</f>
        <v/>
      </c>
      <c r="T140" s="48">
        <f>IF(Q140="",0,
   IF(E140=1,
      IF(H140="Presencial",
         VLOOKUP(D140,TARIFAS!A:K,3,FALSE) + IF(I140="Sí",VLOOKUP(D140,TARIFAS!A:K,5,FALSE),0),
         VLOOKUP(D140,TARIFAS!A:K,4,FALSE) + IF(I140="Sí",VLOOKUP(D140,TARIFAS!A:K,5,FALSE),0)
      ),
      IF(H140="Presencial",
         VLOOKUP(D140,TARIFAS!A:K,9,FALSE) + IF(I140="Sí",VLOOKUP(D140,TARIFAS!A:K,11,FALSE),0),
         VLOOKUP(D140,TARIFAS!A:K,10,FALSE) + IF(I140="Sí",VLOOKUP(D140,TARIFAS!A:K,11,FALSE),0)
      )
   )
)
</f>
        <v>0</v>
      </c>
      <c r="U140" s="45">
        <f>IF(R140="",0,MAX(0,R140 - TARIFAS!G$2) * TARIFAS!F$2)
</f>
        <v>0</v>
      </c>
      <c r="V140" s="45">
        <f>+T140*TARIFAS!$K$2</f>
        <v>0</v>
      </c>
      <c r="W140" s="45">
        <f t="shared" si="2"/>
        <v>0</v>
      </c>
      <c r="X140" s="45">
        <f t="shared" si="3"/>
        <v>0</v>
      </c>
      <c r="Y140" s="45">
        <f t="shared" si="4"/>
        <v>0</v>
      </c>
      <c r="Z140" s="42" t="str">
        <f>CONFERENCIAS!AB140</f>
        <v/>
      </c>
      <c r="AA140" s="42" t="str">
        <f>CONFERENCIAS!AC140</f>
        <v/>
      </c>
      <c r="AB140" s="47" t="str">
        <f t="shared" si="5"/>
        <v/>
      </c>
      <c r="AC140" s="9" t="str">
        <f t="shared" si="6"/>
        <v/>
      </c>
    </row>
    <row r="141">
      <c r="A141" s="42" t="str">
        <f>CONFERENCIAS!A141</f>
        <v/>
      </c>
      <c r="D141" s="42" t="str">
        <f>CONFERENCIAS!C141</f>
        <v/>
      </c>
      <c r="E141" s="42" t="str">
        <f>CONFERENCIAS!K141</f>
        <v/>
      </c>
      <c r="F141" s="49" t="str">
        <f>CONFERENCIAS!J141</f>
        <v/>
      </c>
      <c r="G141" s="42" t="str">
        <f>CONFERENCIAS!O141</f>
        <v/>
      </c>
      <c r="H141" s="42" t="str">
        <f>CONFERENCIAS!X141</f>
        <v/>
      </c>
      <c r="I141" s="42" t="str">
        <f>CONFERENCIAS!AA141</f>
        <v/>
      </c>
      <c r="J141" s="44" t="str">
        <f>CONFERENCIAS!P141</f>
        <v/>
      </c>
      <c r="K141" s="45" t="str">
        <f>CONFERENCIAS!R141</f>
        <v/>
      </c>
      <c r="L141" s="45">
        <f>IF(D141="",0,
 IF(E141=1,
   IF(H141="Presencial",
      VLOOKUP(D141,TARIFAS!A:K,3,FALSE) + IF(I141="Sí",VLOOKUP(D141,TARIFAS!A:K,5,FALSE),0),
      VLOOKUP(D141,TARIFAS!A:K,4,FALSE) + IF(I141="Sí",VLOOKUP(D141,TARIFAS!A:K,5,FALSE),0)
   ),
   IF(H141="Presencial",
      VLOOKUP(D141,TARIFAS!A:K,9,FALSE) + IF(I141="Sí",VLOOKUP(D141,TARIFAS!A:K,11,FALSE),0),
      VLOOKUP(D141,TARIFAS!A:K,10,FALSE) + IF(I141="Sí",VLOOKUP(D141,TARIFAS!A:K,11,FALSE),0)
   )
 )
)
</f>
        <v>0</v>
      </c>
      <c r="M141" s="45">
        <f>IF(J141="",0,MAX(0,J141 - TARIFAS!G$2) * TARIFAS!F$2)
</f>
        <v>0</v>
      </c>
      <c r="N141" s="45">
        <f>+L141*TARIFAS!$K$2</f>
        <v>0</v>
      </c>
      <c r="O141" s="45">
        <f t="shared" si="1"/>
        <v>0</v>
      </c>
      <c r="P141" s="45">
        <f>+M141+O141+K141+(+I141-(I141*TARIFAS!$K$2))</f>
        <v>0</v>
      </c>
      <c r="Q141" s="42" t="str">
        <f>CONFERENCIAS!T141</f>
        <v/>
      </c>
      <c r="R141" s="45" t="str">
        <f>CONFERENCIAS!U141</f>
        <v/>
      </c>
      <c r="S141" s="45" t="str">
        <f>CONFERENCIAS!W141</f>
        <v/>
      </c>
      <c r="T141" s="48">
        <f>IF(Q141="",0,
   IF(E141=1,
      IF(H141="Presencial",
         VLOOKUP(D141,TARIFAS!A:K,3,FALSE) + IF(I141="Sí",VLOOKUP(D141,TARIFAS!A:K,5,FALSE),0),
         VLOOKUP(D141,TARIFAS!A:K,4,FALSE) + IF(I141="Sí",VLOOKUP(D141,TARIFAS!A:K,5,FALSE),0)
      ),
      IF(H141="Presencial",
         VLOOKUP(D141,TARIFAS!A:K,9,FALSE) + IF(I141="Sí",VLOOKUP(D141,TARIFAS!A:K,11,FALSE),0),
         VLOOKUP(D141,TARIFAS!A:K,10,FALSE) + IF(I141="Sí",VLOOKUP(D141,TARIFAS!A:K,11,FALSE),0)
      )
   )
)
</f>
        <v>0</v>
      </c>
      <c r="U141" s="45">
        <f>IF(R141="",0,MAX(0,R141 - TARIFAS!G$2) * TARIFAS!F$2)
</f>
        <v>0</v>
      </c>
      <c r="V141" s="45">
        <f>+T141*TARIFAS!$K$2</f>
        <v>0</v>
      </c>
      <c r="W141" s="45">
        <f t="shared" si="2"/>
        <v>0</v>
      </c>
      <c r="X141" s="45">
        <f t="shared" si="3"/>
        <v>0</v>
      </c>
      <c r="Y141" s="45">
        <f t="shared" si="4"/>
        <v>0</v>
      </c>
      <c r="Z141" s="42" t="str">
        <f>CONFERENCIAS!AB141</f>
        <v/>
      </c>
      <c r="AA141" s="42" t="str">
        <f>CONFERENCIAS!AC141</f>
        <v/>
      </c>
      <c r="AB141" s="47" t="str">
        <f t="shared" si="5"/>
        <v/>
      </c>
      <c r="AC141" s="9" t="str">
        <f t="shared" si="6"/>
        <v/>
      </c>
    </row>
    <row r="142">
      <c r="A142" s="42" t="str">
        <f>CONFERENCIAS!A142</f>
        <v/>
      </c>
      <c r="D142" s="42" t="str">
        <f>CONFERENCIAS!C142</f>
        <v/>
      </c>
      <c r="E142" s="42" t="str">
        <f>CONFERENCIAS!K142</f>
        <v/>
      </c>
      <c r="F142" s="49" t="str">
        <f>CONFERENCIAS!J142</f>
        <v/>
      </c>
      <c r="G142" s="42" t="str">
        <f>CONFERENCIAS!O142</f>
        <v/>
      </c>
      <c r="H142" s="42" t="str">
        <f>CONFERENCIAS!X142</f>
        <v/>
      </c>
      <c r="I142" s="42" t="str">
        <f>CONFERENCIAS!AA142</f>
        <v/>
      </c>
      <c r="J142" s="44" t="str">
        <f>CONFERENCIAS!P142</f>
        <v/>
      </c>
      <c r="K142" s="45" t="str">
        <f>CONFERENCIAS!R142</f>
        <v/>
      </c>
      <c r="L142" s="45">
        <f>IF(D142="",0,
 IF(E142=1,
   IF(H142="Presencial",
      VLOOKUP(D142,TARIFAS!A:K,3,FALSE) + IF(I142="Sí",VLOOKUP(D142,TARIFAS!A:K,5,FALSE),0),
      VLOOKUP(D142,TARIFAS!A:K,4,FALSE) + IF(I142="Sí",VLOOKUP(D142,TARIFAS!A:K,5,FALSE),0)
   ),
   IF(H142="Presencial",
      VLOOKUP(D142,TARIFAS!A:K,9,FALSE) + IF(I142="Sí",VLOOKUP(D142,TARIFAS!A:K,11,FALSE),0),
      VLOOKUP(D142,TARIFAS!A:K,10,FALSE) + IF(I142="Sí",VLOOKUP(D142,TARIFAS!A:K,11,FALSE),0)
   )
 )
)
</f>
        <v>0</v>
      </c>
      <c r="M142" s="45">
        <f>IF(J142="",0,MAX(0,J142 - TARIFAS!G$2) * TARIFAS!F$2)
</f>
        <v>0</v>
      </c>
      <c r="N142" s="45">
        <f>+L142*TARIFAS!$K$2</f>
        <v>0</v>
      </c>
      <c r="O142" s="45">
        <f t="shared" si="1"/>
        <v>0</v>
      </c>
      <c r="P142" s="45">
        <f>+M142+O142+K142+(+I142-(I142*TARIFAS!$K$2))</f>
        <v>0</v>
      </c>
      <c r="Q142" s="42" t="str">
        <f>CONFERENCIAS!T142</f>
        <v/>
      </c>
      <c r="R142" s="45" t="str">
        <f>CONFERENCIAS!U142</f>
        <v/>
      </c>
      <c r="S142" s="45" t="str">
        <f>CONFERENCIAS!W142</f>
        <v/>
      </c>
      <c r="T142" s="48">
        <f>IF(Q142="",0,
   IF(E142=1,
      IF(H142="Presencial",
         VLOOKUP(D142,TARIFAS!A:K,3,FALSE) + IF(I142="Sí",VLOOKUP(D142,TARIFAS!A:K,5,FALSE),0),
         VLOOKUP(D142,TARIFAS!A:K,4,FALSE) + IF(I142="Sí",VLOOKUP(D142,TARIFAS!A:K,5,FALSE),0)
      ),
      IF(H142="Presencial",
         VLOOKUP(D142,TARIFAS!A:K,9,FALSE) + IF(I142="Sí",VLOOKUP(D142,TARIFAS!A:K,11,FALSE),0),
         VLOOKUP(D142,TARIFAS!A:K,10,FALSE) + IF(I142="Sí",VLOOKUP(D142,TARIFAS!A:K,11,FALSE),0)
      )
   )
)
</f>
        <v>0</v>
      </c>
      <c r="U142" s="45">
        <f>IF(R142="",0,MAX(0,R142 - TARIFAS!G$2) * TARIFAS!F$2)
</f>
        <v>0</v>
      </c>
      <c r="V142" s="45">
        <f>+T142*TARIFAS!$K$2</f>
        <v>0</v>
      </c>
      <c r="W142" s="45">
        <f t="shared" si="2"/>
        <v>0</v>
      </c>
      <c r="X142" s="45">
        <f t="shared" si="3"/>
        <v>0</v>
      </c>
      <c r="Y142" s="45">
        <f t="shared" si="4"/>
        <v>0</v>
      </c>
      <c r="Z142" s="42" t="str">
        <f>CONFERENCIAS!AB142</f>
        <v/>
      </c>
      <c r="AA142" s="42" t="str">
        <f>CONFERENCIAS!AC142</f>
        <v/>
      </c>
      <c r="AB142" s="47" t="str">
        <f t="shared" si="5"/>
        <v/>
      </c>
      <c r="AC142" s="9" t="str">
        <f t="shared" si="6"/>
        <v/>
      </c>
    </row>
    <row r="143">
      <c r="A143" s="42" t="str">
        <f>CONFERENCIAS!A143</f>
        <v/>
      </c>
      <c r="D143" s="42" t="str">
        <f>CONFERENCIAS!C143</f>
        <v/>
      </c>
      <c r="E143" s="42" t="str">
        <f>CONFERENCIAS!K143</f>
        <v/>
      </c>
      <c r="F143" s="49" t="str">
        <f>CONFERENCIAS!J143</f>
        <v/>
      </c>
      <c r="G143" s="42" t="str">
        <f>CONFERENCIAS!O143</f>
        <v/>
      </c>
      <c r="H143" s="42" t="str">
        <f>CONFERENCIAS!X143</f>
        <v/>
      </c>
      <c r="I143" s="42" t="str">
        <f>CONFERENCIAS!AA143</f>
        <v/>
      </c>
      <c r="J143" s="44" t="str">
        <f>CONFERENCIAS!P143</f>
        <v/>
      </c>
      <c r="K143" s="45" t="str">
        <f>CONFERENCIAS!R143</f>
        <v/>
      </c>
      <c r="L143" s="45">
        <f>IF(D143="",0,
 IF(E143=1,
   IF(H143="Presencial",
      VLOOKUP(D143,TARIFAS!A:K,3,FALSE) + IF(I143="Sí",VLOOKUP(D143,TARIFAS!A:K,5,FALSE),0),
      VLOOKUP(D143,TARIFAS!A:K,4,FALSE) + IF(I143="Sí",VLOOKUP(D143,TARIFAS!A:K,5,FALSE),0)
   ),
   IF(H143="Presencial",
      VLOOKUP(D143,TARIFAS!A:K,9,FALSE) + IF(I143="Sí",VLOOKUP(D143,TARIFAS!A:K,11,FALSE),0),
      VLOOKUP(D143,TARIFAS!A:K,10,FALSE) + IF(I143="Sí",VLOOKUP(D143,TARIFAS!A:K,11,FALSE),0)
   )
 )
)
</f>
        <v>0</v>
      </c>
      <c r="M143" s="45">
        <f>IF(J143="",0,MAX(0,J143 - TARIFAS!G$2) * TARIFAS!F$2)
</f>
        <v>0</v>
      </c>
      <c r="N143" s="45">
        <f>+L143*TARIFAS!$K$2</f>
        <v>0</v>
      </c>
      <c r="O143" s="45">
        <f t="shared" si="1"/>
        <v>0</v>
      </c>
      <c r="P143" s="45">
        <f>+M143+O143+K143+(+I143-(I143*TARIFAS!$K$2))</f>
        <v>0</v>
      </c>
      <c r="Q143" s="42" t="str">
        <f>CONFERENCIAS!T143</f>
        <v/>
      </c>
      <c r="R143" s="45" t="str">
        <f>CONFERENCIAS!U143</f>
        <v/>
      </c>
      <c r="S143" s="45" t="str">
        <f>CONFERENCIAS!W143</f>
        <v/>
      </c>
      <c r="T143" s="48">
        <f>IF(Q143="",0,
   IF(E143=1,
      IF(H143="Presencial",
         VLOOKUP(D143,TARIFAS!A:K,3,FALSE) + IF(I143="Sí",VLOOKUP(D143,TARIFAS!A:K,5,FALSE),0),
         VLOOKUP(D143,TARIFAS!A:K,4,FALSE) + IF(I143="Sí",VLOOKUP(D143,TARIFAS!A:K,5,FALSE),0)
      ),
      IF(H143="Presencial",
         VLOOKUP(D143,TARIFAS!A:K,9,FALSE) + IF(I143="Sí",VLOOKUP(D143,TARIFAS!A:K,11,FALSE),0),
         VLOOKUP(D143,TARIFAS!A:K,10,FALSE) + IF(I143="Sí",VLOOKUP(D143,TARIFAS!A:K,11,FALSE),0)
      )
   )
)
</f>
        <v>0</v>
      </c>
      <c r="U143" s="45">
        <f>IF(R143="",0,MAX(0,R143 - TARIFAS!G$2) * TARIFAS!F$2)
</f>
        <v>0</v>
      </c>
      <c r="V143" s="45">
        <f>+T143*TARIFAS!$K$2</f>
        <v>0</v>
      </c>
      <c r="W143" s="45">
        <f t="shared" si="2"/>
        <v>0</v>
      </c>
      <c r="X143" s="45">
        <f t="shared" si="3"/>
        <v>0</v>
      </c>
      <c r="Y143" s="45">
        <f t="shared" si="4"/>
        <v>0</v>
      </c>
      <c r="Z143" s="42" t="str">
        <f>CONFERENCIAS!AB143</f>
        <v/>
      </c>
      <c r="AA143" s="42" t="str">
        <f>CONFERENCIAS!AC143</f>
        <v/>
      </c>
      <c r="AB143" s="47" t="str">
        <f t="shared" si="5"/>
        <v/>
      </c>
      <c r="AC143" s="9" t="str">
        <f t="shared" si="6"/>
        <v/>
      </c>
    </row>
    <row r="144">
      <c r="A144" s="42" t="str">
        <f>CONFERENCIAS!A144</f>
        <v/>
      </c>
      <c r="D144" s="42" t="str">
        <f>CONFERENCIAS!C144</f>
        <v/>
      </c>
      <c r="E144" s="42" t="str">
        <f>CONFERENCIAS!K144</f>
        <v/>
      </c>
      <c r="F144" s="49" t="str">
        <f>CONFERENCIAS!J144</f>
        <v/>
      </c>
      <c r="G144" s="42" t="str">
        <f>CONFERENCIAS!O144</f>
        <v/>
      </c>
      <c r="H144" s="42" t="str">
        <f>CONFERENCIAS!X144</f>
        <v/>
      </c>
      <c r="I144" s="42" t="str">
        <f>CONFERENCIAS!AA144</f>
        <v/>
      </c>
      <c r="J144" s="44" t="str">
        <f>CONFERENCIAS!P144</f>
        <v/>
      </c>
      <c r="K144" s="45" t="str">
        <f>CONFERENCIAS!R144</f>
        <v/>
      </c>
      <c r="L144" s="45">
        <f>IF(D144="",0,
 IF(E144=1,
   IF(H144="Presencial",
      VLOOKUP(D144,TARIFAS!A:K,3,FALSE) + IF(I144="Sí",VLOOKUP(D144,TARIFAS!A:K,5,FALSE),0),
      VLOOKUP(D144,TARIFAS!A:K,4,FALSE) + IF(I144="Sí",VLOOKUP(D144,TARIFAS!A:K,5,FALSE),0)
   ),
   IF(H144="Presencial",
      VLOOKUP(D144,TARIFAS!A:K,9,FALSE) + IF(I144="Sí",VLOOKUP(D144,TARIFAS!A:K,11,FALSE),0),
      VLOOKUP(D144,TARIFAS!A:K,10,FALSE) + IF(I144="Sí",VLOOKUP(D144,TARIFAS!A:K,11,FALSE),0)
   )
 )
)
</f>
        <v>0</v>
      </c>
      <c r="M144" s="45">
        <f>IF(J144="",0,MAX(0,J144 - TARIFAS!G$2) * TARIFAS!F$2)
</f>
        <v>0</v>
      </c>
      <c r="N144" s="45">
        <f>+L144*TARIFAS!$K$2</f>
        <v>0</v>
      </c>
      <c r="O144" s="45">
        <f t="shared" si="1"/>
        <v>0</v>
      </c>
      <c r="P144" s="45">
        <f>+M144+O144+K144+(+I144-(I144*TARIFAS!$K$2))</f>
        <v>0</v>
      </c>
      <c r="Q144" s="42" t="str">
        <f>CONFERENCIAS!T144</f>
        <v/>
      </c>
      <c r="R144" s="45" t="str">
        <f>CONFERENCIAS!U144</f>
        <v/>
      </c>
      <c r="S144" s="45" t="str">
        <f>CONFERENCIAS!W144</f>
        <v/>
      </c>
      <c r="T144" s="48">
        <f>IF(Q144="",0,
   IF(E144=1,
      IF(H144="Presencial",
         VLOOKUP(D144,TARIFAS!A:K,3,FALSE) + IF(I144="Sí",VLOOKUP(D144,TARIFAS!A:K,5,FALSE),0),
         VLOOKUP(D144,TARIFAS!A:K,4,FALSE) + IF(I144="Sí",VLOOKUP(D144,TARIFAS!A:K,5,FALSE),0)
      ),
      IF(H144="Presencial",
         VLOOKUP(D144,TARIFAS!A:K,9,FALSE) + IF(I144="Sí",VLOOKUP(D144,TARIFAS!A:K,11,FALSE),0),
         VLOOKUP(D144,TARIFAS!A:K,10,FALSE) + IF(I144="Sí",VLOOKUP(D144,TARIFAS!A:K,11,FALSE),0)
      )
   )
)
</f>
        <v>0</v>
      </c>
      <c r="U144" s="45">
        <f>IF(R144="",0,MAX(0,R144 - TARIFAS!G$2) * TARIFAS!F$2)
</f>
        <v>0</v>
      </c>
      <c r="V144" s="45">
        <f>+T144*TARIFAS!$K$2</f>
        <v>0</v>
      </c>
      <c r="W144" s="45">
        <f t="shared" si="2"/>
        <v>0</v>
      </c>
      <c r="X144" s="45">
        <f t="shared" si="3"/>
        <v>0</v>
      </c>
      <c r="Y144" s="45">
        <f t="shared" si="4"/>
        <v>0</v>
      </c>
      <c r="Z144" s="42" t="str">
        <f>CONFERENCIAS!AB144</f>
        <v/>
      </c>
      <c r="AA144" s="42" t="str">
        <f>CONFERENCIAS!AC144</f>
        <v/>
      </c>
      <c r="AB144" s="47" t="str">
        <f t="shared" si="5"/>
        <v/>
      </c>
      <c r="AC144" s="9" t="str">
        <f t="shared" si="6"/>
        <v/>
      </c>
    </row>
    <row r="145">
      <c r="A145" s="42" t="str">
        <f>CONFERENCIAS!A145</f>
        <v/>
      </c>
      <c r="D145" s="42" t="str">
        <f>CONFERENCIAS!C145</f>
        <v/>
      </c>
      <c r="E145" s="42" t="str">
        <f>CONFERENCIAS!K145</f>
        <v/>
      </c>
      <c r="F145" s="49" t="str">
        <f>CONFERENCIAS!J145</f>
        <v/>
      </c>
      <c r="G145" s="42" t="str">
        <f>CONFERENCIAS!O145</f>
        <v/>
      </c>
      <c r="H145" s="42" t="str">
        <f>CONFERENCIAS!X145</f>
        <v/>
      </c>
      <c r="I145" s="42" t="str">
        <f>CONFERENCIAS!AA145</f>
        <v/>
      </c>
      <c r="J145" s="44" t="str">
        <f>CONFERENCIAS!P145</f>
        <v/>
      </c>
      <c r="K145" s="45" t="str">
        <f>CONFERENCIAS!R145</f>
        <v/>
      </c>
      <c r="L145" s="45">
        <f>IF(D145="",0,
 IF(E145=1,
   IF(H145="Presencial",
      VLOOKUP(D145,TARIFAS!A:K,3,FALSE) + IF(I145="Sí",VLOOKUP(D145,TARIFAS!A:K,5,FALSE),0),
      VLOOKUP(D145,TARIFAS!A:K,4,FALSE) + IF(I145="Sí",VLOOKUP(D145,TARIFAS!A:K,5,FALSE),0)
   ),
   IF(H145="Presencial",
      VLOOKUP(D145,TARIFAS!A:K,9,FALSE) + IF(I145="Sí",VLOOKUP(D145,TARIFAS!A:K,11,FALSE),0),
      VLOOKUP(D145,TARIFAS!A:K,10,FALSE) + IF(I145="Sí",VLOOKUP(D145,TARIFAS!A:K,11,FALSE),0)
   )
 )
)
</f>
        <v>0</v>
      </c>
      <c r="M145" s="45">
        <f>IF(J145="",0,MAX(0,J145 - TARIFAS!G$2) * TARIFAS!F$2)
</f>
        <v>0</v>
      </c>
      <c r="N145" s="45">
        <f>+L145*TARIFAS!$K$2</f>
        <v>0</v>
      </c>
      <c r="O145" s="45">
        <f t="shared" si="1"/>
        <v>0</v>
      </c>
      <c r="P145" s="45">
        <f>+M145+O145+K145+(+I145-(I145*TARIFAS!$K$2))</f>
        <v>0</v>
      </c>
      <c r="Q145" s="42" t="str">
        <f>CONFERENCIAS!T145</f>
        <v/>
      </c>
      <c r="R145" s="45" t="str">
        <f>CONFERENCIAS!U145</f>
        <v/>
      </c>
      <c r="S145" s="45" t="str">
        <f>CONFERENCIAS!W145</f>
        <v/>
      </c>
      <c r="T145" s="48">
        <f>IF(Q145="",0,
   IF(E145=1,
      IF(H145="Presencial",
         VLOOKUP(D145,TARIFAS!A:K,3,FALSE) + IF(I145="Sí",VLOOKUP(D145,TARIFAS!A:K,5,FALSE),0),
         VLOOKUP(D145,TARIFAS!A:K,4,FALSE) + IF(I145="Sí",VLOOKUP(D145,TARIFAS!A:K,5,FALSE),0)
      ),
      IF(H145="Presencial",
         VLOOKUP(D145,TARIFAS!A:K,9,FALSE) + IF(I145="Sí",VLOOKUP(D145,TARIFAS!A:K,11,FALSE),0),
         VLOOKUP(D145,TARIFAS!A:K,10,FALSE) + IF(I145="Sí",VLOOKUP(D145,TARIFAS!A:K,11,FALSE),0)
      )
   )
)
</f>
        <v>0</v>
      </c>
      <c r="U145" s="45">
        <f>IF(R145="",0,MAX(0,R145 - TARIFAS!G$2) * TARIFAS!F$2)
</f>
        <v>0</v>
      </c>
      <c r="V145" s="45">
        <f>+T145*TARIFAS!$K$2</f>
        <v>0</v>
      </c>
      <c r="W145" s="45">
        <f t="shared" si="2"/>
        <v>0</v>
      </c>
      <c r="X145" s="45">
        <f t="shared" si="3"/>
        <v>0</v>
      </c>
      <c r="Y145" s="45">
        <f t="shared" si="4"/>
        <v>0</v>
      </c>
      <c r="Z145" s="42" t="str">
        <f>CONFERENCIAS!AB145</f>
        <v/>
      </c>
      <c r="AA145" s="42" t="str">
        <f>CONFERENCIAS!AC145</f>
        <v/>
      </c>
      <c r="AB145" s="47" t="str">
        <f t="shared" si="5"/>
        <v/>
      </c>
      <c r="AC145" s="9" t="str">
        <f t="shared" si="6"/>
        <v/>
      </c>
    </row>
    <row r="146">
      <c r="A146" s="42" t="str">
        <f>CONFERENCIAS!A146</f>
        <v/>
      </c>
      <c r="D146" s="42" t="str">
        <f>CONFERENCIAS!C146</f>
        <v/>
      </c>
      <c r="E146" s="42" t="str">
        <f>CONFERENCIAS!K146</f>
        <v/>
      </c>
      <c r="F146" s="49" t="str">
        <f>CONFERENCIAS!J146</f>
        <v/>
      </c>
      <c r="G146" s="42" t="str">
        <f>CONFERENCIAS!O146</f>
        <v/>
      </c>
      <c r="H146" s="42" t="str">
        <f>CONFERENCIAS!X146</f>
        <v/>
      </c>
      <c r="I146" s="42" t="str">
        <f>CONFERENCIAS!AA146</f>
        <v/>
      </c>
      <c r="J146" s="44" t="str">
        <f>CONFERENCIAS!P146</f>
        <v/>
      </c>
      <c r="K146" s="45" t="str">
        <f>CONFERENCIAS!R146</f>
        <v/>
      </c>
      <c r="L146" s="45">
        <f>IF(D146="",0,
 IF(E146=1,
   IF(H146="Presencial",
      VLOOKUP(D146,TARIFAS!A:K,3,FALSE) + IF(I146="Sí",VLOOKUP(D146,TARIFAS!A:K,5,FALSE),0),
      VLOOKUP(D146,TARIFAS!A:K,4,FALSE) + IF(I146="Sí",VLOOKUP(D146,TARIFAS!A:K,5,FALSE),0)
   ),
   IF(H146="Presencial",
      VLOOKUP(D146,TARIFAS!A:K,9,FALSE) + IF(I146="Sí",VLOOKUP(D146,TARIFAS!A:K,11,FALSE),0),
      VLOOKUP(D146,TARIFAS!A:K,10,FALSE) + IF(I146="Sí",VLOOKUP(D146,TARIFAS!A:K,11,FALSE),0)
   )
 )
)
</f>
        <v>0</v>
      </c>
      <c r="M146" s="45">
        <f>IF(J146="",0,MAX(0,J146 - TARIFAS!G$2) * TARIFAS!F$2)
</f>
        <v>0</v>
      </c>
      <c r="N146" s="45">
        <f>+L146*TARIFAS!$K$2</f>
        <v>0</v>
      </c>
      <c r="O146" s="45">
        <f t="shared" si="1"/>
        <v>0</v>
      </c>
      <c r="P146" s="45">
        <f>+M146+O146+K146+(+I146-(I146*TARIFAS!$K$2))</f>
        <v>0</v>
      </c>
      <c r="Q146" s="42" t="str">
        <f>CONFERENCIAS!T146</f>
        <v/>
      </c>
      <c r="R146" s="45" t="str">
        <f>CONFERENCIAS!U146</f>
        <v/>
      </c>
      <c r="S146" s="45" t="str">
        <f>CONFERENCIAS!W146</f>
        <v/>
      </c>
      <c r="T146" s="48">
        <f>IF(Q146="",0,
   IF(E146=1,
      IF(H146="Presencial",
         VLOOKUP(D146,TARIFAS!A:K,3,FALSE) + IF(I146="Sí",VLOOKUP(D146,TARIFAS!A:K,5,FALSE),0),
         VLOOKUP(D146,TARIFAS!A:K,4,FALSE) + IF(I146="Sí",VLOOKUP(D146,TARIFAS!A:K,5,FALSE),0)
      ),
      IF(H146="Presencial",
         VLOOKUP(D146,TARIFAS!A:K,9,FALSE) + IF(I146="Sí",VLOOKUP(D146,TARIFAS!A:K,11,FALSE),0),
         VLOOKUP(D146,TARIFAS!A:K,10,FALSE) + IF(I146="Sí",VLOOKUP(D146,TARIFAS!A:K,11,FALSE),0)
      )
   )
)
</f>
        <v>0</v>
      </c>
      <c r="U146" s="45">
        <f>IF(R146="",0,MAX(0,R146 - TARIFAS!G$2) * TARIFAS!F$2)
</f>
        <v>0</v>
      </c>
      <c r="V146" s="45">
        <f>+T146*TARIFAS!$K$2</f>
        <v>0</v>
      </c>
      <c r="W146" s="45">
        <f t="shared" si="2"/>
        <v>0</v>
      </c>
      <c r="X146" s="45">
        <f t="shared" si="3"/>
        <v>0</v>
      </c>
      <c r="Y146" s="45">
        <f t="shared" si="4"/>
        <v>0</v>
      </c>
      <c r="Z146" s="42" t="str">
        <f>CONFERENCIAS!AB146</f>
        <v/>
      </c>
      <c r="AA146" s="42" t="str">
        <f>CONFERENCIAS!AC146</f>
        <v/>
      </c>
      <c r="AB146" s="47" t="str">
        <f t="shared" si="5"/>
        <v/>
      </c>
      <c r="AC146" s="9" t="str">
        <f t="shared" si="6"/>
        <v/>
      </c>
    </row>
    <row r="147">
      <c r="A147" s="42" t="str">
        <f>CONFERENCIAS!A147</f>
        <v/>
      </c>
      <c r="D147" s="42" t="str">
        <f>CONFERENCIAS!C147</f>
        <v/>
      </c>
      <c r="E147" s="42" t="str">
        <f>CONFERENCIAS!K147</f>
        <v/>
      </c>
      <c r="F147" s="49" t="str">
        <f>CONFERENCIAS!J147</f>
        <v/>
      </c>
      <c r="G147" s="42" t="str">
        <f>CONFERENCIAS!O147</f>
        <v/>
      </c>
      <c r="H147" s="42" t="str">
        <f>CONFERENCIAS!X147</f>
        <v/>
      </c>
      <c r="I147" s="42" t="str">
        <f>CONFERENCIAS!AA147</f>
        <v/>
      </c>
      <c r="J147" s="44" t="str">
        <f>CONFERENCIAS!P147</f>
        <v/>
      </c>
      <c r="K147" s="45" t="str">
        <f>CONFERENCIAS!R147</f>
        <v/>
      </c>
      <c r="L147" s="45">
        <f>IF(D147="",0,
 IF(E147=1,
   IF(H147="Presencial",
      VLOOKUP(D147,TARIFAS!A:K,3,FALSE) + IF(I147="Sí",VLOOKUP(D147,TARIFAS!A:K,5,FALSE),0),
      VLOOKUP(D147,TARIFAS!A:K,4,FALSE) + IF(I147="Sí",VLOOKUP(D147,TARIFAS!A:K,5,FALSE),0)
   ),
   IF(H147="Presencial",
      VLOOKUP(D147,TARIFAS!A:K,9,FALSE) + IF(I147="Sí",VLOOKUP(D147,TARIFAS!A:K,11,FALSE),0),
      VLOOKUP(D147,TARIFAS!A:K,10,FALSE) + IF(I147="Sí",VLOOKUP(D147,TARIFAS!A:K,11,FALSE),0)
   )
 )
)
</f>
        <v>0</v>
      </c>
      <c r="M147" s="45">
        <f>IF(J147="",0,MAX(0,J147 - TARIFAS!G$2) * TARIFAS!F$2)
</f>
        <v>0</v>
      </c>
      <c r="N147" s="45">
        <f>+L147*TARIFAS!$K$2</f>
        <v>0</v>
      </c>
      <c r="O147" s="45">
        <f t="shared" si="1"/>
        <v>0</v>
      </c>
      <c r="P147" s="45">
        <f>+M147+O147+K147+(+I147-(I147*TARIFAS!$K$2))</f>
        <v>0</v>
      </c>
      <c r="Q147" s="42" t="str">
        <f>CONFERENCIAS!T147</f>
        <v/>
      </c>
      <c r="R147" s="45" t="str">
        <f>CONFERENCIAS!U147</f>
        <v/>
      </c>
      <c r="S147" s="45" t="str">
        <f>CONFERENCIAS!W147</f>
        <v/>
      </c>
      <c r="T147" s="48">
        <f>IF(Q147="",0,
   IF(E147=1,
      IF(H147="Presencial",
         VLOOKUP(D147,TARIFAS!A:K,3,FALSE) + IF(I147="Sí",VLOOKUP(D147,TARIFAS!A:K,5,FALSE),0),
         VLOOKUP(D147,TARIFAS!A:K,4,FALSE) + IF(I147="Sí",VLOOKUP(D147,TARIFAS!A:K,5,FALSE),0)
      ),
      IF(H147="Presencial",
         VLOOKUP(D147,TARIFAS!A:K,9,FALSE) + IF(I147="Sí",VLOOKUP(D147,TARIFAS!A:K,11,FALSE),0),
         VLOOKUP(D147,TARIFAS!A:K,10,FALSE) + IF(I147="Sí",VLOOKUP(D147,TARIFAS!A:K,11,FALSE),0)
      )
   )
)
</f>
        <v>0</v>
      </c>
      <c r="U147" s="45">
        <f>IF(R147="",0,MAX(0,R147 - TARIFAS!G$2) * TARIFAS!F$2)
</f>
        <v>0</v>
      </c>
      <c r="V147" s="45">
        <f>+T147*TARIFAS!$K$2</f>
        <v>0</v>
      </c>
      <c r="W147" s="45">
        <f t="shared" si="2"/>
        <v>0</v>
      </c>
      <c r="X147" s="45">
        <f t="shared" si="3"/>
        <v>0</v>
      </c>
      <c r="Y147" s="45">
        <f t="shared" si="4"/>
        <v>0</v>
      </c>
      <c r="Z147" s="42" t="str">
        <f>CONFERENCIAS!AB147</f>
        <v/>
      </c>
      <c r="AA147" s="42" t="str">
        <f>CONFERENCIAS!AC147</f>
        <v/>
      </c>
      <c r="AB147" s="47" t="str">
        <f t="shared" si="5"/>
        <v/>
      </c>
      <c r="AC147" s="9" t="str">
        <f t="shared" si="6"/>
        <v/>
      </c>
    </row>
    <row r="148">
      <c r="A148" s="42" t="str">
        <f>CONFERENCIAS!A148</f>
        <v/>
      </c>
      <c r="D148" s="42" t="str">
        <f>CONFERENCIAS!C148</f>
        <v/>
      </c>
      <c r="E148" s="42" t="str">
        <f>CONFERENCIAS!K148</f>
        <v/>
      </c>
      <c r="F148" s="49" t="str">
        <f>CONFERENCIAS!J148</f>
        <v/>
      </c>
      <c r="G148" s="42" t="str">
        <f>CONFERENCIAS!O148</f>
        <v/>
      </c>
      <c r="H148" s="42" t="str">
        <f>CONFERENCIAS!X148</f>
        <v/>
      </c>
      <c r="I148" s="42" t="str">
        <f>CONFERENCIAS!AA148</f>
        <v/>
      </c>
      <c r="J148" s="44" t="str">
        <f>CONFERENCIAS!P148</f>
        <v/>
      </c>
      <c r="K148" s="45" t="str">
        <f>CONFERENCIAS!R148</f>
        <v/>
      </c>
      <c r="L148" s="45">
        <f>IF(D148="",0,
 IF(E148=1,
   IF(H148="Presencial",
      VLOOKUP(D148,TARIFAS!A:K,3,FALSE) + IF(I148="Sí",VLOOKUP(D148,TARIFAS!A:K,5,FALSE),0),
      VLOOKUP(D148,TARIFAS!A:K,4,FALSE) + IF(I148="Sí",VLOOKUP(D148,TARIFAS!A:K,5,FALSE),0)
   ),
   IF(H148="Presencial",
      VLOOKUP(D148,TARIFAS!A:K,9,FALSE) + IF(I148="Sí",VLOOKUP(D148,TARIFAS!A:K,11,FALSE),0),
      VLOOKUP(D148,TARIFAS!A:K,10,FALSE) + IF(I148="Sí",VLOOKUP(D148,TARIFAS!A:K,11,FALSE),0)
   )
 )
)
</f>
        <v>0</v>
      </c>
      <c r="M148" s="45">
        <f>IF(J148="",0,MAX(0,J148 - TARIFAS!G$2) * TARIFAS!F$2)
</f>
        <v>0</v>
      </c>
      <c r="N148" s="45">
        <f>+L148*TARIFAS!$K$2</f>
        <v>0</v>
      </c>
      <c r="O148" s="45">
        <f t="shared" si="1"/>
        <v>0</v>
      </c>
      <c r="P148" s="45">
        <f>+M148+O148+K148+(+I148-(I148*TARIFAS!$K$2))</f>
        <v>0</v>
      </c>
      <c r="Q148" s="42" t="str">
        <f>CONFERENCIAS!T148</f>
        <v/>
      </c>
      <c r="R148" s="45" t="str">
        <f>CONFERENCIAS!U148</f>
        <v/>
      </c>
      <c r="S148" s="45" t="str">
        <f>CONFERENCIAS!W148</f>
        <v/>
      </c>
      <c r="T148" s="48">
        <f>IF(Q148="",0,
   IF(E148=1,
      IF(H148="Presencial",
         VLOOKUP(D148,TARIFAS!A:K,3,FALSE) + IF(I148="Sí",VLOOKUP(D148,TARIFAS!A:K,5,FALSE),0),
         VLOOKUP(D148,TARIFAS!A:K,4,FALSE) + IF(I148="Sí",VLOOKUP(D148,TARIFAS!A:K,5,FALSE),0)
      ),
      IF(H148="Presencial",
         VLOOKUP(D148,TARIFAS!A:K,9,FALSE) + IF(I148="Sí",VLOOKUP(D148,TARIFAS!A:K,11,FALSE),0),
         VLOOKUP(D148,TARIFAS!A:K,10,FALSE) + IF(I148="Sí",VLOOKUP(D148,TARIFAS!A:K,11,FALSE),0)
      )
   )
)
</f>
        <v>0</v>
      </c>
      <c r="U148" s="45">
        <f>IF(R148="",0,MAX(0,R148 - TARIFAS!G$2) * TARIFAS!F$2)
</f>
        <v>0</v>
      </c>
      <c r="V148" s="45">
        <f>+T148*TARIFAS!$K$2</f>
        <v>0</v>
      </c>
      <c r="W148" s="45">
        <f t="shared" si="2"/>
        <v>0</v>
      </c>
      <c r="X148" s="45">
        <f t="shared" si="3"/>
        <v>0</v>
      </c>
      <c r="Y148" s="45">
        <f t="shared" si="4"/>
        <v>0</v>
      </c>
      <c r="Z148" s="42" t="str">
        <f>CONFERENCIAS!AB148</f>
        <v/>
      </c>
      <c r="AA148" s="42" t="str">
        <f>CONFERENCIAS!AC148</f>
        <v/>
      </c>
      <c r="AB148" s="47" t="str">
        <f t="shared" si="5"/>
        <v/>
      </c>
      <c r="AC148" s="9" t="str">
        <f t="shared" si="6"/>
        <v/>
      </c>
    </row>
    <row r="149">
      <c r="A149" s="42" t="str">
        <f>CONFERENCIAS!A149</f>
        <v/>
      </c>
      <c r="D149" s="42" t="str">
        <f>CONFERENCIAS!C149</f>
        <v/>
      </c>
      <c r="E149" s="42" t="str">
        <f>CONFERENCIAS!K149</f>
        <v/>
      </c>
      <c r="F149" s="49" t="str">
        <f>CONFERENCIAS!J149</f>
        <v/>
      </c>
      <c r="G149" s="42" t="str">
        <f>CONFERENCIAS!O149</f>
        <v/>
      </c>
      <c r="H149" s="42" t="str">
        <f>CONFERENCIAS!X149</f>
        <v/>
      </c>
      <c r="I149" s="42" t="str">
        <f>CONFERENCIAS!AA149</f>
        <v/>
      </c>
      <c r="J149" s="44" t="str">
        <f>CONFERENCIAS!P149</f>
        <v/>
      </c>
      <c r="K149" s="45" t="str">
        <f>CONFERENCIAS!R149</f>
        <v/>
      </c>
      <c r="L149" s="45">
        <f>IF(D149="",0,
 IF(E149=1,
   IF(H149="Presencial",
      VLOOKUP(D149,TARIFAS!A:K,3,FALSE) + IF(I149="Sí",VLOOKUP(D149,TARIFAS!A:K,5,FALSE),0),
      VLOOKUP(D149,TARIFAS!A:K,4,FALSE) + IF(I149="Sí",VLOOKUP(D149,TARIFAS!A:K,5,FALSE),0)
   ),
   IF(H149="Presencial",
      VLOOKUP(D149,TARIFAS!A:K,9,FALSE) + IF(I149="Sí",VLOOKUP(D149,TARIFAS!A:K,11,FALSE),0),
      VLOOKUP(D149,TARIFAS!A:K,10,FALSE) + IF(I149="Sí",VLOOKUP(D149,TARIFAS!A:K,11,FALSE),0)
   )
 )
)
</f>
        <v>0</v>
      </c>
      <c r="M149" s="45">
        <f>IF(J149="",0,MAX(0,J149 - TARIFAS!G$2) * TARIFAS!F$2)
</f>
        <v>0</v>
      </c>
      <c r="N149" s="45">
        <f>+L149*TARIFAS!$K$2</f>
        <v>0</v>
      </c>
      <c r="O149" s="45">
        <f t="shared" si="1"/>
        <v>0</v>
      </c>
      <c r="P149" s="45">
        <f>+M149+O149+K149+(+I149-(I149*TARIFAS!$K$2))</f>
        <v>0</v>
      </c>
      <c r="Q149" s="42" t="str">
        <f>CONFERENCIAS!T149</f>
        <v/>
      </c>
      <c r="R149" s="45" t="str">
        <f>CONFERENCIAS!U149</f>
        <v/>
      </c>
      <c r="S149" s="45" t="str">
        <f>CONFERENCIAS!W149</f>
        <v/>
      </c>
      <c r="T149" s="48">
        <f>IF(Q149="",0,
   IF(E149=1,
      IF(H149="Presencial",
         VLOOKUP(D149,TARIFAS!A:K,3,FALSE) + IF(I149="Sí",VLOOKUP(D149,TARIFAS!A:K,5,FALSE),0),
         VLOOKUP(D149,TARIFAS!A:K,4,FALSE) + IF(I149="Sí",VLOOKUP(D149,TARIFAS!A:K,5,FALSE),0)
      ),
      IF(H149="Presencial",
         VLOOKUP(D149,TARIFAS!A:K,9,FALSE) + IF(I149="Sí",VLOOKUP(D149,TARIFAS!A:K,11,FALSE),0),
         VLOOKUP(D149,TARIFAS!A:K,10,FALSE) + IF(I149="Sí",VLOOKUP(D149,TARIFAS!A:K,11,FALSE),0)
      )
   )
)
</f>
        <v>0</v>
      </c>
      <c r="U149" s="45">
        <f>IF(R149="",0,MAX(0,R149 - TARIFAS!G$2) * TARIFAS!F$2)
</f>
        <v>0</v>
      </c>
      <c r="V149" s="45">
        <f>+T149*TARIFAS!$K$2</f>
        <v>0</v>
      </c>
      <c r="W149" s="45">
        <f t="shared" si="2"/>
        <v>0</v>
      </c>
      <c r="X149" s="45">
        <f t="shared" si="3"/>
        <v>0</v>
      </c>
      <c r="Y149" s="45">
        <f t="shared" si="4"/>
        <v>0</v>
      </c>
      <c r="Z149" s="42" t="str">
        <f>CONFERENCIAS!AB149</f>
        <v/>
      </c>
      <c r="AA149" s="42" t="str">
        <f>CONFERENCIAS!AC149</f>
        <v/>
      </c>
      <c r="AB149" s="47" t="str">
        <f t="shared" si="5"/>
        <v/>
      </c>
      <c r="AC149" s="9" t="str">
        <f t="shared" si="6"/>
        <v/>
      </c>
    </row>
    <row r="150">
      <c r="A150" s="42" t="str">
        <f>CONFERENCIAS!A150</f>
        <v/>
      </c>
      <c r="D150" s="42" t="str">
        <f>CONFERENCIAS!C150</f>
        <v/>
      </c>
      <c r="E150" s="42" t="str">
        <f>CONFERENCIAS!K150</f>
        <v/>
      </c>
      <c r="F150" s="49" t="str">
        <f>CONFERENCIAS!J150</f>
        <v/>
      </c>
      <c r="G150" s="42" t="str">
        <f>CONFERENCIAS!O150</f>
        <v/>
      </c>
      <c r="H150" s="42" t="str">
        <f>CONFERENCIAS!X150</f>
        <v/>
      </c>
      <c r="I150" s="42" t="str">
        <f>CONFERENCIAS!AA150</f>
        <v/>
      </c>
      <c r="J150" s="44" t="str">
        <f>CONFERENCIAS!P150</f>
        <v/>
      </c>
      <c r="K150" s="45" t="str">
        <f>CONFERENCIAS!R150</f>
        <v/>
      </c>
      <c r="L150" s="45">
        <f>IF(D150="",0,
 IF(E150=1,
   IF(H150="Presencial",
      VLOOKUP(D150,TARIFAS!A:K,3,FALSE) + IF(I150="Sí",VLOOKUP(D150,TARIFAS!A:K,5,FALSE),0),
      VLOOKUP(D150,TARIFAS!A:K,4,FALSE) + IF(I150="Sí",VLOOKUP(D150,TARIFAS!A:K,5,FALSE),0)
   ),
   IF(H150="Presencial",
      VLOOKUP(D150,TARIFAS!A:K,9,FALSE) + IF(I150="Sí",VLOOKUP(D150,TARIFAS!A:K,11,FALSE),0),
      VLOOKUP(D150,TARIFAS!A:K,10,FALSE) + IF(I150="Sí",VLOOKUP(D150,TARIFAS!A:K,11,FALSE),0)
   )
 )
)
</f>
        <v>0</v>
      </c>
      <c r="M150" s="45">
        <f>IF(J150="",0,MAX(0,J150 - TARIFAS!G$2) * TARIFAS!F$2)
</f>
        <v>0</v>
      </c>
      <c r="N150" s="45">
        <f>+L150*TARIFAS!$K$2</f>
        <v>0</v>
      </c>
      <c r="O150" s="45">
        <f t="shared" si="1"/>
        <v>0</v>
      </c>
      <c r="P150" s="45">
        <f>+M150+O150+K150+(+I150-(I150*TARIFAS!$K$2))</f>
        <v>0</v>
      </c>
      <c r="Q150" s="42" t="str">
        <f>CONFERENCIAS!T150</f>
        <v/>
      </c>
      <c r="R150" s="45" t="str">
        <f>CONFERENCIAS!U150</f>
        <v/>
      </c>
      <c r="S150" s="45" t="str">
        <f>CONFERENCIAS!W150</f>
        <v/>
      </c>
      <c r="T150" s="48">
        <f>IF(Q150="",0,
   IF(E150=1,
      IF(H150="Presencial",
         VLOOKUP(D150,TARIFAS!A:K,3,FALSE) + IF(I150="Sí",VLOOKUP(D150,TARIFAS!A:K,5,FALSE),0),
         VLOOKUP(D150,TARIFAS!A:K,4,FALSE) + IF(I150="Sí",VLOOKUP(D150,TARIFAS!A:K,5,FALSE),0)
      ),
      IF(H150="Presencial",
         VLOOKUP(D150,TARIFAS!A:K,9,FALSE) + IF(I150="Sí",VLOOKUP(D150,TARIFAS!A:K,11,FALSE),0),
         VLOOKUP(D150,TARIFAS!A:K,10,FALSE) + IF(I150="Sí",VLOOKUP(D150,TARIFAS!A:K,11,FALSE),0)
      )
   )
)
</f>
        <v>0</v>
      </c>
      <c r="U150" s="45">
        <f>IF(R150="",0,MAX(0,R150 - TARIFAS!G$2) * TARIFAS!F$2)
</f>
        <v>0</v>
      </c>
      <c r="V150" s="45">
        <f>+T150*TARIFAS!$K$2</f>
        <v>0</v>
      </c>
      <c r="W150" s="45">
        <f t="shared" si="2"/>
        <v>0</v>
      </c>
      <c r="X150" s="45">
        <f t="shared" si="3"/>
        <v>0</v>
      </c>
      <c r="Y150" s="45">
        <f t="shared" si="4"/>
        <v>0</v>
      </c>
      <c r="Z150" s="42" t="str">
        <f>CONFERENCIAS!AB150</f>
        <v/>
      </c>
      <c r="AA150" s="42" t="str">
        <f>CONFERENCIAS!AC150</f>
        <v/>
      </c>
      <c r="AB150" s="47" t="str">
        <f t="shared" si="5"/>
        <v/>
      </c>
      <c r="AC150" s="9" t="str">
        <f t="shared" si="6"/>
        <v/>
      </c>
    </row>
    <row r="151">
      <c r="A151" s="42" t="str">
        <f>CONFERENCIAS!A151</f>
        <v/>
      </c>
      <c r="D151" s="42" t="str">
        <f>CONFERENCIAS!C151</f>
        <v/>
      </c>
      <c r="E151" s="42" t="str">
        <f>CONFERENCIAS!K151</f>
        <v/>
      </c>
      <c r="F151" s="49" t="str">
        <f>CONFERENCIAS!J151</f>
        <v/>
      </c>
      <c r="G151" s="42" t="str">
        <f>CONFERENCIAS!O151</f>
        <v/>
      </c>
      <c r="H151" s="42" t="str">
        <f>CONFERENCIAS!X151</f>
        <v/>
      </c>
      <c r="I151" s="42" t="str">
        <f>CONFERENCIAS!AA151</f>
        <v/>
      </c>
      <c r="J151" s="44" t="str">
        <f>CONFERENCIAS!P151</f>
        <v/>
      </c>
      <c r="K151" s="45" t="str">
        <f>CONFERENCIAS!R151</f>
        <v/>
      </c>
      <c r="L151" s="45">
        <f>IF(D151="",0,
 IF(E151=1,
   IF(H151="Presencial",
      VLOOKUP(D151,TARIFAS!A:K,3,FALSE) + IF(I151="Sí",VLOOKUP(D151,TARIFAS!A:K,5,FALSE),0),
      VLOOKUP(D151,TARIFAS!A:K,4,FALSE) + IF(I151="Sí",VLOOKUP(D151,TARIFAS!A:K,5,FALSE),0)
   ),
   IF(H151="Presencial",
      VLOOKUP(D151,TARIFAS!A:K,9,FALSE) + IF(I151="Sí",VLOOKUP(D151,TARIFAS!A:K,11,FALSE),0),
      VLOOKUP(D151,TARIFAS!A:K,10,FALSE) + IF(I151="Sí",VLOOKUP(D151,TARIFAS!A:K,11,FALSE),0)
   )
 )
)
</f>
        <v>0</v>
      </c>
      <c r="M151" s="45">
        <f>IF(J151="",0,MAX(0,J151 - TARIFAS!G$2) * TARIFAS!F$2)
</f>
        <v>0</v>
      </c>
      <c r="N151" s="45">
        <f>+L151*TARIFAS!$K$2</f>
        <v>0</v>
      </c>
      <c r="O151" s="45">
        <f t="shared" si="1"/>
        <v>0</v>
      </c>
      <c r="P151" s="45">
        <f>+M151+O151+K151+(+I151-(I151*TARIFAS!$K$2))</f>
        <v>0</v>
      </c>
      <c r="Q151" s="42" t="str">
        <f>CONFERENCIAS!T151</f>
        <v/>
      </c>
      <c r="R151" s="45" t="str">
        <f>CONFERENCIAS!U151</f>
        <v/>
      </c>
      <c r="S151" s="45" t="str">
        <f>CONFERENCIAS!W151</f>
        <v/>
      </c>
      <c r="T151" s="48">
        <f>IF(Q151="",0,
   IF(E151=1,
      IF(H151="Presencial",
         VLOOKUP(D151,TARIFAS!A:K,3,FALSE) + IF(I151="Sí",VLOOKUP(D151,TARIFAS!A:K,5,FALSE),0),
         VLOOKUP(D151,TARIFAS!A:K,4,FALSE) + IF(I151="Sí",VLOOKUP(D151,TARIFAS!A:K,5,FALSE),0)
      ),
      IF(H151="Presencial",
         VLOOKUP(D151,TARIFAS!A:K,9,FALSE) + IF(I151="Sí",VLOOKUP(D151,TARIFAS!A:K,11,FALSE),0),
         VLOOKUP(D151,TARIFAS!A:K,10,FALSE) + IF(I151="Sí",VLOOKUP(D151,TARIFAS!A:K,11,FALSE),0)
      )
   )
)
</f>
        <v>0</v>
      </c>
      <c r="U151" s="45">
        <f>IF(R151="",0,MAX(0,R151 - TARIFAS!G$2) * TARIFAS!F$2)
</f>
        <v>0</v>
      </c>
      <c r="V151" s="45">
        <f>+T151*TARIFAS!$K$2</f>
        <v>0</v>
      </c>
      <c r="W151" s="45">
        <f t="shared" si="2"/>
        <v>0</v>
      </c>
      <c r="X151" s="45">
        <f t="shared" si="3"/>
        <v>0</v>
      </c>
      <c r="Y151" s="45">
        <f t="shared" si="4"/>
        <v>0</v>
      </c>
      <c r="Z151" s="42" t="str">
        <f>CONFERENCIAS!AB151</f>
        <v/>
      </c>
      <c r="AA151" s="42" t="str">
        <f>CONFERENCIAS!AC151</f>
        <v/>
      </c>
      <c r="AB151" s="47" t="str">
        <f t="shared" si="5"/>
        <v/>
      </c>
      <c r="AC151" s="9" t="str">
        <f t="shared" si="6"/>
        <v/>
      </c>
    </row>
    <row r="152">
      <c r="A152" s="42" t="str">
        <f>CONFERENCIAS!A152</f>
        <v/>
      </c>
      <c r="D152" s="42" t="str">
        <f>CONFERENCIAS!C152</f>
        <v/>
      </c>
      <c r="E152" s="42" t="str">
        <f>CONFERENCIAS!K152</f>
        <v/>
      </c>
      <c r="F152" s="49" t="str">
        <f>CONFERENCIAS!J152</f>
        <v/>
      </c>
      <c r="G152" s="42" t="str">
        <f>CONFERENCIAS!O152</f>
        <v/>
      </c>
      <c r="H152" s="42" t="str">
        <f>CONFERENCIAS!X152</f>
        <v/>
      </c>
      <c r="I152" s="42" t="str">
        <f>CONFERENCIAS!AA152</f>
        <v/>
      </c>
      <c r="J152" s="44" t="str">
        <f>CONFERENCIAS!P152</f>
        <v/>
      </c>
      <c r="K152" s="45" t="str">
        <f>CONFERENCIAS!R152</f>
        <v/>
      </c>
      <c r="L152" s="45">
        <f>IF(D152="",0,
 IF(E152=1,
   IF(H152="Presencial",
      VLOOKUP(D152,TARIFAS!A:K,3,FALSE) + IF(I152="Sí",VLOOKUP(D152,TARIFAS!A:K,5,FALSE),0),
      VLOOKUP(D152,TARIFAS!A:K,4,FALSE) + IF(I152="Sí",VLOOKUP(D152,TARIFAS!A:K,5,FALSE),0)
   ),
   IF(H152="Presencial",
      VLOOKUP(D152,TARIFAS!A:K,9,FALSE) + IF(I152="Sí",VLOOKUP(D152,TARIFAS!A:K,11,FALSE),0),
      VLOOKUP(D152,TARIFAS!A:K,10,FALSE) + IF(I152="Sí",VLOOKUP(D152,TARIFAS!A:K,11,FALSE),0)
   )
 )
)
</f>
        <v>0</v>
      </c>
      <c r="M152" s="45">
        <f>IF(J152="",0,MAX(0,J152 - TARIFAS!G$2) * TARIFAS!F$2)
</f>
        <v>0</v>
      </c>
      <c r="N152" s="45">
        <f>+L152*TARIFAS!$K$2</f>
        <v>0</v>
      </c>
      <c r="O152" s="45">
        <f t="shared" si="1"/>
        <v>0</v>
      </c>
      <c r="P152" s="45">
        <f>+M152+O152+K152+(+I152-(I152*TARIFAS!$K$2))</f>
        <v>0</v>
      </c>
      <c r="Q152" s="42" t="str">
        <f>CONFERENCIAS!T152</f>
        <v/>
      </c>
      <c r="R152" s="45" t="str">
        <f>CONFERENCIAS!U152</f>
        <v/>
      </c>
      <c r="S152" s="45" t="str">
        <f>CONFERENCIAS!W152</f>
        <v/>
      </c>
      <c r="T152" s="48">
        <f>IF(Q152="",0,
   IF(E152=1,
      IF(H152="Presencial",
         VLOOKUP(D152,TARIFAS!A:K,3,FALSE) + IF(I152="Sí",VLOOKUP(D152,TARIFAS!A:K,5,FALSE),0),
         VLOOKUP(D152,TARIFAS!A:K,4,FALSE) + IF(I152="Sí",VLOOKUP(D152,TARIFAS!A:K,5,FALSE),0)
      ),
      IF(H152="Presencial",
         VLOOKUP(D152,TARIFAS!A:K,9,FALSE) + IF(I152="Sí",VLOOKUP(D152,TARIFAS!A:K,11,FALSE),0),
         VLOOKUP(D152,TARIFAS!A:K,10,FALSE) + IF(I152="Sí",VLOOKUP(D152,TARIFAS!A:K,11,FALSE),0)
      )
   )
)
</f>
        <v>0</v>
      </c>
      <c r="U152" s="45">
        <f>IF(R152="",0,MAX(0,R152 - TARIFAS!G$2) * TARIFAS!F$2)
</f>
        <v>0</v>
      </c>
      <c r="V152" s="45">
        <f>+T152*TARIFAS!$K$2</f>
        <v>0</v>
      </c>
      <c r="W152" s="45">
        <f t="shared" si="2"/>
        <v>0</v>
      </c>
      <c r="X152" s="45">
        <f t="shared" si="3"/>
        <v>0</v>
      </c>
      <c r="Y152" s="45">
        <f t="shared" si="4"/>
        <v>0</v>
      </c>
      <c r="Z152" s="42" t="str">
        <f>CONFERENCIAS!AB152</f>
        <v/>
      </c>
      <c r="AA152" s="42" t="str">
        <f>CONFERENCIAS!AC152</f>
        <v/>
      </c>
      <c r="AB152" s="47" t="str">
        <f t="shared" si="5"/>
        <v/>
      </c>
      <c r="AC152" s="9" t="str">
        <f t="shared" si="6"/>
        <v/>
      </c>
    </row>
    <row r="153">
      <c r="A153" s="42" t="str">
        <f>CONFERENCIAS!A153</f>
        <v/>
      </c>
      <c r="D153" s="42" t="str">
        <f>CONFERENCIAS!C153</f>
        <v/>
      </c>
      <c r="E153" s="42" t="str">
        <f>CONFERENCIAS!K153</f>
        <v/>
      </c>
      <c r="F153" s="49" t="str">
        <f>CONFERENCIAS!J153</f>
        <v/>
      </c>
      <c r="G153" s="42" t="str">
        <f>CONFERENCIAS!O153</f>
        <v/>
      </c>
      <c r="H153" s="42" t="str">
        <f>CONFERENCIAS!X153</f>
        <v/>
      </c>
      <c r="I153" s="42" t="str">
        <f>CONFERENCIAS!AA153</f>
        <v/>
      </c>
      <c r="J153" s="44" t="str">
        <f>CONFERENCIAS!P153</f>
        <v/>
      </c>
      <c r="K153" s="45" t="str">
        <f>CONFERENCIAS!R153</f>
        <v/>
      </c>
      <c r="L153" s="45">
        <f>IF(D153="",0,
 IF(E153=1,
   IF(H153="Presencial",
      VLOOKUP(D153,TARIFAS!A:K,3,FALSE) + IF(I153="Sí",VLOOKUP(D153,TARIFAS!A:K,5,FALSE),0),
      VLOOKUP(D153,TARIFAS!A:K,4,FALSE) + IF(I153="Sí",VLOOKUP(D153,TARIFAS!A:K,5,FALSE),0)
   ),
   IF(H153="Presencial",
      VLOOKUP(D153,TARIFAS!A:K,9,FALSE) + IF(I153="Sí",VLOOKUP(D153,TARIFAS!A:K,11,FALSE),0),
      VLOOKUP(D153,TARIFAS!A:K,10,FALSE) + IF(I153="Sí",VLOOKUP(D153,TARIFAS!A:K,11,FALSE),0)
   )
 )
)
</f>
        <v>0</v>
      </c>
      <c r="M153" s="45">
        <f>IF(J153="",0,MAX(0,J153 - TARIFAS!G$2) * TARIFAS!F$2)
</f>
        <v>0</v>
      </c>
      <c r="N153" s="45">
        <f>+L153*TARIFAS!$K$2</f>
        <v>0</v>
      </c>
      <c r="O153" s="45">
        <f t="shared" si="1"/>
        <v>0</v>
      </c>
      <c r="P153" s="45">
        <f>+M153+O153+K153+(+I153-(I153*TARIFAS!$K$2))</f>
        <v>0</v>
      </c>
      <c r="Q153" s="42" t="str">
        <f>CONFERENCIAS!T153</f>
        <v/>
      </c>
      <c r="R153" s="45" t="str">
        <f>CONFERENCIAS!U153</f>
        <v/>
      </c>
      <c r="S153" s="45" t="str">
        <f>CONFERENCIAS!W153</f>
        <v/>
      </c>
      <c r="T153" s="48">
        <f>IF(Q153="",0,
   IF(E153=1,
      IF(H153="Presencial",
         VLOOKUP(D153,TARIFAS!A:K,3,FALSE) + IF(I153="Sí",VLOOKUP(D153,TARIFAS!A:K,5,FALSE),0),
         VLOOKUP(D153,TARIFAS!A:K,4,FALSE) + IF(I153="Sí",VLOOKUP(D153,TARIFAS!A:K,5,FALSE),0)
      ),
      IF(H153="Presencial",
         VLOOKUP(D153,TARIFAS!A:K,9,FALSE) + IF(I153="Sí",VLOOKUP(D153,TARIFAS!A:K,11,FALSE),0),
         VLOOKUP(D153,TARIFAS!A:K,10,FALSE) + IF(I153="Sí",VLOOKUP(D153,TARIFAS!A:K,11,FALSE),0)
      )
   )
)
</f>
        <v>0</v>
      </c>
      <c r="U153" s="45">
        <f>IF(R153="",0,MAX(0,R153 - TARIFAS!G$2) * TARIFAS!F$2)
</f>
        <v>0</v>
      </c>
      <c r="V153" s="45">
        <f>+T153*TARIFAS!$K$2</f>
        <v>0</v>
      </c>
      <c r="W153" s="45">
        <f t="shared" si="2"/>
        <v>0</v>
      </c>
      <c r="X153" s="45">
        <f t="shared" si="3"/>
        <v>0</v>
      </c>
      <c r="Y153" s="45">
        <f t="shared" si="4"/>
        <v>0</v>
      </c>
      <c r="Z153" s="42" t="str">
        <f>CONFERENCIAS!AB153</f>
        <v/>
      </c>
      <c r="AA153" s="42" t="str">
        <f>CONFERENCIAS!AC153</f>
        <v/>
      </c>
      <c r="AB153" s="47" t="str">
        <f t="shared" si="5"/>
        <v/>
      </c>
      <c r="AC153" s="9" t="str">
        <f t="shared" si="6"/>
        <v/>
      </c>
    </row>
    <row r="154">
      <c r="A154" s="42" t="str">
        <f>CONFERENCIAS!A154</f>
        <v/>
      </c>
      <c r="D154" s="42" t="str">
        <f>CONFERENCIAS!C154</f>
        <v/>
      </c>
      <c r="E154" s="42" t="str">
        <f>CONFERENCIAS!K154</f>
        <v/>
      </c>
      <c r="F154" s="49" t="str">
        <f>CONFERENCIAS!J154</f>
        <v/>
      </c>
      <c r="G154" s="42" t="str">
        <f>CONFERENCIAS!O154</f>
        <v/>
      </c>
      <c r="H154" s="42" t="str">
        <f>CONFERENCIAS!X154</f>
        <v/>
      </c>
      <c r="I154" s="42" t="str">
        <f>CONFERENCIAS!AA154</f>
        <v/>
      </c>
      <c r="J154" s="44" t="str">
        <f>CONFERENCIAS!P154</f>
        <v/>
      </c>
      <c r="K154" s="45" t="str">
        <f>CONFERENCIAS!R154</f>
        <v/>
      </c>
      <c r="L154" s="45">
        <f>IF(D154="",0,
 IF(E154=1,
   IF(H154="Presencial",
      VLOOKUP(D154,TARIFAS!A:K,3,FALSE) + IF(I154="Sí",VLOOKUP(D154,TARIFAS!A:K,5,FALSE),0),
      VLOOKUP(D154,TARIFAS!A:K,4,FALSE) + IF(I154="Sí",VLOOKUP(D154,TARIFAS!A:K,5,FALSE),0)
   ),
   IF(H154="Presencial",
      VLOOKUP(D154,TARIFAS!A:K,9,FALSE) + IF(I154="Sí",VLOOKUP(D154,TARIFAS!A:K,11,FALSE),0),
      VLOOKUP(D154,TARIFAS!A:K,10,FALSE) + IF(I154="Sí",VLOOKUP(D154,TARIFAS!A:K,11,FALSE),0)
   )
 )
)
</f>
        <v>0</v>
      </c>
      <c r="M154" s="45">
        <f>IF(J154="",0,MAX(0,J154 - TARIFAS!G$2) * TARIFAS!F$2)
</f>
        <v>0</v>
      </c>
      <c r="N154" s="45">
        <f>+L154*TARIFAS!$K$2</f>
        <v>0</v>
      </c>
      <c r="O154" s="45">
        <f t="shared" si="1"/>
        <v>0</v>
      </c>
      <c r="P154" s="45">
        <f>+M154+O154+K154+(+I154-(I154*TARIFAS!$K$2))</f>
        <v>0</v>
      </c>
      <c r="Q154" s="42" t="str">
        <f>CONFERENCIAS!T154</f>
        <v/>
      </c>
      <c r="R154" s="45" t="str">
        <f>CONFERENCIAS!U154</f>
        <v/>
      </c>
      <c r="S154" s="45" t="str">
        <f>CONFERENCIAS!W154</f>
        <v/>
      </c>
      <c r="T154" s="48">
        <f>IF(Q154="",0,
   IF(E154=1,
      IF(H154="Presencial",
         VLOOKUP(D154,TARIFAS!A:K,3,FALSE) + IF(I154="Sí",VLOOKUP(D154,TARIFAS!A:K,5,FALSE),0),
         VLOOKUP(D154,TARIFAS!A:K,4,FALSE) + IF(I154="Sí",VLOOKUP(D154,TARIFAS!A:K,5,FALSE),0)
      ),
      IF(H154="Presencial",
         VLOOKUP(D154,TARIFAS!A:K,9,FALSE) + IF(I154="Sí",VLOOKUP(D154,TARIFAS!A:K,11,FALSE),0),
         VLOOKUP(D154,TARIFAS!A:K,10,FALSE) + IF(I154="Sí",VLOOKUP(D154,TARIFAS!A:K,11,FALSE),0)
      )
   )
)
</f>
        <v>0</v>
      </c>
      <c r="U154" s="45">
        <f>IF(R154="",0,MAX(0,R154 - TARIFAS!G$2) * TARIFAS!F$2)
</f>
        <v>0</v>
      </c>
      <c r="V154" s="45">
        <f>+T154*TARIFAS!$K$2</f>
        <v>0</v>
      </c>
      <c r="W154" s="45">
        <f t="shared" si="2"/>
        <v>0</v>
      </c>
      <c r="X154" s="45">
        <f t="shared" si="3"/>
        <v>0</v>
      </c>
      <c r="Y154" s="45">
        <f t="shared" si="4"/>
        <v>0</v>
      </c>
      <c r="Z154" s="42" t="str">
        <f>CONFERENCIAS!AB154</f>
        <v/>
      </c>
      <c r="AA154" s="42" t="str">
        <f>CONFERENCIAS!AC154</f>
        <v/>
      </c>
      <c r="AB154" s="47" t="str">
        <f t="shared" si="5"/>
        <v/>
      </c>
      <c r="AC154" s="9" t="str">
        <f t="shared" si="6"/>
        <v/>
      </c>
    </row>
    <row r="155">
      <c r="A155" s="42" t="str">
        <f>CONFERENCIAS!A155</f>
        <v/>
      </c>
      <c r="D155" s="42" t="str">
        <f>CONFERENCIAS!C155</f>
        <v/>
      </c>
      <c r="E155" s="42" t="str">
        <f>CONFERENCIAS!K155</f>
        <v/>
      </c>
      <c r="F155" s="49" t="str">
        <f>CONFERENCIAS!J155</f>
        <v/>
      </c>
      <c r="G155" s="42" t="str">
        <f>CONFERENCIAS!O155</f>
        <v/>
      </c>
      <c r="H155" s="42" t="str">
        <f>CONFERENCIAS!X155</f>
        <v/>
      </c>
      <c r="I155" s="42" t="str">
        <f>CONFERENCIAS!AA155</f>
        <v/>
      </c>
      <c r="J155" s="44" t="str">
        <f>CONFERENCIAS!P155</f>
        <v/>
      </c>
      <c r="K155" s="45" t="str">
        <f>CONFERENCIAS!R155</f>
        <v/>
      </c>
      <c r="L155" s="45">
        <f>IF(D155="",0,
 IF(E155=1,
   IF(H155="Presencial",
      VLOOKUP(D155,TARIFAS!A:K,3,FALSE) + IF(I155="Sí",VLOOKUP(D155,TARIFAS!A:K,5,FALSE),0),
      VLOOKUP(D155,TARIFAS!A:K,4,FALSE) + IF(I155="Sí",VLOOKUP(D155,TARIFAS!A:K,5,FALSE),0)
   ),
   IF(H155="Presencial",
      VLOOKUP(D155,TARIFAS!A:K,9,FALSE) + IF(I155="Sí",VLOOKUP(D155,TARIFAS!A:K,11,FALSE),0),
      VLOOKUP(D155,TARIFAS!A:K,10,FALSE) + IF(I155="Sí",VLOOKUP(D155,TARIFAS!A:K,11,FALSE),0)
   )
 )
)
</f>
        <v>0</v>
      </c>
      <c r="M155" s="45">
        <f>IF(J155="",0,MAX(0,J155 - TARIFAS!G$2) * TARIFAS!F$2)
</f>
        <v>0</v>
      </c>
      <c r="N155" s="45">
        <f>+L155*TARIFAS!$K$2</f>
        <v>0</v>
      </c>
      <c r="O155" s="45">
        <f t="shared" si="1"/>
        <v>0</v>
      </c>
      <c r="P155" s="45">
        <f>+M155+O155+K155+(+I155-(I155*TARIFAS!$K$2))</f>
        <v>0</v>
      </c>
      <c r="Q155" s="42" t="str">
        <f>CONFERENCIAS!T155</f>
        <v/>
      </c>
      <c r="R155" s="45" t="str">
        <f>CONFERENCIAS!U155</f>
        <v/>
      </c>
      <c r="S155" s="45" t="str">
        <f>CONFERENCIAS!W155</f>
        <v/>
      </c>
      <c r="T155" s="48">
        <f>IF(Q155="",0,
   IF(E155=1,
      IF(H155="Presencial",
         VLOOKUP(D155,TARIFAS!A:K,3,FALSE) + IF(I155="Sí",VLOOKUP(D155,TARIFAS!A:K,5,FALSE),0),
         VLOOKUP(D155,TARIFAS!A:K,4,FALSE) + IF(I155="Sí",VLOOKUP(D155,TARIFAS!A:K,5,FALSE),0)
      ),
      IF(H155="Presencial",
         VLOOKUP(D155,TARIFAS!A:K,9,FALSE) + IF(I155="Sí",VLOOKUP(D155,TARIFAS!A:K,11,FALSE),0),
         VLOOKUP(D155,TARIFAS!A:K,10,FALSE) + IF(I155="Sí",VLOOKUP(D155,TARIFAS!A:K,11,FALSE),0)
      )
   )
)
</f>
        <v>0</v>
      </c>
      <c r="U155" s="45">
        <f>IF(R155="",0,MAX(0,R155 - TARIFAS!G$2) * TARIFAS!F$2)
</f>
        <v>0</v>
      </c>
      <c r="V155" s="45">
        <f>+T155*TARIFAS!$K$2</f>
        <v>0</v>
      </c>
      <c r="W155" s="45">
        <f t="shared" si="2"/>
        <v>0</v>
      </c>
      <c r="X155" s="45">
        <f t="shared" si="3"/>
        <v>0</v>
      </c>
      <c r="Y155" s="45">
        <f t="shared" si="4"/>
        <v>0</v>
      </c>
      <c r="Z155" s="42" t="str">
        <f>CONFERENCIAS!AB155</f>
        <v/>
      </c>
      <c r="AA155" s="42" t="str">
        <f>CONFERENCIAS!AC155</f>
        <v/>
      </c>
      <c r="AB155" s="47" t="str">
        <f t="shared" si="5"/>
        <v/>
      </c>
      <c r="AC155" s="9" t="str">
        <f t="shared" si="6"/>
        <v/>
      </c>
    </row>
    <row r="156">
      <c r="A156" s="42" t="str">
        <f>CONFERENCIAS!A156</f>
        <v/>
      </c>
      <c r="D156" s="42" t="str">
        <f>CONFERENCIAS!C156</f>
        <v/>
      </c>
      <c r="E156" s="42" t="str">
        <f>CONFERENCIAS!K156</f>
        <v/>
      </c>
      <c r="F156" s="49" t="str">
        <f>CONFERENCIAS!J156</f>
        <v/>
      </c>
      <c r="G156" s="42" t="str">
        <f>CONFERENCIAS!O156</f>
        <v/>
      </c>
      <c r="H156" s="42" t="str">
        <f>CONFERENCIAS!X156</f>
        <v/>
      </c>
      <c r="I156" s="42" t="str">
        <f>CONFERENCIAS!AA156</f>
        <v/>
      </c>
      <c r="J156" s="44" t="str">
        <f>CONFERENCIAS!P156</f>
        <v/>
      </c>
      <c r="K156" s="45" t="str">
        <f>CONFERENCIAS!R156</f>
        <v/>
      </c>
      <c r="L156" s="45">
        <f>IF(D156="",0,
 IF(E156=1,
   IF(H156="Presencial",
      VLOOKUP(D156,TARIFAS!A:K,3,FALSE) + IF(I156="Sí",VLOOKUP(D156,TARIFAS!A:K,5,FALSE),0),
      VLOOKUP(D156,TARIFAS!A:K,4,FALSE) + IF(I156="Sí",VLOOKUP(D156,TARIFAS!A:K,5,FALSE),0)
   ),
   IF(H156="Presencial",
      VLOOKUP(D156,TARIFAS!A:K,9,FALSE) + IF(I156="Sí",VLOOKUP(D156,TARIFAS!A:K,11,FALSE),0),
      VLOOKUP(D156,TARIFAS!A:K,10,FALSE) + IF(I156="Sí",VLOOKUP(D156,TARIFAS!A:K,11,FALSE),0)
   )
 )
)
</f>
        <v>0</v>
      </c>
      <c r="M156" s="45">
        <f>IF(J156="",0,MAX(0,J156 - TARIFAS!G$2) * TARIFAS!F$2)
</f>
        <v>0</v>
      </c>
      <c r="N156" s="45">
        <f>+L156*TARIFAS!$K$2</f>
        <v>0</v>
      </c>
      <c r="O156" s="45">
        <f t="shared" si="1"/>
        <v>0</v>
      </c>
      <c r="P156" s="45">
        <f>+M156+O156+K156+(+I156-(I156*TARIFAS!$K$2))</f>
        <v>0</v>
      </c>
      <c r="Q156" s="42" t="str">
        <f>CONFERENCIAS!T156</f>
        <v/>
      </c>
      <c r="R156" s="45" t="str">
        <f>CONFERENCIAS!U156</f>
        <v/>
      </c>
      <c r="S156" s="45" t="str">
        <f>CONFERENCIAS!W156</f>
        <v/>
      </c>
      <c r="T156" s="48">
        <f>IF(Q156="",0,
   IF(E156=1,
      IF(H156="Presencial",
         VLOOKUP(D156,TARIFAS!A:K,3,FALSE) + IF(I156="Sí",VLOOKUP(D156,TARIFAS!A:K,5,FALSE),0),
         VLOOKUP(D156,TARIFAS!A:K,4,FALSE) + IF(I156="Sí",VLOOKUP(D156,TARIFAS!A:K,5,FALSE),0)
      ),
      IF(H156="Presencial",
         VLOOKUP(D156,TARIFAS!A:K,9,FALSE) + IF(I156="Sí",VLOOKUP(D156,TARIFAS!A:K,11,FALSE),0),
         VLOOKUP(D156,TARIFAS!A:K,10,FALSE) + IF(I156="Sí",VLOOKUP(D156,TARIFAS!A:K,11,FALSE),0)
      )
   )
)
</f>
        <v>0</v>
      </c>
      <c r="U156" s="45">
        <f>IF(R156="",0,MAX(0,R156 - TARIFAS!G$2) * TARIFAS!F$2)
</f>
        <v>0</v>
      </c>
      <c r="V156" s="45">
        <f>+T156*TARIFAS!$K$2</f>
        <v>0</v>
      </c>
      <c r="W156" s="45">
        <f t="shared" si="2"/>
        <v>0</v>
      </c>
      <c r="X156" s="45">
        <f t="shared" si="3"/>
        <v>0</v>
      </c>
      <c r="Y156" s="45">
        <f t="shared" si="4"/>
        <v>0</v>
      </c>
      <c r="Z156" s="42" t="str">
        <f>CONFERENCIAS!AB156</f>
        <v/>
      </c>
      <c r="AA156" s="42" t="str">
        <f>CONFERENCIAS!AC156</f>
        <v/>
      </c>
      <c r="AB156" s="47" t="str">
        <f t="shared" si="5"/>
        <v/>
      </c>
      <c r="AC156" s="9" t="str">
        <f t="shared" si="6"/>
        <v/>
      </c>
    </row>
    <row r="157">
      <c r="A157" s="42" t="str">
        <f>CONFERENCIAS!A157</f>
        <v/>
      </c>
      <c r="D157" s="42" t="str">
        <f>CONFERENCIAS!C157</f>
        <v/>
      </c>
      <c r="E157" s="42" t="str">
        <f>CONFERENCIAS!K157</f>
        <v/>
      </c>
      <c r="F157" s="49" t="str">
        <f>CONFERENCIAS!J157</f>
        <v/>
      </c>
      <c r="G157" s="42" t="str">
        <f>CONFERENCIAS!O157</f>
        <v/>
      </c>
      <c r="H157" s="42" t="str">
        <f>CONFERENCIAS!X157</f>
        <v/>
      </c>
      <c r="I157" s="42" t="str">
        <f>CONFERENCIAS!AA157</f>
        <v/>
      </c>
      <c r="J157" s="44" t="str">
        <f>CONFERENCIAS!P157</f>
        <v/>
      </c>
      <c r="K157" s="45" t="str">
        <f>CONFERENCIAS!R157</f>
        <v/>
      </c>
      <c r="L157" s="45">
        <f>IF(D157="",0,
 IF(E157=1,
   IF(H157="Presencial",
      VLOOKUP(D157,TARIFAS!A:K,3,FALSE) + IF(I157="Sí",VLOOKUP(D157,TARIFAS!A:K,5,FALSE),0),
      VLOOKUP(D157,TARIFAS!A:K,4,FALSE) + IF(I157="Sí",VLOOKUP(D157,TARIFAS!A:K,5,FALSE),0)
   ),
   IF(H157="Presencial",
      VLOOKUP(D157,TARIFAS!A:K,9,FALSE) + IF(I157="Sí",VLOOKUP(D157,TARIFAS!A:K,11,FALSE),0),
      VLOOKUP(D157,TARIFAS!A:K,10,FALSE) + IF(I157="Sí",VLOOKUP(D157,TARIFAS!A:K,11,FALSE),0)
   )
 )
)
</f>
        <v>0</v>
      </c>
      <c r="M157" s="45">
        <f>IF(J157="",0,MAX(0,J157 - TARIFAS!G$2) * TARIFAS!F$2)
</f>
        <v>0</v>
      </c>
      <c r="N157" s="45">
        <f>+L157*TARIFAS!$K$2</f>
        <v>0</v>
      </c>
      <c r="O157" s="45">
        <f t="shared" si="1"/>
        <v>0</v>
      </c>
      <c r="P157" s="45">
        <f>+M157+O157+K157+(+I157-(I157*TARIFAS!$K$2))</f>
        <v>0</v>
      </c>
      <c r="Q157" s="42" t="str">
        <f>CONFERENCIAS!T157</f>
        <v/>
      </c>
      <c r="R157" s="45" t="str">
        <f>CONFERENCIAS!U157</f>
        <v/>
      </c>
      <c r="S157" s="45" t="str">
        <f>CONFERENCIAS!W157</f>
        <v/>
      </c>
      <c r="T157" s="48">
        <f>IF(Q157="",0,
   IF(E157=1,
      IF(H157="Presencial",
         VLOOKUP(D157,TARIFAS!A:K,3,FALSE) + IF(I157="Sí",VLOOKUP(D157,TARIFAS!A:K,5,FALSE),0),
         VLOOKUP(D157,TARIFAS!A:K,4,FALSE) + IF(I157="Sí",VLOOKUP(D157,TARIFAS!A:K,5,FALSE),0)
      ),
      IF(H157="Presencial",
         VLOOKUP(D157,TARIFAS!A:K,9,FALSE) + IF(I157="Sí",VLOOKUP(D157,TARIFAS!A:K,11,FALSE),0),
         VLOOKUP(D157,TARIFAS!A:K,10,FALSE) + IF(I157="Sí",VLOOKUP(D157,TARIFAS!A:K,11,FALSE),0)
      )
   )
)
</f>
        <v>0</v>
      </c>
      <c r="U157" s="45">
        <f>IF(R157="",0,MAX(0,R157 - TARIFAS!G$2) * TARIFAS!F$2)
</f>
        <v>0</v>
      </c>
      <c r="V157" s="45">
        <f>+T157*TARIFAS!$K$2</f>
        <v>0</v>
      </c>
      <c r="W157" s="45">
        <f t="shared" si="2"/>
        <v>0</v>
      </c>
      <c r="X157" s="45">
        <f t="shared" si="3"/>
        <v>0</v>
      </c>
      <c r="Y157" s="45">
        <f t="shared" si="4"/>
        <v>0</v>
      </c>
      <c r="Z157" s="42" t="str">
        <f>CONFERENCIAS!AB157</f>
        <v/>
      </c>
      <c r="AA157" s="42" t="str">
        <f>CONFERENCIAS!AC157</f>
        <v/>
      </c>
      <c r="AB157" s="47" t="str">
        <f t="shared" si="5"/>
        <v/>
      </c>
      <c r="AC157" s="9" t="str">
        <f t="shared" si="6"/>
        <v/>
      </c>
    </row>
    <row r="158">
      <c r="A158" s="42" t="str">
        <f>CONFERENCIAS!A158</f>
        <v/>
      </c>
      <c r="D158" s="42" t="str">
        <f>CONFERENCIAS!C158</f>
        <v/>
      </c>
      <c r="E158" s="42" t="str">
        <f>CONFERENCIAS!K158</f>
        <v/>
      </c>
      <c r="F158" s="49" t="str">
        <f>CONFERENCIAS!J158</f>
        <v/>
      </c>
      <c r="G158" s="42" t="str">
        <f>CONFERENCIAS!O158</f>
        <v/>
      </c>
      <c r="H158" s="42" t="str">
        <f>CONFERENCIAS!X158</f>
        <v/>
      </c>
      <c r="I158" s="42" t="str">
        <f>CONFERENCIAS!AA158</f>
        <v/>
      </c>
      <c r="J158" s="44" t="str">
        <f>CONFERENCIAS!P158</f>
        <v/>
      </c>
      <c r="K158" s="45" t="str">
        <f>CONFERENCIAS!R158</f>
        <v/>
      </c>
      <c r="L158" s="45">
        <f>IF(D158="",0,
 IF(E158=1,
   IF(H158="Presencial",
      VLOOKUP(D158,TARIFAS!A:K,3,FALSE) + IF(I158="Sí",VLOOKUP(D158,TARIFAS!A:K,5,FALSE),0),
      VLOOKUP(D158,TARIFAS!A:K,4,FALSE) + IF(I158="Sí",VLOOKUP(D158,TARIFAS!A:K,5,FALSE),0)
   ),
   IF(H158="Presencial",
      VLOOKUP(D158,TARIFAS!A:K,9,FALSE) + IF(I158="Sí",VLOOKUP(D158,TARIFAS!A:K,11,FALSE),0),
      VLOOKUP(D158,TARIFAS!A:K,10,FALSE) + IF(I158="Sí",VLOOKUP(D158,TARIFAS!A:K,11,FALSE),0)
   )
 )
)
</f>
        <v>0</v>
      </c>
      <c r="M158" s="45">
        <f>IF(J158="",0,MAX(0,J158 - TARIFAS!G$2) * TARIFAS!F$2)
</f>
        <v>0</v>
      </c>
      <c r="N158" s="45">
        <f>+L158*TARIFAS!$K$2</f>
        <v>0</v>
      </c>
      <c r="O158" s="45">
        <f t="shared" si="1"/>
        <v>0</v>
      </c>
      <c r="P158" s="45">
        <f>+M158+O158+K158+(+I158-(I158*TARIFAS!$K$2))</f>
        <v>0</v>
      </c>
      <c r="Q158" s="42" t="str">
        <f>CONFERENCIAS!T158</f>
        <v/>
      </c>
      <c r="R158" s="45" t="str">
        <f>CONFERENCIAS!U158</f>
        <v/>
      </c>
      <c r="S158" s="45" t="str">
        <f>CONFERENCIAS!W158</f>
        <v/>
      </c>
      <c r="T158" s="48">
        <f>IF(Q158="",0,
   IF(E158=1,
      IF(H158="Presencial",
         VLOOKUP(D158,TARIFAS!A:K,3,FALSE) + IF(I158="Sí",VLOOKUP(D158,TARIFAS!A:K,5,FALSE),0),
         VLOOKUP(D158,TARIFAS!A:K,4,FALSE) + IF(I158="Sí",VLOOKUP(D158,TARIFAS!A:K,5,FALSE),0)
      ),
      IF(H158="Presencial",
         VLOOKUP(D158,TARIFAS!A:K,9,FALSE) + IF(I158="Sí",VLOOKUP(D158,TARIFAS!A:K,11,FALSE),0),
         VLOOKUP(D158,TARIFAS!A:K,10,FALSE) + IF(I158="Sí",VLOOKUP(D158,TARIFAS!A:K,11,FALSE),0)
      )
   )
)
</f>
        <v>0</v>
      </c>
      <c r="U158" s="45">
        <f>IF(R158="",0,MAX(0,R158 - TARIFAS!G$2) * TARIFAS!F$2)
</f>
        <v>0</v>
      </c>
      <c r="V158" s="45">
        <f>+T158*TARIFAS!$K$2</f>
        <v>0</v>
      </c>
      <c r="W158" s="45">
        <f t="shared" si="2"/>
        <v>0</v>
      </c>
      <c r="X158" s="45">
        <f t="shared" si="3"/>
        <v>0</v>
      </c>
      <c r="Y158" s="45">
        <f t="shared" si="4"/>
        <v>0</v>
      </c>
      <c r="Z158" s="42" t="str">
        <f>CONFERENCIAS!AB158</f>
        <v/>
      </c>
      <c r="AA158" s="42" t="str">
        <f>CONFERENCIAS!AC158</f>
        <v/>
      </c>
      <c r="AB158" s="47" t="str">
        <f t="shared" si="5"/>
        <v/>
      </c>
      <c r="AC158" s="9" t="str">
        <f t="shared" si="6"/>
        <v/>
      </c>
    </row>
    <row r="159">
      <c r="A159" s="42" t="str">
        <f>CONFERENCIAS!A159</f>
        <v/>
      </c>
      <c r="D159" s="42" t="str">
        <f>CONFERENCIAS!C159</f>
        <v/>
      </c>
      <c r="E159" s="42" t="str">
        <f>CONFERENCIAS!K159</f>
        <v/>
      </c>
      <c r="F159" s="49" t="str">
        <f>CONFERENCIAS!J159</f>
        <v/>
      </c>
      <c r="G159" s="42" t="str">
        <f>CONFERENCIAS!O159</f>
        <v/>
      </c>
      <c r="H159" s="42" t="str">
        <f>CONFERENCIAS!X159</f>
        <v/>
      </c>
      <c r="I159" s="42" t="str">
        <f>CONFERENCIAS!AA159</f>
        <v/>
      </c>
      <c r="J159" s="44" t="str">
        <f>CONFERENCIAS!P159</f>
        <v/>
      </c>
      <c r="K159" s="45" t="str">
        <f>CONFERENCIAS!R159</f>
        <v/>
      </c>
      <c r="L159" s="45">
        <f>IF(D159="",0,
 IF(E159=1,
   IF(H159="Presencial",
      VLOOKUP(D159,TARIFAS!A:K,3,FALSE) + IF(I159="Sí",VLOOKUP(D159,TARIFAS!A:K,5,FALSE),0),
      VLOOKUP(D159,TARIFAS!A:K,4,FALSE) + IF(I159="Sí",VLOOKUP(D159,TARIFAS!A:K,5,FALSE),0)
   ),
   IF(H159="Presencial",
      VLOOKUP(D159,TARIFAS!A:K,9,FALSE) + IF(I159="Sí",VLOOKUP(D159,TARIFAS!A:K,11,FALSE),0),
      VLOOKUP(D159,TARIFAS!A:K,10,FALSE) + IF(I159="Sí",VLOOKUP(D159,TARIFAS!A:K,11,FALSE),0)
   )
 )
)
</f>
        <v>0</v>
      </c>
      <c r="M159" s="45">
        <f>IF(J159="",0,MAX(0,J159 - TARIFAS!G$2) * TARIFAS!F$2)
</f>
        <v>0</v>
      </c>
      <c r="N159" s="45">
        <f>+L159*TARIFAS!$K$2</f>
        <v>0</v>
      </c>
      <c r="O159" s="45">
        <f t="shared" si="1"/>
        <v>0</v>
      </c>
      <c r="P159" s="45">
        <f>+M159+O159+K159+(+I159-(I159*TARIFAS!$K$2))</f>
        <v>0</v>
      </c>
      <c r="Q159" s="42" t="str">
        <f>CONFERENCIAS!T159</f>
        <v/>
      </c>
      <c r="R159" s="45" t="str">
        <f>CONFERENCIAS!U159</f>
        <v/>
      </c>
      <c r="S159" s="45" t="str">
        <f>CONFERENCIAS!W159</f>
        <v/>
      </c>
      <c r="T159" s="48">
        <f>IF(Q159="",0,
   IF(E159=1,
      IF(H159="Presencial",
         VLOOKUP(D159,TARIFAS!A:K,3,FALSE) + IF(I159="Sí",VLOOKUP(D159,TARIFAS!A:K,5,FALSE),0),
         VLOOKUP(D159,TARIFAS!A:K,4,FALSE) + IF(I159="Sí",VLOOKUP(D159,TARIFAS!A:K,5,FALSE),0)
      ),
      IF(H159="Presencial",
         VLOOKUP(D159,TARIFAS!A:K,9,FALSE) + IF(I159="Sí",VLOOKUP(D159,TARIFAS!A:K,11,FALSE),0),
         VLOOKUP(D159,TARIFAS!A:K,10,FALSE) + IF(I159="Sí",VLOOKUP(D159,TARIFAS!A:K,11,FALSE),0)
      )
   )
)
</f>
        <v>0</v>
      </c>
      <c r="U159" s="45">
        <f>IF(R159="",0,MAX(0,R159 - TARIFAS!G$2) * TARIFAS!F$2)
</f>
        <v>0</v>
      </c>
      <c r="V159" s="45">
        <f>+T159*TARIFAS!$K$2</f>
        <v>0</v>
      </c>
      <c r="W159" s="45">
        <f t="shared" si="2"/>
        <v>0</v>
      </c>
      <c r="X159" s="45">
        <f t="shared" si="3"/>
        <v>0</v>
      </c>
      <c r="Y159" s="45">
        <f t="shared" si="4"/>
        <v>0</v>
      </c>
      <c r="Z159" s="42" t="str">
        <f>CONFERENCIAS!AB159</f>
        <v/>
      </c>
      <c r="AA159" s="42" t="str">
        <f>CONFERENCIAS!AC159</f>
        <v/>
      </c>
      <c r="AB159" s="47" t="str">
        <f t="shared" si="5"/>
        <v/>
      </c>
      <c r="AC159" s="9" t="str">
        <f t="shared" si="6"/>
        <v/>
      </c>
    </row>
    <row r="160">
      <c r="A160" s="42" t="str">
        <f>CONFERENCIAS!A160</f>
        <v/>
      </c>
      <c r="D160" s="42" t="str">
        <f>CONFERENCIAS!C160</f>
        <v/>
      </c>
      <c r="E160" s="42" t="str">
        <f>CONFERENCIAS!K160</f>
        <v/>
      </c>
      <c r="F160" s="49" t="str">
        <f>CONFERENCIAS!J160</f>
        <v/>
      </c>
      <c r="G160" s="42" t="str">
        <f>CONFERENCIAS!O160</f>
        <v/>
      </c>
      <c r="H160" s="42" t="str">
        <f>CONFERENCIAS!X160</f>
        <v/>
      </c>
      <c r="I160" s="42" t="str">
        <f>CONFERENCIAS!AA160</f>
        <v/>
      </c>
      <c r="J160" s="44" t="str">
        <f>CONFERENCIAS!P160</f>
        <v/>
      </c>
      <c r="K160" s="45" t="str">
        <f>CONFERENCIAS!R160</f>
        <v/>
      </c>
      <c r="L160" s="45">
        <f>IF(D160="",0,
 IF(E160=1,
   IF(H160="Presencial",
      VLOOKUP(D160,TARIFAS!A:K,3,FALSE) + IF(I160="Sí",VLOOKUP(D160,TARIFAS!A:K,5,FALSE),0),
      VLOOKUP(D160,TARIFAS!A:K,4,FALSE) + IF(I160="Sí",VLOOKUP(D160,TARIFAS!A:K,5,FALSE),0)
   ),
   IF(H160="Presencial",
      VLOOKUP(D160,TARIFAS!A:K,9,FALSE) + IF(I160="Sí",VLOOKUP(D160,TARIFAS!A:K,11,FALSE),0),
      VLOOKUP(D160,TARIFAS!A:K,10,FALSE) + IF(I160="Sí",VLOOKUP(D160,TARIFAS!A:K,11,FALSE),0)
   )
 )
)
</f>
        <v>0</v>
      </c>
      <c r="M160" s="45">
        <f>IF(J160="",0,MAX(0,J160 - TARIFAS!G$2) * TARIFAS!F$2)
</f>
        <v>0</v>
      </c>
      <c r="N160" s="45">
        <f>+L160*TARIFAS!$K$2</f>
        <v>0</v>
      </c>
      <c r="O160" s="45">
        <f t="shared" si="1"/>
        <v>0</v>
      </c>
      <c r="P160" s="45">
        <f>+M160+O160+K160+(+I160-(I160*TARIFAS!$K$2))</f>
        <v>0</v>
      </c>
      <c r="Q160" s="42" t="str">
        <f>CONFERENCIAS!T160</f>
        <v/>
      </c>
      <c r="R160" s="45" t="str">
        <f>CONFERENCIAS!U160</f>
        <v/>
      </c>
      <c r="S160" s="45" t="str">
        <f>CONFERENCIAS!W160</f>
        <v/>
      </c>
      <c r="T160" s="48">
        <f>IF(Q160="",0,
   IF(E160=1,
      IF(H160="Presencial",
         VLOOKUP(D160,TARIFAS!A:K,3,FALSE) + IF(I160="Sí",VLOOKUP(D160,TARIFAS!A:K,5,FALSE),0),
         VLOOKUP(D160,TARIFAS!A:K,4,FALSE) + IF(I160="Sí",VLOOKUP(D160,TARIFAS!A:K,5,FALSE),0)
      ),
      IF(H160="Presencial",
         VLOOKUP(D160,TARIFAS!A:K,9,FALSE) + IF(I160="Sí",VLOOKUP(D160,TARIFAS!A:K,11,FALSE),0),
         VLOOKUP(D160,TARIFAS!A:K,10,FALSE) + IF(I160="Sí",VLOOKUP(D160,TARIFAS!A:K,11,FALSE),0)
      )
   )
)
</f>
        <v>0</v>
      </c>
      <c r="U160" s="45">
        <f>IF(R160="",0,MAX(0,R160 - TARIFAS!G$2) * TARIFAS!F$2)
</f>
        <v>0</v>
      </c>
      <c r="V160" s="45">
        <f>+T160*TARIFAS!$K$2</f>
        <v>0</v>
      </c>
      <c r="W160" s="45">
        <f t="shared" si="2"/>
        <v>0</v>
      </c>
      <c r="X160" s="45">
        <f t="shared" si="3"/>
        <v>0</v>
      </c>
      <c r="Y160" s="45">
        <f t="shared" si="4"/>
        <v>0</v>
      </c>
      <c r="Z160" s="42" t="str">
        <f>CONFERENCIAS!AB160</f>
        <v/>
      </c>
      <c r="AA160" s="42" t="str">
        <f>CONFERENCIAS!AC160</f>
        <v/>
      </c>
      <c r="AB160" s="47" t="str">
        <f t="shared" si="5"/>
        <v/>
      </c>
      <c r="AC160" s="9" t="str">
        <f t="shared" si="6"/>
        <v/>
      </c>
    </row>
    <row r="161">
      <c r="A161" s="42" t="str">
        <f>CONFERENCIAS!A161</f>
        <v/>
      </c>
      <c r="D161" s="42" t="str">
        <f>CONFERENCIAS!C161</f>
        <v/>
      </c>
      <c r="E161" s="42" t="str">
        <f>CONFERENCIAS!K161</f>
        <v/>
      </c>
      <c r="F161" s="49" t="str">
        <f>CONFERENCIAS!J161</f>
        <v/>
      </c>
      <c r="G161" s="42" t="str">
        <f>CONFERENCIAS!O161</f>
        <v/>
      </c>
      <c r="H161" s="42" t="str">
        <f>CONFERENCIAS!X161</f>
        <v/>
      </c>
      <c r="I161" s="42" t="str">
        <f>CONFERENCIAS!AA161</f>
        <v/>
      </c>
      <c r="J161" s="44" t="str">
        <f>CONFERENCIAS!P161</f>
        <v/>
      </c>
      <c r="K161" s="45" t="str">
        <f>CONFERENCIAS!R161</f>
        <v/>
      </c>
      <c r="L161" s="45">
        <f>IF(D161="",0,
 IF(E161=1,
   IF(H161="Presencial",
      VLOOKUP(D161,TARIFAS!A:K,3,FALSE) + IF(I161="Sí",VLOOKUP(D161,TARIFAS!A:K,5,FALSE),0),
      VLOOKUP(D161,TARIFAS!A:K,4,FALSE) + IF(I161="Sí",VLOOKUP(D161,TARIFAS!A:K,5,FALSE),0)
   ),
   IF(H161="Presencial",
      VLOOKUP(D161,TARIFAS!A:K,9,FALSE) + IF(I161="Sí",VLOOKUP(D161,TARIFAS!A:K,11,FALSE),0),
      VLOOKUP(D161,TARIFAS!A:K,10,FALSE) + IF(I161="Sí",VLOOKUP(D161,TARIFAS!A:K,11,FALSE),0)
   )
 )
)
</f>
        <v>0</v>
      </c>
      <c r="M161" s="45">
        <f>IF(J161="",0,MAX(0,J161 - TARIFAS!G$2) * TARIFAS!F$2)
</f>
        <v>0</v>
      </c>
      <c r="N161" s="45">
        <f>+L161*TARIFAS!$K$2</f>
        <v>0</v>
      </c>
      <c r="O161" s="45">
        <f t="shared" si="1"/>
        <v>0</v>
      </c>
      <c r="P161" s="45">
        <f>+M161+O161+K161+(+I161-(I161*TARIFAS!$K$2))</f>
        <v>0</v>
      </c>
      <c r="Q161" s="42" t="str">
        <f>CONFERENCIAS!T161</f>
        <v/>
      </c>
      <c r="R161" s="45" t="str">
        <f>CONFERENCIAS!U161</f>
        <v/>
      </c>
      <c r="S161" s="45" t="str">
        <f>CONFERENCIAS!W161</f>
        <v/>
      </c>
      <c r="T161" s="48">
        <f>IF(Q161="",0,
   IF(E161=1,
      IF(H161="Presencial",
         VLOOKUP(D161,TARIFAS!A:K,3,FALSE) + IF(I161="Sí",VLOOKUP(D161,TARIFAS!A:K,5,FALSE),0),
         VLOOKUP(D161,TARIFAS!A:K,4,FALSE) + IF(I161="Sí",VLOOKUP(D161,TARIFAS!A:K,5,FALSE),0)
      ),
      IF(H161="Presencial",
         VLOOKUP(D161,TARIFAS!A:K,9,FALSE) + IF(I161="Sí",VLOOKUP(D161,TARIFAS!A:K,11,FALSE),0),
         VLOOKUP(D161,TARIFAS!A:K,10,FALSE) + IF(I161="Sí",VLOOKUP(D161,TARIFAS!A:K,11,FALSE),0)
      )
   )
)
</f>
        <v>0</v>
      </c>
      <c r="U161" s="45">
        <f>IF(R161="",0,MAX(0,R161 - TARIFAS!G$2) * TARIFAS!F$2)
</f>
        <v>0</v>
      </c>
      <c r="V161" s="45">
        <f>+T161*TARIFAS!$K$2</f>
        <v>0</v>
      </c>
      <c r="W161" s="45">
        <f t="shared" si="2"/>
        <v>0</v>
      </c>
      <c r="X161" s="45">
        <f t="shared" si="3"/>
        <v>0</v>
      </c>
      <c r="Y161" s="45">
        <f t="shared" si="4"/>
        <v>0</v>
      </c>
      <c r="Z161" s="42" t="str">
        <f>CONFERENCIAS!AB161</f>
        <v/>
      </c>
      <c r="AA161" s="42" t="str">
        <f>CONFERENCIAS!AC161</f>
        <v/>
      </c>
      <c r="AB161" s="47" t="str">
        <f t="shared" si="5"/>
        <v/>
      </c>
      <c r="AC161" s="9" t="str">
        <f t="shared" si="6"/>
        <v/>
      </c>
    </row>
    <row r="162">
      <c r="A162" s="42" t="str">
        <f>CONFERENCIAS!A162</f>
        <v/>
      </c>
      <c r="D162" s="42" t="str">
        <f>CONFERENCIAS!C162</f>
        <v/>
      </c>
      <c r="E162" s="42" t="str">
        <f>CONFERENCIAS!K162</f>
        <v/>
      </c>
      <c r="F162" s="49" t="str">
        <f>CONFERENCIAS!J162</f>
        <v/>
      </c>
      <c r="G162" s="42" t="str">
        <f>CONFERENCIAS!O162</f>
        <v/>
      </c>
      <c r="H162" s="42" t="str">
        <f>CONFERENCIAS!X162</f>
        <v/>
      </c>
      <c r="I162" s="42" t="str">
        <f>CONFERENCIAS!AA162</f>
        <v/>
      </c>
      <c r="J162" s="44" t="str">
        <f>CONFERENCIAS!P162</f>
        <v/>
      </c>
      <c r="K162" s="45" t="str">
        <f>CONFERENCIAS!R162</f>
        <v/>
      </c>
      <c r="L162" s="45">
        <f>IF(D162="",0,
 IF(E162=1,
   IF(H162="Presencial",
      VLOOKUP(D162,TARIFAS!A:K,3,FALSE) + IF(I162="Sí",VLOOKUP(D162,TARIFAS!A:K,5,FALSE),0),
      VLOOKUP(D162,TARIFAS!A:K,4,FALSE) + IF(I162="Sí",VLOOKUP(D162,TARIFAS!A:K,5,FALSE),0)
   ),
   IF(H162="Presencial",
      VLOOKUP(D162,TARIFAS!A:K,9,FALSE) + IF(I162="Sí",VLOOKUP(D162,TARIFAS!A:K,11,FALSE),0),
      VLOOKUP(D162,TARIFAS!A:K,10,FALSE) + IF(I162="Sí",VLOOKUP(D162,TARIFAS!A:K,11,FALSE),0)
   )
 )
)
</f>
        <v>0</v>
      </c>
      <c r="M162" s="45">
        <f>IF(J162="",0,MAX(0,J162 - TARIFAS!G$2) * TARIFAS!F$2)
</f>
        <v>0</v>
      </c>
      <c r="N162" s="45">
        <f>+L162*TARIFAS!$K$2</f>
        <v>0</v>
      </c>
      <c r="O162" s="45">
        <f t="shared" si="1"/>
        <v>0</v>
      </c>
      <c r="P162" s="45">
        <f>+M162+O162+K162+(+I162-(I162*TARIFAS!$K$2))</f>
        <v>0</v>
      </c>
      <c r="Q162" s="42" t="str">
        <f>CONFERENCIAS!T162</f>
        <v/>
      </c>
      <c r="R162" s="45" t="str">
        <f>CONFERENCIAS!U162</f>
        <v/>
      </c>
      <c r="S162" s="45" t="str">
        <f>CONFERENCIAS!W162</f>
        <v/>
      </c>
      <c r="T162" s="48">
        <f>IF(Q162="",0,
   IF(E162=1,
      IF(H162="Presencial",
         VLOOKUP(D162,TARIFAS!A:K,3,FALSE) + IF(I162="Sí",VLOOKUP(D162,TARIFAS!A:K,5,FALSE),0),
         VLOOKUP(D162,TARIFAS!A:K,4,FALSE) + IF(I162="Sí",VLOOKUP(D162,TARIFAS!A:K,5,FALSE),0)
      ),
      IF(H162="Presencial",
         VLOOKUP(D162,TARIFAS!A:K,9,FALSE) + IF(I162="Sí",VLOOKUP(D162,TARIFAS!A:K,11,FALSE),0),
         VLOOKUP(D162,TARIFAS!A:K,10,FALSE) + IF(I162="Sí",VLOOKUP(D162,TARIFAS!A:K,11,FALSE),0)
      )
   )
)
</f>
        <v>0</v>
      </c>
      <c r="U162" s="45">
        <f>IF(R162="",0,MAX(0,R162 - TARIFAS!G$2) * TARIFAS!F$2)
</f>
        <v>0</v>
      </c>
      <c r="V162" s="45">
        <f>+T162*TARIFAS!$K$2</f>
        <v>0</v>
      </c>
      <c r="W162" s="45">
        <f t="shared" si="2"/>
        <v>0</v>
      </c>
      <c r="X162" s="45">
        <f t="shared" si="3"/>
        <v>0</v>
      </c>
      <c r="Y162" s="45">
        <f t="shared" si="4"/>
        <v>0</v>
      </c>
      <c r="Z162" s="42" t="str">
        <f>CONFERENCIAS!AB162</f>
        <v/>
      </c>
      <c r="AA162" s="42" t="str">
        <f>CONFERENCIAS!AC162</f>
        <v/>
      </c>
      <c r="AB162" s="47" t="str">
        <f t="shared" si="5"/>
        <v/>
      </c>
      <c r="AC162" s="9" t="str">
        <f t="shared" si="6"/>
        <v/>
      </c>
    </row>
    <row r="163">
      <c r="A163" s="42" t="str">
        <f>CONFERENCIAS!A163</f>
        <v/>
      </c>
      <c r="D163" s="42" t="str">
        <f>CONFERENCIAS!C163</f>
        <v/>
      </c>
      <c r="E163" s="42" t="str">
        <f>CONFERENCIAS!K163</f>
        <v/>
      </c>
      <c r="F163" s="49" t="str">
        <f>CONFERENCIAS!J163</f>
        <v/>
      </c>
      <c r="G163" s="42" t="str">
        <f>CONFERENCIAS!O163</f>
        <v/>
      </c>
      <c r="H163" s="42" t="str">
        <f>CONFERENCIAS!X163</f>
        <v/>
      </c>
      <c r="I163" s="42" t="str">
        <f>CONFERENCIAS!AA163</f>
        <v/>
      </c>
      <c r="J163" s="44" t="str">
        <f>CONFERENCIAS!P163</f>
        <v/>
      </c>
      <c r="K163" s="45" t="str">
        <f>CONFERENCIAS!R163</f>
        <v/>
      </c>
      <c r="L163" s="45">
        <f>IF(D163="",0,
 IF(E163=1,
   IF(H163="Presencial",
      VLOOKUP(D163,TARIFAS!A:K,3,FALSE) + IF(I163="Sí",VLOOKUP(D163,TARIFAS!A:K,5,FALSE),0),
      VLOOKUP(D163,TARIFAS!A:K,4,FALSE) + IF(I163="Sí",VLOOKUP(D163,TARIFAS!A:K,5,FALSE),0)
   ),
   IF(H163="Presencial",
      VLOOKUP(D163,TARIFAS!A:K,9,FALSE) + IF(I163="Sí",VLOOKUP(D163,TARIFAS!A:K,11,FALSE),0),
      VLOOKUP(D163,TARIFAS!A:K,10,FALSE) + IF(I163="Sí",VLOOKUP(D163,TARIFAS!A:K,11,FALSE),0)
   )
 )
)
</f>
        <v>0</v>
      </c>
      <c r="M163" s="45">
        <f>IF(J163="",0,MAX(0,J163 - TARIFAS!G$2) * TARIFAS!F$2)
</f>
        <v>0</v>
      </c>
      <c r="N163" s="45">
        <f>+L163*TARIFAS!$K$2</f>
        <v>0</v>
      </c>
      <c r="O163" s="45">
        <f t="shared" si="1"/>
        <v>0</v>
      </c>
      <c r="P163" s="45">
        <f>+M163+O163+K163+(+I163-(I163*TARIFAS!$K$2))</f>
        <v>0</v>
      </c>
      <c r="Q163" s="42" t="str">
        <f>CONFERENCIAS!T163</f>
        <v/>
      </c>
      <c r="R163" s="45" t="str">
        <f>CONFERENCIAS!U163</f>
        <v/>
      </c>
      <c r="S163" s="45" t="str">
        <f>CONFERENCIAS!W163</f>
        <v/>
      </c>
      <c r="T163" s="48">
        <f>IF(Q163="",0,
   IF(E163=1,
      IF(H163="Presencial",
         VLOOKUP(D163,TARIFAS!A:K,3,FALSE) + IF(I163="Sí",VLOOKUP(D163,TARIFAS!A:K,5,FALSE),0),
         VLOOKUP(D163,TARIFAS!A:K,4,FALSE) + IF(I163="Sí",VLOOKUP(D163,TARIFAS!A:K,5,FALSE),0)
      ),
      IF(H163="Presencial",
         VLOOKUP(D163,TARIFAS!A:K,9,FALSE) + IF(I163="Sí",VLOOKUP(D163,TARIFAS!A:K,11,FALSE),0),
         VLOOKUP(D163,TARIFAS!A:K,10,FALSE) + IF(I163="Sí",VLOOKUP(D163,TARIFAS!A:K,11,FALSE),0)
      )
   )
)
</f>
        <v>0</v>
      </c>
      <c r="U163" s="45">
        <f>IF(R163="",0,MAX(0,R163 - TARIFAS!G$2) * TARIFAS!F$2)
</f>
        <v>0</v>
      </c>
      <c r="V163" s="45">
        <f>+T163*TARIFAS!$K$2</f>
        <v>0</v>
      </c>
      <c r="W163" s="45">
        <f t="shared" si="2"/>
        <v>0</v>
      </c>
      <c r="X163" s="45">
        <f t="shared" si="3"/>
        <v>0</v>
      </c>
      <c r="Y163" s="45">
        <f t="shared" si="4"/>
        <v>0</v>
      </c>
      <c r="Z163" s="42" t="str">
        <f>CONFERENCIAS!AB163</f>
        <v/>
      </c>
      <c r="AA163" s="42" t="str">
        <f>CONFERENCIAS!AC163</f>
        <v/>
      </c>
      <c r="AB163" s="47" t="str">
        <f t="shared" si="5"/>
        <v/>
      </c>
      <c r="AC163" s="9" t="str">
        <f t="shared" si="6"/>
        <v/>
      </c>
    </row>
    <row r="164">
      <c r="A164" s="42" t="str">
        <f>CONFERENCIAS!A164</f>
        <v/>
      </c>
      <c r="D164" s="42" t="str">
        <f>CONFERENCIAS!C164</f>
        <v/>
      </c>
      <c r="E164" s="42" t="str">
        <f>CONFERENCIAS!K164</f>
        <v/>
      </c>
      <c r="F164" s="49" t="str">
        <f>CONFERENCIAS!J164</f>
        <v/>
      </c>
      <c r="G164" s="42" t="str">
        <f>CONFERENCIAS!O164</f>
        <v/>
      </c>
      <c r="H164" s="42" t="str">
        <f>CONFERENCIAS!X164</f>
        <v/>
      </c>
      <c r="I164" s="42" t="str">
        <f>CONFERENCIAS!AA164</f>
        <v/>
      </c>
      <c r="J164" s="44" t="str">
        <f>CONFERENCIAS!P164</f>
        <v/>
      </c>
      <c r="K164" s="45" t="str">
        <f>CONFERENCIAS!R164</f>
        <v/>
      </c>
      <c r="L164" s="45">
        <f>IF(D164="",0,
 IF(E164=1,
   IF(H164="Presencial",
      VLOOKUP(D164,TARIFAS!A:K,3,FALSE) + IF(I164="Sí",VLOOKUP(D164,TARIFAS!A:K,5,FALSE),0),
      VLOOKUP(D164,TARIFAS!A:K,4,FALSE) + IF(I164="Sí",VLOOKUP(D164,TARIFAS!A:K,5,FALSE),0)
   ),
   IF(H164="Presencial",
      VLOOKUP(D164,TARIFAS!A:K,9,FALSE) + IF(I164="Sí",VLOOKUP(D164,TARIFAS!A:K,11,FALSE),0),
      VLOOKUP(D164,TARIFAS!A:K,10,FALSE) + IF(I164="Sí",VLOOKUP(D164,TARIFAS!A:K,11,FALSE),0)
   )
 )
)
</f>
        <v>0</v>
      </c>
      <c r="M164" s="45">
        <f>IF(J164="",0,MAX(0,J164 - TARIFAS!G$2) * TARIFAS!F$2)
</f>
        <v>0</v>
      </c>
      <c r="N164" s="45">
        <f>+L164*TARIFAS!$K$2</f>
        <v>0</v>
      </c>
      <c r="O164" s="45">
        <f t="shared" si="1"/>
        <v>0</v>
      </c>
      <c r="P164" s="45">
        <f>+M164+O164+K164+(+I164-(I164*TARIFAS!$K$2))</f>
        <v>0</v>
      </c>
      <c r="Q164" s="42" t="str">
        <f>CONFERENCIAS!T164</f>
        <v/>
      </c>
      <c r="R164" s="45" t="str">
        <f>CONFERENCIAS!U164</f>
        <v/>
      </c>
      <c r="S164" s="45" t="str">
        <f>CONFERENCIAS!W164</f>
        <v/>
      </c>
      <c r="T164" s="48">
        <f>IF(Q164="",0,
   IF(E164=1,
      IF(H164="Presencial",
         VLOOKUP(D164,TARIFAS!A:K,3,FALSE) + IF(I164="Sí",VLOOKUP(D164,TARIFAS!A:K,5,FALSE),0),
         VLOOKUP(D164,TARIFAS!A:K,4,FALSE) + IF(I164="Sí",VLOOKUP(D164,TARIFAS!A:K,5,FALSE),0)
      ),
      IF(H164="Presencial",
         VLOOKUP(D164,TARIFAS!A:K,9,FALSE) + IF(I164="Sí",VLOOKUP(D164,TARIFAS!A:K,11,FALSE),0),
         VLOOKUP(D164,TARIFAS!A:K,10,FALSE) + IF(I164="Sí",VLOOKUP(D164,TARIFAS!A:K,11,FALSE),0)
      )
   )
)
</f>
        <v>0</v>
      </c>
      <c r="U164" s="45">
        <f>IF(R164="",0,MAX(0,R164 - TARIFAS!G$2) * TARIFAS!F$2)
</f>
        <v>0</v>
      </c>
      <c r="V164" s="45">
        <f>+T164*TARIFAS!$K$2</f>
        <v>0</v>
      </c>
      <c r="W164" s="45">
        <f t="shared" si="2"/>
        <v>0</v>
      </c>
      <c r="X164" s="45">
        <f t="shared" si="3"/>
        <v>0</v>
      </c>
      <c r="Y164" s="45">
        <f t="shared" si="4"/>
        <v>0</v>
      </c>
      <c r="Z164" s="42" t="str">
        <f>CONFERENCIAS!AB164</f>
        <v/>
      </c>
      <c r="AA164" s="42" t="str">
        <f>CONFERENCIAS!AC164</f>
        <v/>
      </c>
      <c r="AB164" s="47" t="str">
        <f t="shared" si="5"/>
        <v/>
      </c>
      <c r="AC164" s="9" t="str">
        <f t="shared" si="6"/>
        <v/>
      </c>
    </row>
    <row r="165">
      <c r="A165" s="42" t="str">
        <f>CONFERENCIAS!A165</f>
        <v/>
      </c>
      <c r="D165" s="42" t="str">
        <f>CONFERENCIAS!C165</f>
        <v/>
      </c>
      <c r="E165" s="42" t="str">
        <f>CONFERENCIAS!K165</f>
        <v/>
      </c>
      <c r="F165" s="49" t="str">
        <f>CONFERENCIAS!J165</f>
        <v/>
      </c>
      <c r="G165" s="42" t="str">
        <f>CONFERENCIAS!O165</f>
        <v/>
      </c>
      <c r="H165" s="42" t="str">
        <f>CONFERENCIAS!X165</f>
        <v/>
      </c>
      <c r="I165" s="42" t="str">
        <f>CONFERENCIAS!AA165</f>
        <v/>
      </c>
      <c r="J165" s="44" t="str">
        <f>CONFERENCIAS!P165</f>
        <v/>
      </c>
      <c r="K165" s="45" t="str">
        <f>CONFERENCIAS!R165</f>
        <v/>
      </c>
      <c r="L165" s="45">
        <f>IF(D165="",0,
 IF(E165=1,
   IF(H165="Presencial",
      VLOOKUP(D165,TARIFAS!A:K,3,FALSE) + IF(I165="Sí",VLOOKUP(D165,TARIFAS!A:K,5,FALSE),0),
      VLOOKUP(D165,TARIFAS!A:K,4,FALSE) + IF(I165="Sí",VLOOKUP(D165,TARIFAS!A:K,5,FALSE),0)
   ),
   IF(H165="Presencial",
      VLOOKUP(D165,TARIFAS!A:K,9,FALSE) + IF(I165="Sí",VLOOKUP(D165,TARIFAS!A:K,11,FALSE),0),
      VLOOKUP(D165,TARIFAS!A:K,10,FALSE) + IF(I165="Sí",VLOOKUP(D165,TARIFAS!A:K,11,FALSE),0)
   )
 )
)
</f>
        <v>0</v>
      </c>
      <c r="M165" s="45">
        <f>IF(J165="",0,MAX(0,J165 - TARIFAS!G$2) * TARIFAS!F$2)
</f>
        <v>0</v>
      </c>
      <c r="N165" s="45">
        <f>+L165*TARIFAS!$K$2</f>
        <v>0</v>
      </c>
      <c r="O165" s="45">
        <f t="shared" si="1"/>
        <v>0</v>
      </c>
      <c r="P165" s="45">
        <f>+M165+O165+K165+(+I165-(I165*TARIFAS!$K$2))</f>
        <v>0</v>
      </c>
      <c r="Q165" s="42" t="str">
        <f>CONFERENCIAS!T165</f>
        <v/>
      </c>
      <c r="R165" s="45" t="str">
        <f>CONFERENCIAS!U165</f>
        <v/>
      </c>
      <c r="S165" s="45" t="str">
        <f>CONFERENCIAS!W165</f>
        <v/>
      </c>
      <c r="T165" s="48">
        <f>IF(Q165="",0,
   IF(E165=1,
      IF(H165="Presencial",
         VLOOKUP(D165,TARIFAS!A:K,3,FALSE) + IF(I165="Sí",VLOOKUP(D165,TARIFAS!A:K,5,FALSE),0),
         VLOOKUP(D165,TARIFAS!A:K,4,FALSE) + IF(I165="Sí",VLOOKUP(D165,TARIFAS!A:K,5,FALSE),0)
      ),
      IF(H165="Presencial",
         VLOOKUP(D165,TARIFAS!A:K,9,FALSE) + IF(I165="Sí",VLOOKUP(D165,TARIFAS!A:K,11,FALSE),0),
         VLOOKUP(D165,TARIFAS!A:K,10,FALSE) + IF(I165="Sí",VLOOKUP(D165,TARIFAS!A:K,11,FALSE),0)
      )
   )
)
</f>
        <v>0</v>
      </c>
      <c r="U165" s="45">
        <f>IF(R165="",0,MAX(0,R165 - TARIFAS!G$2) * TARIFAS!F$2)
</f>
        <v>0</v>
      </c>
      <c r="V165" s="45">
        <f>+T165*TARIFAS!$K$2</f>
        <v>0</v>
      </c>
      <c r="W165" s="45">
        <f t="shared" si="2"/>
        <v>0</v>
      </c>
      <c r="X165" s="45">
        <f t="shared" si="3"/>
        <v>0</v>
      </c>
      <c r="Y165" s="45">
        <f t="shared" si="4"/>
        <v>0</v>
      </c>
      <c r="Z165" s="42" t="str">
        <f>CONFERENCIAS!AB165</f>
        <v/>
      </c>
      <c r="AA165" s="42" t="str">
        <f>CONFERENCIAS!AC165</f>
        <v/>
      </c>
      <c r="AB165" s="47" t="str">
        <f t="shared" si="5"/>
        <v/>
      </c>
      <c r="AC165" s="9" t="str">
        <f t="shared" si="6"/>
        <v/>
      </c>
    </row>
    <row r="166">
      <c r="A166" s="42" t="str">
        <f>CONFERENCIAS!A166</f>
        <v/>
      </c>
      <c r="D166" s="42" t="str">
        <f>CONFERENCIAS!C166</f>
        <v/>
      </c>
      <c r="E166" s="42" t="str">
        <f>CONFERENCIAS!K166</f>
        <v/>
      </c>
      <c r="F166" s="49" t="str">
        <f>CONFERENCIAS!J166</f>
        <v/>
      </c>
      <c r="G166" s="42" t="str">
        <f>CONFERENCIAS!O166</f>
        <v/>
      </c>
      <c r="H166" s="42" t="str">
        <f>CONFERENCIAS!X166</f>
        <v/>
      </c>
      <c r="I166" s="42" t="str">
        <f>CONFERENCIAS!AA166</f>
        <v/>
      </c>
      <c r="J166" s="44" t="str">
        <f>CONFERENCIAS!P166</f>
        <v/>
      </c>
      <c r="K166" s="45" t="str">
        <f>CONFERENCIAS!R166</f>
        <v/>
      </c>
      <c r="L166" s="45">
        <f>IF(D166="",0,
 IF(E166=1,
   IF(H166="Presencial",
      VLOOKUP(D166,TARIFAS!A:K,3,FALSE) + IF(I166="Sí",VLOOKUP(D166,TARIFAS!A:K,5,FALSE),0),
      VLOOKUP(D166,TARIFAS!A:K,4,FALSE) + IF(I166="Sí",VLOOKUP(D166,TARIFAS!A:K,5,FALSE),0)
   ),
   IF(H166="Presencial",
      VLOOKUP(D166,TARIFAS!A:K,9,FALSE) + IF(I166="Sí",VLOOKUP(D166,TARIFAS!A:K,11,FALSE),0),
      VLOOKUP(D166,TARIFAS!A:K,10,FALSE) + IF(I166="Sí",VLOOKUP(D166,TARIFAS!A:K,11,FALSE),0)
   )
 )
)
</f>
        <v>0</v>
      </c>
      <c r="M166" s="45">
        <f>IF(J166="",0,MAX(0,J166 - TARIFAS!G$2) * TARIFAS!F$2)
</f>
        <v>0</v>
      </c>
      <c r="N166" s="45">
        <f>+L166*TARIFAS!$K$2</f>
        <v>0</v>
      </c>
      <c r="O166" s="45">
        <f t="shared" si="1"/>
        <v>0</v>
      </c>
      <c r="P166" s="45">
        <f>+M166+O166+K166+(+I166-(I166*TARIFAS!$K$2))</f>
        <v>0</v>
      </c>
      <c r="Q166" s="42" t="str">
        <f>CONFERENCIAS!T166</f>
        <v/>
      </c>
      <c r="R166" s="45" t="str">
        <f>CONFERENCIAS!U166</f>
        <v/>
      </c>
      <c r="S166" s="45" t="str">
        <f>CONFERENCIAS!W166</f>
        <v/>
      </c>
      <c r="T166" s="48">
        <f>IF(Q166="",0,
   IF(E166=1,
      IF(H166="Presencial",
         VLOOKUP(D166,TARIFAS!A:K,3,FALSE) + IF(I166="Sí",VLOOKUP(D166,TARIFAS!A:K,5,FALSE),0),
         VLOOKUP(D166,TARIFAS!A:K,4,FALSE) + IF(I166="Sí",VLOOKUP(D166,TARIFAS!A:K,5,FALSE),0)
      ),
      IF(H166="Presencial",
         VLOOKUP(D166,TARIFAS!A:K,9,FALSE) + IF(I166="Sí",VLOOKUP(D166,TARIFAS!A:K,11,FALSE),0),
         VLOOKUP(D166,TARIFAS!A:K,10,FALSE) + IF(I166="Sí",VLOOKUP(D166,TARIFAS!A:K,11,FALSE),0)
      )
   )
)
</f>
        <v>0</v>
      </c>
      <c r="U166" s="45">
        <f>IF(R166="",0,MAX(0,R166 - TARIFAS!G$2) * TARIFAS!F$2)
</f>
        <v>0</v>
      </c>
      <c r="V166" s="45">
        <f>+T166*TARIFAS!$K$2</f>
        <v>0</v>
      </c>
      <c r="W166" s="45">
        <f t="shared" si="2"/>
        <v>0</v>
      </c>
      <c r="X166" s="45">
        <f t="shared" si="3"/>
        <v>0</v>
      </c>
      <c r="Y166" s="45">
        <f t="shared" si="4"/>
        <v>0</v>
      </c>
      <c r="Z166" s="42" t="str">
        <f>CONFERENCIAS!AB166</f>
        <v/>
      </c>
      <c r="AA166" s="42" t="str">
        <f>CONFERENCIAS!AC166</f>
        <v/>
      </c>
      <c r="AB166" s="47" t="str">
        <f t="shared" si="5"/>
        <v/>
      </c>
      <c r="AC166" s="9" t="str">
        <f t="shared" si="6"/>
        <v/>
      </c>
    </row>
    <row r="167">
      <c r="A167" s="42" t="str">
        <f>CONFERENCIAS!A167</f>
        <v/>
      </c>
      <c r="D167" s="42" t="str">
        <f>CONFERENCIAS!C167</f>
        <v/>
      </c>
      <c r="E167" s="42" t="str">
        <f>CONFERENCIAS!K167</f>
        <v/>
      </c>
      <c r="F167" s="49" t="str">
        <f>CONFERENCIAS!J167</f>
        <v/>
      </c>
      <c r="G167" s="42" t="str">
        <f>CONFERENCIAS!O167</f>
        <v/>
      </c>
      <c r="H167" s="42" t="str">
        <f>CONFERENCIAS!X167</f>
        <v/>
      </c>
      <c r="I167" s="42" t="str">
        <f>CONFERENCIAS!AA167</f>
        <v/>
      </c>
      <c r="J167" s="44" t="str">
        <f>CONFERENCIAS!P167</f>
        <v/>
      </c>
      <c r="K167" s="45" t="str">
        <f>CONFERENCIAS!R167</f>
        <v/>
      </c>
      <c r="L167" s="45">
        <f>IF(D167="",0,
 IF(E167=1,
   IF(H167="Presencial",
      VLOOKUP(D167,TARIFAS!A:K,3,FALSE) + IF(I167="Sí",VLOOKUP(D167,TARIFAS!A:K,5,FALSE),0),
      VLOOKUP(D167,TARIFAS!A:K,4,FALSE) + IF(I167="Sí",VLOOKUP(D167,TARIFAS!A:K,5,FALSE),0)
   ),
   IF(H167="Presencial",
      VLOOKUP(D167,TARIFAS!A:K,9,FALSE) + IF(I167="Sí",VLOOKUP(D167,TARIFAS!A:K,11,FALSE),0),
      VLOOKUP(D167,TARIFAS!A:K,10,FALSE) + IF(I167="Sí",VLOOKUP(D167,TARIFAS!A:K,11,FALSE),0)
   )
 )
)
</f>
        <v>0</v>
      </c>
      <c r="M167" s="45">
        <f>IF(J167="",0,MAX(0,J167 - TARIFAS!G$2) * TARIFAS!F$2)
</f>
        <v>0</v>
      </c>
      <c r="N167" s="45">
        <f>+L167*TARIFAS!$K$2</f>
        <v>0</v>
      </c>
      <c r="O167" s="45">
        <f t="shared" si="1"/>
        <v>0</v>
      </c>
      <c r="P167" s="45">
        <f>+M167+O167+K167+(+I167-(I167*TARIFAS!$K$2))</f>
        <v>0</v>
      </c>
      <c r="Q167" s="42" t="str">
        <f>CONFERENCIAS!T167</f>
        <v/>
      </c>
      <c r="R167" s="45" t="str">
        <f>CONFERENCIAS!U167</f>
        <v/>
      </c>
      <c r="S167" s="45" t="str">
        <f>CONFERENCIAS!W167</f>
        <v/>
      </c>
      <c r="T167" s="48">
        <f>IF(Q167="",0,
   IF(E167=1,
      IF(H167="Presencial",
         VLOOKUP(D167,TARIFAS!A:K,3,FALSE) + IF(I167="Sí",VLOOKUP(D167,TARIFAS!A:K,5,FALSE),0),
         VLOOKUP(D167,TARIFAS!A:K,4,FALSE) + IF(I167="Sí",VLOOKUP(D167,TARIFAS!A:K,5,FALSE),0)
      ),
      IF(H167="Presencial",
         VLOOKUP(D167,TARIFAS!A:K,9,FALSE) + IF(I167="Sí",VLOOKUP(D167,TARIFAS!A:K,11,FALSE),0),
         VLOOKUP(D167,TARIFAS!A:K,10,FALSE) + IF(I167="Sí",VLOOKUP(D167,TARIFAS!A:K,11,FALSE),0)
      )
   )
)
</f>
        <v>0</v>
      </c>
      <c r="U167" s="45">
        <f>IF(R167="",0,MAX(0,R167 - TARIFAS!G$2) * TARIFAS!F$2)
</f>
        <v>0</v>
      </c>
      <c r="V167" s="45">
        <f>+T167*TARIFAS!$K$2</f>
        <v>0</v>
      </c>
      <c r="W167" s="45">
        <f t="shared" si="2"/>
        <v>0</v>
      </c>
      <c r="X167" s="45">
        <f t="shared" si="3"/>
        <v>0</v>
      </c>
      <c r="Y167" s="45">
        <f t="shared" si="4"/>
        <v>0</v>
      </c>
      <c r="Z167" s="42" t="str">
        <f>CONFERENCIAS!AB167</f>
        <v/>
      </c>
      <c r="AA167" s="42" t="str">
        <f>CONFERENCIAS!AC167</f>
        <v/>
      </c>
      <c r="AB167" s="47" t="str">
        <f t="shared" si="5"/>
        <v/>
      </c>
      <c r="AC167" s="9" t="str">
        <f t="shared" si="6"/>
        <v/>
      </c>
    </row>
    <row r="168">
      <c r="A168" s="42" t="str">
        <f>CONFERENCIAS!A168</f>
        <v/>
      </c>
      <c r="D168" s="42" t="str">
        <f>CONFERENCIAS!C168</f>
        <v/>
      </c>
      <c r="E168" s="42" t="str">
        <f>CONFERENCIAS!K168</f>
        <v/>
      </c>
      <c r="F168" s="49" t="str">
        <f>CONFERENCIAS!J168</f>
        <v/>
      </c>
      <c r="G168" s="42" t="str">
        <f>CONFERENCIAS!O168</f>
        <v/>
      </c>
      <c r="H168" s="42" t="str">
        <f>CONFERENCIAS!X168</f>
        <v/>
      </c>
      <c r="I168" s="42" t="str">
        <f>CONFERENCIAS!AA168</f>
        <v/>
      </c>
      <c r="J168" s="44" t="str">
        <f>CONFERENCIAS!P168</f>
        <v/>
      </c>
      <c r="K168" s="45" t="str">
        <f>CONFERENCIAS!R168</f>
        <v/>
      </c>
      <c r="L168" s="45">
        <f>IF(D168="",0,
 IF(E168=1,
   IF(H168="Presencial",
      VLOOKUP(D168,TARIFAS!A:K,3,FALSE) + IF(I168="Sí",VLOOKUP(D168,TARIFAS!A:K,5,FALSE),0),
      VLOOKUP(D168,TARIFAS!A:K,4,FALSE) + IF(I168="Sí",VLOOKUP(D168,TARIFAS!A:K,5,FALSE),0)
   ),
   IF(H168="Presencial",
      VLOOKUP(D168,TARIFAS!A:K,9,FALSE) + IF(I168="Sí",VLOOKUP(D168,TARIFAS!A:K,11,FALSE),0),
      VLOOKUP(D168,TARIFAS!A:K,10,FALSE) + IF(I168="Sí",VLOOKUP(D168,TARIFAS!A:K,11,FALSE),0)
   )
 )
)
</f>
        <v>0</v>
      </c>
      <c r="M168" s="45">
        <f>IF(J168="",0,MAX(0,J168 - TARIFAS!G$2) * TARIFAS!F$2)
</f>
        <v>0</v>
      </c>
      <c r="N168" s="45">
        <f>+L168*TARIFAS!$K$2</f>
        <v>0</v>
      </c>
      <c r="O168" s="45">
        <f t="shared" si="1"/>
        <v>0</v>
      </c>
      <c r="P168" s="45">
        <f>+M168+O168+K168+(+I168-(I168*TARIFAS!$K$2))</f>
        <v>0</v>
      </c>
      <c r="Q168" s="42" t="str">
        <f>CONFERENCIAS!T168</f>
        <v/>
      </c>
      <c r="R168" s="45" t="str">
        <f>CONFERENCIAS!U168</f>
        <v/>
      </c>
      <c r="S168" s="45" t="str">
        <f>CONFERENCIAS!W168</f>
        <v/>
      </c>
      <c r="T168" s="48">
        <f>IF(Q168="",0,
   IF(E168=1,
      IF(H168="Presencial",
         VLOOKUP(D168,TARIFAS!A:K,3,FALSE) + IF(I168="Sí",VLOOKUP(D168,TARIFAS!A:K,5,FALSE),0),
         VLOOKUP(D168,TARIFAS!A:K,4,FALSE) + IF(I168="Sí",VLOOKUP(D168,TARIFAS!A:K,5,FALSE),0)
      ),
      IF(H168="Presencial",
         VLOOKUP(D168,TARIFAS!A:K,9,FALSE) + IF(I168="Sí",VLOOKUP(D168,TARIFAS!A:K,11,FALSE),0),
         VLOOKUP(D168,TARIFAS!A:K,10,FALSE) + IF(I168="Sí",VLOOKUP(D168,TARIFAS!A:K,11,FALSE),0)
      )
   )
)
</f>
        <v>0</v>
      </c>
      <c r="U168" s="45">
        <f>IF(R168="",0,MAX(0,R168 - TARIFAS!G$2) * TARIFAS!F$2)
</f>
        <v>0</v>
      </c>
      <c r="V168" s="45">
        <f>+T168*TARIFAS!$K$2</f>
        <v>0</v>
      </c>
      <c r="W168" s="45">
        <f t="shared" si="2"/>
        <v>0</v>
      </c>
      <c r="X168" s="45">
        <f t="shared" si="3"/>
        <v>0</v>
      </c>
      <c r="Y168" s="45">
        <f t="shared" si="4"/>
        <v>0</v>
      </c>
      <c r="Z168" s="42" t="str">
        <f>CONFERENCIAS!AB168</f>
        <v/>
      </c>
      <c r="AA168" s="42" t="str">
        <f>CONFERENCIAS!AC168</f>
        <v/>
      </c>
      <c r="AB168" s="47" t="str">
        <f t="shared" si="5"/>
        <v/>
      </c>
      <c r="AC168" s="9" t="str">
        <f t="shared" si="6"/>
        <v/>
      </c>
    </row>
    <row r="169">
      <c r="A169" s="42" t="str">
        <f>CONFERENCIAS!A169</f>
        <v/>
      </c>
      <c r="D169" s="42" t="str">
        <f>CONFERENCIAS!C169</f>
        <v/>
      </c>
      <c r="E169" s="42" t="str">
        <f>CONFERENCIAS!K169</f>
        <v/>
      </c>
      <c r="F169" s="49" t="str">
        <f>CONFERENCIAS!J169</f>
        <v/>
      </c>
      <c r="G169" s="42" t="str">
        <f>CONFERENCIAS!O169</f>
        <v/>
      </c>
      <c r="H169" s="42" t="str">
        <f>CONFERENCIAS!X169</f>
        <v/>
      </c>
      <c r="I169" s="42" t="str">
        <f>CONFERENCIAS!AA169</f>
        <v/>
      </c>
      <c r="J169" s="44" t="str">
        <f>CONFERENCIAS!P169</f>
        <v/>
      </c>
      <c r="K169" s="45" t="str">
        <f>CONFERENCIAS!R169</f>
        <v/>
      </c>
      <c r="L169" s="45">
        <f>IF(D169="",0,
 IF(E169=1,
   IF(H169="Presencial",
      VLOOKUP(D169,TARIFAS!A:K,3,FALSE) + IF(I169="Sí",VLOOKUP(D169,TARIFAS!A:K,5,FALSE),0),
      VLOOKUP(D169,TARIFAS!A:K,4,FALSE) + IF(I169="Sí",VLOOKUP(D169,TARIFAS!A:K,5,FALSE),0)
   ),
   IF(H169="Presencial",
      VLOOKUP(D169,TARIFAS!A:K,9,FALSE) + IF(I169="Sí",VLOOKUP(D169,TARIFAS!A:K,11,FALSE),0),
      VLOOKUP(D169,TARIFAS!A:K,10,FALSE) + IF(I169="Sí",VLOOKUP(D169,TARIFAS!A:K,11,FALSE),0)
   )
 )
)
</f>
        <v>0</v>
      </c>
      <c r="M169" s="45">
        <f>IF(J169="",0,MAX(0,J169 - TARIFAS!G$2) * TARIFAS!F$2)
</f>
        <v>0</v>
      </c>
      <c r="N169" s="45">
        <f>+L169*TARIFAS!$K$2</f>
        <v>0</v>
      </c>
      <c r="O169" s="45">
        <f t="shared" si="1"/>
        <v>0</v>
      </c>
      <c r="P169" s="45">
        <f>+M169+O169+K169+(+I169-(I169*TARIFAS!$K$2))</f>
        <v>0</v>
      </c>
      <c r="Q169" s="42" t="str">
        <f>CONFERENCIAS!T169</f>
        <v/>
      </c>
      <c r="R169" s="45" t="str">
        <f>CONFERENCIAS!U169</f>
        <v/>
      </c>
      <c r="S169" s="45" t="str">
        <f>CONFERENCIAS!W169</f>
        <v/>
      </c>
      <c r="T169" s="48">
        <f>IF(Q169="",0,
   IF(E169=1,
      IF(H169="Presencial",
         VLOOKUP(D169,TARIFAS!A:K,3,FALSE) + IF(I169="Sí",VLOOKUP(D169,TARIFAS!A:K,5,FALSE),0),
         VLOOKUP(D169,TARIFAS!A:K,4,FALSE) + IF(I169="Sí",VLOOKUP(D169,TARIFAS!A:K,5,FALSE),0)
      ),
      IF(H169="Presencial",
         VLOOKUP(D169,TARIFAS!A:K,9,FALSE) + IF(I169="Sí",VLOOKUP(D169,TARIFAS!A:K,11,FALSE),0),
         VLOOKUP(D169,TARIFAS!A:K,10,FALSE) + IF(I169="Sí",VLOOKUP(D169,TARIFAS!A:K,11,FALSE),0)
      )
   )
)
</f>
        <v>0</v>
      </c>
      <c r="U169" s="45">
        <f>IF(R169="",0,MAX(0,R169 - TARIFAS!G$2) * TARIFAS!F$2)
</f>
        <v>0</v>
      </c>
      <c r="V169" s="45">
        <f>+T169*TARIFAS!$K$2</f>
        <v>0</v>
      </c>
      <c r="W169" s="45">
        <f t="shared" si="2"/>
        <v>0</v>
      </c>
      <c r="X169" s="45">
        <f t="shared" si="3"/>
        <v>0</v>
      </c>
      <c r="Y169" s="45">
        <f t="shared" si="4"/>
        <v>0</v>
      </c>
      <c r="Z169" s="42" t="str">
        <f>CONFERENCIAS!AB169</f>
        <v/>
      </c>
      <c r="AA169" s="42" t="str">
        <f>CONFERENCIAS!AC169</f>
        <v/>
      </c>
      <c r="AB169" s="47" t="str">
        <f t="shared" si="5"/>
        <v/>
      </c>
      <c r="AC169" s="9" t="str">
        <f t="shared" si="6"/>
        <v/>
      </c>
    </row>
    <row r="170">
      <c r="A170" s="42" t="str">
        <f>CONFERENCIAS!A170</f>
        <v/>
      </c>
      <c r="D170" s="42" t="str">
        <f>CONFERENCIAS!C170</f>
        <v/>
      </c>
      <c r="E170" s="42" t="str">
        <f>CONFERENCIAS!K170</f>
        <v/>
      </c>
      <c r="F170" s="49" t="str">
        <f>CONFERENCIAS!J170</f>
        <v/>
      </c>
      <c r="G170" s="42" t="str">
        <f>CONFERENCIAS!O170</f>
        <v/>
      </c>
      <c r="H170" s="42" t="str">
        <f>CONFERENCIAS!X170</f>
        <v/>
      </c>
      <c r="I170" s="42" t="str">
        <f>CONFERENCIAS!AA170</f>
        <v/>
      </c>
      <c r="J170" s="44" t="str">
        <f>CONFERENCIAS!P170</f>
        <v/>
      </c>
      <c r="K170" s="45" t="str">
        <f>CONFERENCIAS!R170</f>
        <v/>
      </c>
      <c r="L170" s="45">
        <f>IF(D170="",0,
 IF(E170=1,
   IF(H170="Presencial",
      VLOOKUP(D170,TARIFAS!A:K,3,FALSE) + IF(I170="Sí",VLOOKUP(D170,TARIFAS!A:K,5,FALSE),0),
      VLOOKUP(D170,TARIFAS!A:K,4,FALSE) + IF(I170="Sí",VLOOKUP(D170,TARIFAS!A:K,5,FALSE),0)
   ),
   IF(H170="Presencial",
      VLOOKUP(D170,TARIFAS!A:K,9,FALSE) + IF(I170="Sí",VLOOKUP(D170,TARIFAS!A:K,11,FALSE),0),
      VLOOKUP(D170,TARIFAS!A:K,10,FALSE) + IF(I170="Sí",VLOOKUP(D170,TARIFAS!A:K,11,FALSE),0)
   )
 )
)
</f>
        <v>0</v>
      </c>
      <c r="M170" s="45">
        <f>IF(J170="",0,MAX(0,J170 - TARIFAS!G$2) * TARIFAS!F$2)
</f>
        <v>0</v>
      </c>
      <c r="N170" s="45">
        <f>+L170*TARIFAS!$K$2</f>
        <v>0</v>
      </c>
      <c r="O170" s="45">
        <f t="shared" si="1"/>
        <v>0</v>
      </c>
      <c r="P170" s="45">
        <f>+M170+O170+K170+(+I170-(I170*TARIFAS!$K$2))</f>
        <v>0</v>
      </c>
      <c r="Q170" s="42" t="str">
        <f>CONFERENCIAS!T170</f>
        <v/>
      </c>
      <c r="R170" s="45" t="str">
        <f>CONFERENCIAS!U170</f>
        <v/>
      </c>
      <c r="S170" s="45" t="str">
        <f>CONFERENCIAS!W170</f>
        <v/>
      </c>
      <c r="T170" s="48">
        <f>IF(Q170="",0,
   IF(E170=1,
      IF(H170="Presencial",
         VLOOKUP(D170,TARIFAS!A:K,3,FALSE) + IF(I170="Sí",VLOOKUP(D170,TARIFAS!A:K,5,FALSE),0),
         VLOOKUP(D170,TARIFAS!A:K,4,FALSE) + IF(I170="Sí",VLOOKUP(D170,TARIFAS!A:K,5,FALSE),0)
      ),
      IF(H170="Presencial",
         VLOOKUP(D170,TARIFAS!A:K,9,FALSE) + IF(I170="Sí",VLOOKUP(D170,TARIFAS!A:K,11,FALSE),0),
         VLOOKUP(D170,TARIFAS!A:K,10,FALSE) + IF(I170="Sí",VLOOKUP(D170,TARIFAS!A:K,11,FALSE),0)
      )
   )
)
</f>
        <v>0</v>
      </c>
      <c r="U170" s="45">
        <f>IF(R170="",0,MAX(0,R170 - TARIFAS!G$2) * TARIFAS!F$2)
</f>
        <v>0</v>
      </c>
      <c r="V170" s="45">
        <f>+T170*TARIFAS!$K$2</f>
        <v>0</v>
      </c>
      <c r="W170" s="45">
        <f t="shared" si="2"/>
        <v>0</v>
      </c>
      <c r="X170" s="45">
        <f t="shared" si="3"/>
        <v>0</v>
      </c>
      <c r="Y170" s="45">
        <f t="shared" si="4"/>
        <v>0</v>
      </c>
      <c r="Z170" s="42" t="str">
        <f>CONFERENCIAS!AB170</f>
        <v/>
      </c>
      <c r="AA170" s="42" t="str">
        <f>CONFERENCIAS!AC170</f>
        <v/>
      </c>
      <c r="AB170" s="47" t="str">
        <f t="shared" si="5"/>
        <v/>
      </c>
      <c r="AC170" s="9" t="str">
        <f t="shared" si="6"/>
        <v/>
      </c>
    </row>
    <row r="171">
      <c r="A171" s="42" t="str">
        <f>CONFERENCIAS!A171</f>
        <v/>
      </c>
      <c r="D171" s="42" t="str">
        <f>CONFERENCIAS!C171</f>
        <v/>
      </c>
      <c r="E171" s="42" t="str">
        <f>CONFERENCIAS!K171</f>
        <v/>
      </c>
      <c r="F171" s="49" t="str">
        <f>CONFERENCIAS!J171</f>
        <v/>
      </c>
      <c r="G171" s="42" t="str">
        <f>CONFERENCIAS!O171</f>
        <v/>
      </c>
      <c r="H171" s="42" t="str">
        <f>CONFERENCIAS!X171</f>
        <v/>
      </c>
      <c r="I171" s="42" t="str">
        <f>CONFERENCIAS!AA171</f>
        <v/>
      </c>
      <c r="J171" s="44" t="str">
        <f>CONFERENCIAS!P171</f>
        <v/>
      </c>
      <c r="K171" s="45" t="str">
        <f>CONFERENCIAS!R171</f>
        <v/>
      </c>
      <c r="L171" s="45">
        <f>IF(D171="",0,
 IF(E171=1,
   IF(H171="Presencial",
      VLOOKUP(D171,TARIFAS!A:K,3,FALSE) + IF(I171="Sí",VLOOKUP(D171,TARIFAS!A:K,5,FALSE),0),
      VLOOKUP(D171,TARIFAS!A:K,4,FALSE) + IF(I171="Sí",VLOOKUP(D171,TARIFAS!A:K,5,FALSE),0)
   ),
   IF(H171="Presencial",
      VLOOKUP(D171,TARIFAS!A:K,9,FALSE) + IF(I171="Sí",VLOOKUP(D171,TARIFAS!A:K,11,FALSE),0),
      VLOOKUP(D171,TARIFAS!A:K,10,FALSE) + IF(I171="Sí",VLOOKUP(D171,TARIFAS!A:K,11,FALSE),0)
   )
 )
)
</f>
        <v>0</v>
      </c>
      <c r="M171" s="45">
        <f>IF(J171="",0,MAX(0,J171 - TARIFAS!G$2) * TARIFAS!F$2)
</f>
        <v>0</v>
      </c>
      <c r="N171" s="45">
        <f>+L171*TARIFAS!$K$2</f>
        <v>0</v>
      </c>
      <c r="O171" s="45">
        <f t="shared" si="1"/>
        <v>0</v>
      </c>
      <c r="P171" s="45">
        <f>+M171+O171+K171+(+I171-(I171*TARIFAS!$K$2))</f>
        <v>0</v>
      </c>
      <c r="Q171" s="42" t="str">
        <f>CONFERENCIAS!T171</f>
        <v/>
      </c>
      <c r="R171" s="45" t="str">
        <f>CONFERENCIAS!U171</f>
        <v/>
      </c>
      <c r="S171" s="45" t="str">
        <f>CONFERENCIAS!W171</f>
        <v/>
      </c>
      <c r="T171" s="48">
        <f>IF(Q171="",0,
   IF(E171=1,
      IF(H171="Presencial",
         VLOOKUP(D171,TARIFAS!A:K,3,FALSE) + IF(I171="Sí",VLOOKUP(D171,TARIFAS!A:K,5,FALSE),0),
         VLOOKUP(D171,TARIFAS!A:K,4,FALSE) + IF(I171="Sí",VLOOKUP(D171,TARIFAS!A:K,5,FALSE),0)
      ),
      IF(H171="Presencial",
         VLOOKUP(D171,TARIFAS!A:K,9,FALSE) + IF(I171="Sí",VLOOKUP(D171,TARIFAS!A:K,11,FALSE),0),
         VLOOKUP(D171,TARIFAS!A:K,10,FALSE) + IF(I171="Sí",VLOOKUP(D171,TARIFAS!A:K,11,FALSE),0)
      )
   )
)
</f>
        <v>0</v>
      </c>
      <c r="U171" s="45">
        <f>IF(R171="",0,MAX(0,R171 - TARIFAS!G$2) * TARIFAS!F$2)
</f>
        <v>0</v>
      </c>
      <c r="V171" s="45">
        <f>+T171*TARIFAS!$K$2</f>
        <v>0</v>
      </c>
      <c r="W171" s="45">
        <f t="shared" si="2"/>
        <v>0</v>
      </c>
      <c r="X171" s="45">
        <f t="shared" si="3"/>
        <v>0</v>
      </c>
      <c r="Y171" s="45">
        <f t="shared" si="4"/>
        <v>0</v>
      </c>
      <c r="Z171" s="42" t="str">
        <f>CONFERENCIAS!AB171</f>
        <v/>
      </c>
      <c r="AA171" s="42" t="str">
        <f>CONFERENCIAS!AC171</f>
        <v/>
      </c>
      <c r="AB171" s="47" t="str">
        <f t="shared" si="5"/>
        <v/>
      </c>
      <c r="AC171" s="9" t="str">
        <f t="shared" si="6"/>
        <v/>
      </c>
    </row>
    <row r="172">
      <c r="A172" s="42" t="str">
        <f>CONFERENCIAS!A172</f>
        <v/>
      </c>
      <c r="D172" s="42" t="str">
        <f>CONFERENCIAS!C172</f>
        <v/>
      </c>
      <c r="E172" s="42" t="str">
        <f>CONFERENCIAS!K172</f>
        <v/>
      </c>
      <c r="F172" s="49" t="str">
        <f>CONFERENCIAS!J172</f>
        <v/>
      </c>
      <c r="G172" s="42" t="str">
        <f>CONFERENCIAS!O172</f>
        <v/>
      </c>
      <c r="H172" s="42" t="str">
        <f>CONFERENCIAS!X172</f>
        <v/>
      </c>
      <c r="I172" s="42" t="str">
        <f>CONFERENCIAS!AA172</f>
        <v/>
      </c>
      <c r="J172" s="44" t="str">
        <f>CONFERENCIAS!P172</f>
        <v/>
      </c>
      <c r="K172" s="45" t="str">
        <f>CONFERENCIAS!R172</f>
        <v/>
      </c>
      <c r="L172" s="45">
        <f>IF(D172="",0,
 IF(E172=1,
   IF(H172="Presencial",
      VLOOKUP(D172,TARIFAS!A:K,3,FALSE) + IF(I172="Sí",VLOOKUP(D172,TARIFAS!A:K,5,FALSE),0),
      VLOOKUP(D172,TARIFAS!A:K,4,FALSE) + IF(I172="Sí",VLOOKUP(D172,TARIFAS!A:K,5,FALSE),0)
   ),
   IF(H172="Presencial",
      VLOOKUP(D172,TARIFAS!A:K,9,FALSE) + IF(I172="Sí",VLOOKUP(D172,TARIFAS!A:K,11,FALSE),0),
      VLOOKUP(D172,TARIFAS!A:K,10,FALSE) + IF(I172="Sí",VLOOKUP(D172,TARIFAS!A:K,11,FALSE),0)
   )
 )
)
</f>
        <v>0</v>
      </c>
      <c r="M172" s="45">
        <f>IF(J172="",0,MAX(0,J172 - TARIFAS!G$2) * TARIFAS!F$2)
</f>
        <v>0</v>
      </c>
      <c r="N172" s="45">
        <f>+L172*TARIFAS!$K$2</f>
        <v>0</v>
      </c>
      <c r="O172" s="45">
        <f t="shared" si="1"/>
        <v>0</v>
      </c>
      <c r="P172" s="45">
        <f>+M172+O172+K172+(+I172-(I172*TARIFAS!$K$2))</f>
        <v>0</v>
      </c>
      <c r="Q172" s="42" t="str">
        <f>CONFERENCIAS!T172</f>
        <v/>
      </c>
      <c r="R172" s="45" t="str">
        <f>CONFERENCIAS!U172</f>
        <v/>
      </c>
      <c r="S172" s="45" t="str">
        <f>CONFERENCIAS!W172</f>
        <v/>
      </c>
      <c r="T172" s="48">
        <f>IF(Q172="",0,
   IF(E172=1,
      IF(H172="Presencial",
         VLOOKUP(D172,TARIFAS!A:K,3,FALSE) + IF(I172="Sí",VLOOKUP(D172,TARIFAS!A:K,5,FALSE),0),
         VLOOKUP(D172,TARIFAS!A:K,4,FALSE) + IF(I172="Sí",VLOOKUP(D172,TARIFAS!A:K,5,FALSE),0)
      ),
      IF(H172="Presencial",
         VLOOKUP(D172,TARIFAS!A:K,9,FALSE) + IF(I172="Sí",VLOOKUP(D172,TARIFAS!A:K,11,FALSE),0),
         VLOOKUP(D172,TARIFAS!A:K,10,FALSE) + IF(I172="Sí",VLOOKUP(D172,TARIFAS!A:K,11,FALSE),0)
      )
   )
)
</f>
        <v>0</v>
      </c>
      <c r="U172" s="45">
        <f>IF(R172="",0,MAX(0,R172 - TARIFAS!G$2) * TARIFAS!F$2)
</f>
        <v>0</v>
      </c>
      <c r="V172" s="45">
        <f>+T172*TARIFAS!$K$2</f>
        <v>0</v>
      </c>
      <c r="W172" s="45">
        <f t="shared" si="2"/>
        <v>0</v>
      </c>
      <c r="X172" s="45">
        <f t="shared" si="3"/>
        <v>0</v>
      </c>
      <c r="Y172" s="45">
        <f t="shared" si="4"/>
        <v>0</v>
      </c>
      <c r="Z172" s="42" t="str">
        <f>CONFERENCIAS!AB172</f>
        <v/>
      </c>
      <c r="AA172" s="42" t="str">
        <f>CONFERENCIAS!AC172</f>
        <v/>
      </c>
      <c r="AB172" s="47" t="str">
        <f t="shared" si="5"/>
        <v/>
      </c>
      <c r="AC172" s="9" t="str">
        <f t="shared" si="6"/>
        <v/>
      </c>
    </row>
    <row r="173">
      <c r="A173" s="42" t="str">
        <f>CONFERENCIAS!A173</f>
        <v/>
      </c>
      <c r="D173" s="42" t="str">
        <f>CONFERENCIAS!C173</f>
        <v/>
      </c>
      <c r="E173" s="42" t="str">
        <f>CONFERENCIAS!K173</f>
        <v/>
      </c>
      <c r="F173" s="49" t="str">
        <f>CONFERENCIAS!J173</f>
        <v/>
      </c>
      <c r="G173" s="42" t="str">
        <f>CONFERENCIAS!O173</f>
        <v/>
      </c>
      <c r="H173" s="42" t="str">
        <f>CONFERENCIAS!X173</f>
        <v/>
      </c>
      <c r="I173" s="42" t="str">
        <f>CONFERENCIAS!AA173</f>
        <v/>
      </c>
      <c r="J173" s="44" t="str">
        <f>CONFERENCIAS!P173</f>
        <v/>
      </c>
      <c r="K173" s="45" t="str">
        <f>CONFERENCIAS!R173</f>
        <v/>
      </c>
      <c r="L173" s="45">
        <f>IF(D173="",0,
 IF(E173=1,
   IF(H173="Presencial",
      VLOOKUP(D173,TARIFAS!A:K,3,FALSE) + IF(I173="Sí",VLOOKUP(D173,TARIFAS!A:K,5,FALSE),0),
      VLOOKUP(D173,TARIFAS!A:K,4,FALSE) + IF(I173="Sí",VLOOKUP(D173,TARIFAS!A:K,5,FALSE),0)
   ),
   IF(H173="Presencial",
      VLOOKUP(D173,TARIFAS!A:K,9,FALSE) + IF(I173="Sí",VLOOKUP(D173,TARIFAS!A:K,11,FALSE),0),
      VLOOKUP(D173,TARIFAS!A:K,10,FALSE) + IF(I173="Sí",VLOOKUP(D173,TARIFAS!A:K,11,FALSE),0)
   )
 )
)
</f>
        <v>0</v>
      </c>
      <c r="M173" s="45">
        <f>IF(J173="",0,MAX(0,J173 - TARIFAS!G$2) * TARIFAS!F$2)
</f>
        <v>0</v>
      </c>
      <c r="N173" s="45">
        <f>+L173*TARIFAS!$K$2</f>
        <v>0</v>
      </c>
      <c r="O173" s="45">
        <f t="shared" si="1"/>
        <v>0</v>
      </c>
      <c r="P173" s="45">
        <f>+M173+O173+K173+(+I173-(I173*TARIFAS!$K$2))</f>
        <v>0</v>
      </c>
      <c r="Q173" s="42" t="str">
        <f>CONFERENCIAS!T173</f>
        <v/>
      </c>
      <c r="R173" s="45" t="str">
        <f>CONFERENCIAS!U173</f>
        <v/>
      </c>
      <c r="S173" s="45" t="str">
        <f>CONFERENCIAS!W173</f>
        <v/>
      </c>
      <c r="T173" s="48">
        <f>IF(Q173="",0,
   IF(E173=1,
      IF(H173="Presencial",
         VLOOKUP(D173,TARIFAS!A:K,3,FALSE) + IF(I173="Sí",VLOOKUP(D173,TARIFAS!A:K,5,FALSE),0),
         VLOOKUP(D173,TARIFAS!A:K,4,FALSE) + IF(I173="Sí",VLOOKUP(D173,TARIFAS!A:K,5,FALSE),0)
      ),
      IF(H173="Presencial",
         VLOOKUP(D173,TARIFAS!A:K,9,FALSE) + IF(I173="Sí",VLOOKUP(D173,TARIFAS!A:K,11,FALSE),0),
         VLOOKUP(D173,TARIFAS!A:K,10,FALSE) + IF(I173="Sí",VLOOKUP(D173,TARIFAS!A:K,11,FALSE),0)
      )
   )
)
</f>
        <v>0</v>
      </c>
      <c r="U173" s="45">
        <f>IF(R173="",0,MAX(0,R173 - TARIFAS!G$2) * TARIFAS!F$2)
</f>
        <v>0</v>
      </c>
      <c r="V173" s="45">
        <f>+T173*TARIFAS!$K$2</f>
        <v>0</v>
      </c>
      <c r="W173" s="45">
        <f t="shared" si="2"/>
        <v>0</v>
      </c>
      <c r="X173" s="45">
        <f t="shared" si="3"/>
        <v>0</v>
      </c>
      <c r="Y173" s="45">
        <f t="shared" si="4"/>
        <v>0</v>
      </c>
      <c r="Z173" s="42" t="str">
        <f>CONFERENCIAS!AB173</f>
        <v/>
      </c>
      <c r="AA173" s="42" t="str">
        <f>CONFERENCIAS!AC173</f>
        <v/>
      </c>
      <c r="AB173" s="47" t="str">
        <f t="shared" si="5"/>
        <v/>
      </c>
      <c r="AC173" s="9" t="str">
        <f t="shared" si="6"/>
        <v/>
      </c>
    </row>
    <row r="174">
      <c r="A174" s="42" t="str">
        <f>CONFERENCIAS!A174</f>
        <v/>
      </c>
      <c r="D174" s="42" t="str">
        <f>CONFERENCIAS!C174</f>
        <v/>
      </c>
      <c r="E174" s="42" t="str">
        <f>CONFERENCIAS!K174</f>
        <v/>
      </c>
      <c r="F174" s="49" t="str">
        <f>CONFERENCIAS!J174</f>
        <v/>
      </c>
      <c r="G174" s="42" t="str">
        <f>CONFERENCIAS!O174</f>
        <v/>
      </c>
      <c r="H174" s="42" t="str">
        <f>CONFERENCIAS!X174</f>
        <v/>
      </c>
      <c r="I174" s="42" t="str">
        <f>CONFERENCIAS!AA174</f>
        <v/>
      </c>
      <c r="J174" s="44" t="str">
        <f>CONFERENCIAS!P174</f>
        <v/>
      </c>
      <c r="K174" s="45" t="str">
        <f>CONFERENCIAS!R174</f>
        <v/>
      </c>
      <c r="L174" s="45">
        <f>IF(D174="",0,
 IF(E174=1,
   IF(H174="Presencial",
      VLOOKUP(D174,TARIFAS!A:K,3,FALSE) + IF(I174="Sí",VLOOKUP(D174,TARIFAS!A:K,5,FALSE),0),
      VLOOKUP(D174,TARIFAS!A:K,4,FALSE) + IF(I174="Sí",VLOOKUP(D174,TARIFAS!A:K,5,FALSE),0)
   ),
   IF(H174="Presencial",
      VLOOKUP(D174,TARIFAS!A:K,9,FALSE) + IF(I174="Sí",VLOOKUP(D174,TARIFAS!A:K,11,FALSE),0),
      VLOOKUP(D174,TARIFAS!A:K,10,FALSE) + IF(I174="Sí",VLOOKUP(D174,TARIFAS!A:K,11,FALSE),0)
   )
 )
)
</f>
        <v>0</v>
      </c>
      <c r="M174" s="45">
        <f>IF(J174="",0,MAX(0,J174 - TARIFAS!G$2) * TARIFAS!F$2)
</f>
        <v>0</v>
      </c>
      <c r="N174" s="45">
        <f>+L174*TARIFAS!$K$2</f>
        <v>0</v>
      </c>
      <c r="O174" s="45">
        <f t="shared" si="1"/>
        <v>0</v>
      </c>
      <c r="P174" s="45">
        <f>+M174+O174+K174+(+I174-(I174*TARIFAS!$K$2))</f>
        <v>0</v>
      </c>
      <c r="Q174" s="42" t="str">
        <f>CONFERENCIAS!T174</f>
        <v/>
      </c>
      <c r="R174" s="45" t="str">
        <f>CONFERENCIAS!U174</f>
        <v/>
      </c>
      <c r="S174" s="45" t="str">
        <f>CONFERENCIAS!W174</f>
        <v/>
      </c>
      <c r="T174" s="48">
        <f>IF(Q174="",0,
   IF(E174=1,
      IF(H174="Presencial",
         VLOOKUP(D174,TARIFAS!A:K,3,FALSE) + IF(I174="Sí",VLOOKUP(D174,TARIFAS!A:K,5,FALSE),0),
         VLOOKUP(D174,TARIFAS!A:K,4,FALSE) + IF(I174="Sí",VLOOKUP(D174,TARIFAS!A:K,5,FALSE),0)
      ),
      IF(H174="Presencial",
         VLOOKUP(D174,TARIFAS!A:K,9,FALSE) + IF(I174="Sí",VLOOKUP(D174,TARIFAS!A:K,11,FALSE),0),
         VLOOKUP(D174,TARIFAS!A:K,10,FALSE) + IF(I174="Sí",VLOOKUP(D174,TARIFAS!A:K,11,FALSE),0)
      )
   )
)
</f>
        <v>0</v>
      </c>
      <c r="U174" s="45">
        <f>IF(R174="",0,MAX(0,R174 - TARIFAS!G$2) * TARIFAS!F$2)
</f>
        <v>0</v>
      </c>
      <c r="V174" s="45">
        <f>+T174*TARIFAS!$K$2</f>
        <v>0</v>
      </c>
      <c r="W174" s="45">
        <f t="shared" si="2"/>
        <v>0</v>
      </c>
      <c r="X174" s="45">
        <f t="shared" si="3"/>
        <v>0</v>
      </c>
      <c r="Y174" s="45">
        <f t="shared" si="4"/>
        <v>0</v>
      </c>
      <c r="Z174" s="42" t="str">
        <f>CONFERENCIAS!AB174</f>
        <v/>
      </c>
      <c r="AA174" s="42" t="str">
        <f>CONFERENCIAS!AC174</f>
        <v/>
      </c>
      <c r="AB174" s="47" t="str">
        <f t="shared" si="5"/>
        <v/>
      </c>
      <c r="AC174" s="9" t="str">
        <f t="shared" si="6"/>
        <v/>
      </c>
    </row>
    <row r="175">
      <c r="A175" s="42" t="str">
        <f>CONFERENCIAS!A175</f>
        <v/>
      </c>
      <c r="D175" s="42" t="str">
        <f>CONFERENCIAS!C175</f>
        <v/>
      </c>
      <c r="E175" s="42" t="str">
        <f>CONFERENCIAS!K175</f>
        <v/>
      </c>
      <c r="F175" s="49" t="str">
        <f>CONFERENCIAS!J175</f>
        <v/>
      </c>
      <c r="G175" s="42" t="str">
        <f>CONFERENCIAS!O175</f>
        <v/>
      </c>
      <c r="H175" s="42" t="str">
        <f>CONFERENCIAS!X175</f>
        <v/>
      </c>
      <c r="I175" s="42" t="str">
        <f>CONFERENCIAS!AA175</f>
        <v/>
      </c>
      <c r="J175" s="44" t="str">
        <f>CONFERENCIAS!P175</f>
        <v/>
      </c>
      <c r="K175" s="45" t="str">
        <f>CONFERENCIAS!R175</f>
        <v/>
      </c>
      <c r="L175" s="45">
        <f>IF(D175="",0,
 IF(E175=1,
   IF(H175="Presencial",
      VLOOKUP(D175,TARIFAS!A:K,3,FALSE) + IF(I175="Sí",VLOOKUP(D175,TARIFAS!A:K,5,FALSE),0),
      VLOOKUP(D175,TARIFAS!A:K,4,FALSE) + IF(I175="Sí",VLOOKUP(D175,TARIFAS!A:K,5,FALSE),0)
   ),
   IF(H175="Presencial",
      VLOOKUP(D175,TARIFAS!A:K,9,FALSE) + IF(I175="Sí",VLOOKUP(D175,TARIFAS!A:K,11,FALSE),0),
      VLOOKUP(D175,TARIFAS!A:K,10,FALSE) + IF(I175="Sí",VLOOKUP(D175,TARIFAS!A:K,11,FALSE),0)
   )
 )
)
</f>
        <v>0</v>
      </c>
      <c r="M175" s="45">
        <f>IF(J175="",0,MAX(0,J175 - TARIFAS!G$2) * TARIFAS!F$2)
</f>
        <v>0</v>
      </c>
      <c r="N175" s="45">
        <f>+L175*TARIFAS!$K$2</f>
        <v>0</v>
      </c>
      <c r="O175" s="45">
        <f t="shared" si="1"/>
        <v>0</v>
      </c>
      <c r="P175" s="45">
        <f>+M175+O175+K175+(+I175-(I175*TARIFAS!$K$2))</f>
        <v>0</v>
      </c>
      <c r="Q175" s="42" t="str">
        <f>CONFERENCIAS!T175</f>
        <v/>
      </c>
      <c r="R175" s="45" t="str">
        <f>CONFERENCIAS!U175</f>
        <v/>
      </c>
      <c r="S175" s="45" t="str">
        <f>CONFERENCIAS!W175</f>
        <v/>
      </c>
      <c r="T175" s="48">
        <f>IF(Q175="",0,
   IF(E175=1,
      IF(H175="Presencial",
         VLOOKUP(D175,TARIFAS!A:K,3,FALSE) + IF(I175="Sí",VLOOKUP(D175,TARIFAS!A:K,5,FALSE),0),
         VLOOKUP(D175,TARIFAS!A:K,4,FALSE) + IF(I175="Sí",VLOOKUP(D175,TARIFAS!A:K,5,FALSE),0)
      ),
      IF(H175="Presencial",
         VLOOKUP(D175,TARIFAS!A:K,9,FALSE) + IF(I175="Sí",VLOOKUP(D175,TARIFAS!A:K,11,FALSE),0),
         VLOOKUP(D175,TARIFAS!A:K,10,FALSE) + IF(I175="Sí",VLOOKUP(D175,TARIFAS!A:K,11,FALSE),0)
      )
   )
)
</f>
        <v>0</v>
      </c>
      <c r="U175" s="45">
        <f>IF(R175="",0,MAX(0,R175 - TARIFAS!G$2) * TARIFAS!F$2)
</f>
        <v>0</v>
      </c>
      <c r="V175" s="45">
        <f>+T175*TARIFAS!$K$2</f>
        <v>0</v>
      </c>
      <c r="W175" s="45">
        <f t="shared" si="2"/>
        <v>0</v>
      </c>
      <c r="X175" s="45">
        <f t="shared" si="3"/>
        <v>0</v>
      </c>
      <c r="Y175" s="45">
        <f t="shared" si="4"/>
        <v>0</v>
      </c>
      <c r="Z175" s="42" t="str">
        <f>CONFERENCIAS!AB175</f>
        <v/>
      </c>
      <c r="AA175" s="42" t="str">
        <f>CONFERENCIAS!AC175</f>
        <v/>
      </c>
      <c r="AB175" s="47" t="str">
        <f t="shared" si="5"/>
        <v/>
      </c>
      <c r="AC175" s="9" t="str">
        <f t="shared" si="6"/>
        <v/>
      </c>
    </row>
    <row r="176">
      <c r="A176" s="42" t="str">
        <f>CONFERENCIAS!A176</f>
        <v/>
      </c>
      <c r="D176" s="42" t="str">
        <f>CONFERENCIAS!C176</f>
        <v/>
      </c>
      <c r="E176" s="42" t="str">
        <f>CONFERENCIAS!K176</f>
        <v/>
      </c>
      <c r="F176" s="49" t="str">
        <f>CONFERENCIAS!J176</f>
        <v/>
      </c>
      <c r="G176" s="42" t="str">
        <f>CONFERENCIAS!O176</f>
        <v/>
      </c>
      <c r="H176" s="42" t="str">
        <f>CONFERENCIAS!X176</f>
        <v/>
      </c>
      <c r="I176" s="42" t="str">
        <f>CONFERENCIAS!AA176</f>
        <v/>
      </c>
      <c r="J176" s="44" t="str">
        <f>CONFERENCIAS!P176</f>
        <v/>
      </c>
      <c r="K176" s="45" t="str">
        <f>CONFERENCIAS!R176</f>
        <v/>
      </c>
      <c r="L176" s="45">
        <f>IF(D176="",0,
 IF(E176=1,
   IF(H176="Presencial",
      VLOOKUP(D176,TARIFAS!A:K,3,FALSE) + IF(I176="Sí",VLOOKUP(D176,TARIFAS!A:K,5,FALSE),0),
      VLOOKUP(D176,TARIFAS!A:K,4,FALSE) + IF(I176="Sí",VLOOKUP(D176,TARIFAS!A:K,5,FALSE),0)
   ),
   IF(H176="Presencial",
      VLOOKUP(D176,TARIFAS!A:K,9,FALSE) + IF(I176="Sí",VLOOKUP(D176,TARIFAS!A:K,11,FALSE),0),
      VLOOKUP(D176,TARIFAS!A:K,10,FALSE) + IF(I176="Sí",VLOOKUP(D176,TARIFAS!A:K,11,FALSE),0)
   )
 )
)
</f>
        <v>0</v>
      </c>
      <c r="M176" s="45">
        <f>IF(J176="",0,MAX(0,J176 - TARIFAS!G$2) * TARIFAS!F$2)
</f>
        <v>0</v>
      </c>
      <c r="N176" s="45">
        <f>+L176*TARIFAS!$K$2</f>
        <v>0</v>
      </c>
      <c r="O176" s="45">
        <f t="shared" si="1"/>
        <v>0</v>
      </c>
      <c r="P176" s="45">
        <f>+M176+O176+K176+(+I176-(I176*TARIFAS!$K$2))</f>
        <v>0</v>
      </c>
      <c r="Q176" s="42" t="str">
        <f>CONFERENCIAS!T176</f>
        <v/>
      </c>
      <c r="R176" s="45" t="str">
        <f>CONFERENCIAS!U176</f>
        <v/>
      </c>
      <c r="S176" s="45" t="str">
        <f>CONFERENCIAS!W176</f>
        <v/>
      </c>
      <c r="T176" s="48">
        <f>IF(Q176="",0,
   IF(E176=1,
      IF(H176="Presencial",
         VLOOKUP(D176,TARIFAS!A:K,3,FALSE) + IF(I176="Sí",VLOOKUP(D176,TARIFAS!A:K,5,FALSE),0),
         VLOOKUP(D176,TARIFAS!A:K,4,FALSE) + IF(I176="Sí",VLOOKUP(D176,TARIFAS!A:K,5,FALSE),0)
      ),
      IF(H176="Presencial",
         VLOOKUP(D176,TARIFAS!A:K,9,FALSE) + IF(I176="Sí",VLOOKUP(D176,TARIFAS!A:K,11,FALSE),0),
         VLOOKUP(D176,TARIFAS!A:K,10,FALSE) + IF(I176="Sí",VLOOKUP(D176,TARIFAS!A:K,11,FALSE),0)
      )
   )
)
</f>
        <v>0</v>
      </c>
      <c r="U176" s="45">
        <f>IF(R176="",0,MAX(0,R176 - TARIFAS!G$2) * TARIFAS!F$2)
</f>
        <v>0</v>
      </c>
      <c r="V176" s="45">
        <f>+T176*TARIFAS!$K$2</f>
        <v>0</v>
      </c>
      <c r="W176" s="45">
        <f t="shared" si="2"/>
        <v>0</v>
      </c>
      <c r="X176" s="45">
        <f t="shared" si="3"/>
        <v>0</v>
      </c>
      <c r="Y176" s="45">
        <f t="shared" si="4"/>
        <v>0</v>
      </c>
      <c r="Z176" s="42" t="str">
        <f>CONFERENCIAS!AB176</f>
        <v/>
      </c>
      <c r="AA176" s="42" t="str">
        <f>CONFERENCIAS!AC176</f>
        <v/>
      </c>
      <c r="AB176" s="47" t="str">
        <f t="shared" si="5"/>
        <v/>
      </c>
      <c r="AC176" s="9" t="str">
        <f t="shared" si="6"/>
        <v/>
      </c>
    </row>
    <row r="177">
      <c r="A177" s="42" t="str">
        <f>CONFERENCIAS!A177</f>
        <v/>
      </c>
      <c r="D177" s="42" t="str">
        <f>CONFERENCIAS!C177</f>
        <v/>
      </c>
      <c r="E177" s="42" t="str">
        <f>CONFERENCIAS!K177</f>
        <v/>
      </c>
      <c r="F177" s="49" t="str">
        <f>CONFERENCIAS!J177</f>
        <v/>
      </c>
      <c r="G177" s="42" t="str">
        <f>CONFERENCIAS!O177</f>
        <v/>
      </c>
      <c r="H177" s="42" t="str">
        <f>CONFERENCIAS!X177</f>
        <v/>
      </c>
      <c r="I177" s="42" t="str">
        <f>CONFERENCIAS!AA177</f>
        <v/>
      </c>
      <c r="J177" s="44" t="str">
        <f>CONFERENCIAS!P177</f>
        <v/>
      </c>
      <c r="K177" s="45" t="str">
        <f>CONFERENCIAS!R177</f>
        <v/>
      </c>
      <c r="L177" s="45">
        <f>IF(D177="",0,
 IF(E177=1,
   IF(H177="Presencial",
      VLOOKUP(D177,TARIFAS!A:K,3,FALSE) + IF(I177="Sí",VLOOKUP(D177,TARIFAS!A:K,5,FALSE),0),
      VLOOKUP(D177,TARIFAS!A:K,4,FALSE) + IF(I177="Sí",VLOOKUP(D177,TARIFAS!A:K,5,FALSE),0)
   ),
   IF(H177="Presencial",
      VLOOKUP(D177,TARIFAS!A:K,9,FALSE) + IF(I177="Sí",VLOOKUP(D177,TARIFAS!A:K,11,FALSE),0),
      VLOOKUP(D177,TARIFAS!A:K,10,FALSE) + IF(I177="Sí",VLOOKUP(D177,TARIFAS!A:K,11,FALSE),0)
   )
 )
)
</f>
        <v>0</v>
      </c>
      <c r="M177" s="45">
        <f>IF(J177="",0,MAX(0,J177 - TARIFAS!G$2) * TARIFAS!F$2)
</f>
        <v>0</v>
      </c>
      <c r="N177" s="45">
        <f>+L177*TARIFAS!$K$2</f>
        <v>0</v>
      </c>
      <c r="O177" s="45">
        <f t="shared" si="1"/>
        <v>0</v>
      </c>
      <c r="P177" s="45">
        <f>+M177+O177+K177+(+I177-(I177*TARIFAS!$K$2))</f>
        <v>0</v>
      </c>
      <c r="Q177" s="42" t="str">
        <f>CONFERENCIAS!T177</f>
        <v/>
      </c>
      <c r="R177" s="45" t="str">
        <f>CONFERENCIAS!U177</f>
        <v/>
      </c>
      <c r="S177" s="45" t="str">
        <f>CONFERENCIAS!W177</f>
        <v/>
      </c>
      <c r="T177" s="48">
        <f>IF(Q177="",0,
   IF(E177=1,
      IF(H177="Presencial",
         VLOOKUP(D177,TARIFAS!A:K,3,FALSE) + IF(I177="Sí",VLOOKUP(D177,TARIFAS!A:K,5,FALSE),0),
         VLOOKUP(D177,TARIFAS!A:K,4,FALSE) + IF(I177="Sí",VLOOKUP(D177,TARIFAS!A:K,5,FALSE),0)
      ),
      IF(H177="Presencial",
         VLOOKUP(D177,TARIFAS!A:K,9,FALSE) + IF(I177="Sí",VLOOKUP(D177,TARIFAS!A:K,11,FALSE),0),
         VLOOKUP(D177,TARIFAS!A:K,10,FALSE) + IF(I177="Sí",VLOOKUP(D177,TARIFAS!A:K,11,FALSE),0)
      )
   )
)
</f>
        <v>0</v>
      </c>
      <c r="U177" s="45">
        <f>IF(R177="",0,MAX(0,R177 - TARIFAS!G$2) * TARIFAS!F$2)
</f>
        <v>0</v>
      </c>
      <c r="V177" s="45">
        <f>+T177*TARIFAS!$K$2</f>
        <v>0</v>
      </c>
      <c r="W177" s="45">
        <f t="shared" si="2"/>
        <v>0</v>
      </c>
      <c r="X177" s="45">
        <f t="shared" si="3"/>
        <v>0</v>
      </c>
      <c r="Y177" s="45">
        <f t="shared" si="4"/>
        <v>0</v>
      </c>
      <c r="Z177" s="42" t="str">
        <f>CONFERENCIAS!AB177</f>
        <v/>
      </c>
      <c r="AA177" s="42" t="str">
        <f>CONFERENCIAS!AC177</f>
        <v/>
      </c>
      <c r="AB177" s="47" t="str">
        <f t="shared" si="5"/>
        <v/>
      </c>
      <c r="AC177" s="9" t="str">
        <f t="shared" si="6"/>
        <v/>
      </c>
    </row>
    <row r="178">
      <c r="A178" s="42" t="str">
        <f>CONFERENCIAS!A178</f>
        <v/>
      </c>
      <c r="D178" s="42" t="str">
        <f>CONFERENCIAS!C178</f>
        <v/>
      </c>
      <c r="E178" s="42" t="str">
        <f>CONFERENCIAS!K178</f>
        <v/>
      </c>
      <c r="F178" s="49" t="str">
        <f>CONFERENCIAS!J178</f>
        <v/>
      </c>
      <c r="G178" s="42" t="str">
        <f>CONFERENCIAS!O178</f>
        <v/>
      </c>
      <c r="H178" s="42" t="str">
        <f>CONFERENCIAS!X178</f>
        <v/>
      </c>
      <c r="I178" s="42" t="str">
        <f>CONFERENCIAS!AA178</f>
        <v/>
      </c>
      <c r="J178" s="44" t="str">
        <f>CONFERENCIAS!P178</f>
        <v/>
      </c>
      <c r="K178" s="45" t="str">
        <f>CONFERENCIAS!R178</f>
        <v/>
      </c>
      <c r="L178" s="45">
        <f>IF(D178="",0,
 IF(E178=1,
   IF(H178="Presencial",
      VLOOKUP(D178,TARIFAS!A:K,3,FALSE) + IF(I178="Sí",VLOOKUP(D178,TARIFAS!A:K,5,FALSE),0),
      VLOOKUP(D178,TARIFAS!A:K,4,FALSE) + IF(I178="Sí",VLOOKUP(D178,TARIFAS!A:K,5,FALSE),0)
   ),
   IF(H178="Presencial",
      VLOOKUP(D178,TARIFAS!A:K,9,FALSE) + IF(I178="Sí",VLOOKUP(D178,TARIFAS!A:K,11,FALSE),0),
      VLOOKUP(D178,TARIFAS!A:K,10,FALSE) + IF(I178="Sí",VLOOKUP(D178,TARIFAS!A:K,11,FALSE),0)
   )
 )
)
</f>
        <v>0</v>
      </c>
      <c r="M178" s="45">
        <f>IF(J178="",0,MAX(0,J178 - TARIFAS!G$2) * TARIFAS!F$2)
</f>
        <v>0</v>
      </c>
      <c r="N178" s="45">
        <f>+L178*TARIFAS!$K$2</f>
        <v>0</v>
      </c>
      <c r="O178" s="45">
        <f t="shared" si="1"/>
        <v>0</v>
      </c>
      <c r="P178" s="45">
        <f>+M178+O178+K178+(+I178-(I178*TARIFAS!$K$2))</f>
        <v>0</v>
      </c>
      <c r="Q178" s="42" t="str">
        <f>CONFERENCIAS!T178</f>
        <v/>
      </c>
      <c r="R178" s="45" t="str">
        <f>CONFERENCIAS!U178</f>
        <v/>
      </c>
      <c r="S178" s="45" t="str">
        <f>CONFERENCIAS!W178</f>
        <v/>
      </c>
      <c r="T178" s="48">
        <f>IF(Q178="",0,
   IF(E178=1,
      IF(H178="Presencial",
         VLOOKUP(D178,TARIFAS!A:K,3,FALSE) + IF(I178="Sí",VLOOKUP(D178,TARIFAS!A:K,5,FALSE),0),
         VLOOKUP(D178,TARIFAS!A:K,4,FALSE) + IF(I178="Sí",VLOOKUP(D178,TARIFAS!A:K,5,FALSE),0)
      ),
      IF(H178="Presencial",
         VLOOKUP(D178,TARIFAS!A:K,9,FALSE) + IF(I178="Sí",VLOOKUP(D178,TARIFAS!A:K,11,FALSE),0),
         VLOOKUP(D178,TARIFAS!A:K,10,FALSE) + IF(I178="Sí",VLOOKUP(D178,TARIFAS!A:K,11,FALSE),0)
      )
   )
)
</f>
        <v>0</v>
      </c>
      <c r="U178" s="45">
        <f>IF(R178="",0,MAX(0,R178 - TARIFAS!G$2) * TARIFAS!F$2)
</f>
        <v>0</v>
      </c>
      <c r="V178" s="45">
        <f>+T178*TARIFAS!$K$2</f>
        <v>0</v>
      </c>
      <c r="W178" s="45">
        <f t="shared" si="2"/>
        <v>0</v>
      </c>
      <c r="X178" s="45">
        <f t="shared" si="3"/>
        <v>0</v>
      </c>
      <c r="Y178" s="45">
        <f t="shared" si="4"/>
        <v>0</v>
      </c>
      <c r="Z178" s="42" t="str">
        <f>CONFERENCIAS!AB178</f>
        <v/>
      </c>
      <c r="AA178" s="42" t="str">
        <f>CONFERENCIAS!AC178</f>
        <v/>
      </c>
      <c r="AB178" s="47" t="str">
        <f t="shared" si="5"/>
        <v/>
      </c>
      <c r="AC178" s="9" t="str">
        <f t="shared" si="6"/>
        <v/>
      </c>
    </row>
    <row r="179">
      <c r="A179" s="42" t="str">
        <f>CONFERENCIAS!A179</f>
        <v/>
      </c>
      <c r="D179" s="42" t="str">
        <f>CONFERENCIAS!C179</f>
        <v/>
      </c>
      <c r="E179" s="42" t="str">
        <f>CONFERENCIAS!K179</f>
        <v/>
      </c>
      <c r="F179" s="49" t="str">
        <f>CONFERENCIAS!J179</f>
        <v/>
      </c>
      <c r="G179" s="42" t="str">
        <f>CONFERENCIAS!O179</f>
        <v/>
      </c>
      <c r="H179" s="42" t="str">
        <f>CONFERENCIAS!X179</f>
        <v/>
      </c>
      <c r="I179" s="42" t="str">
        <f>CONFERENCIAS!AA179</f>
        <v/>
      </c>
      <c r="J179" s="44" t="str">
        <f>CONFERENCIAS!P179</f>
        <v/>
      </c>
      <c r="K179" s="45" t="str">
        <f>CONFERENCIAS!R179</f>
        <v/>
      </c>
      <c r="L179" s="45">
        <f>IF(D179="",0,
 IF(E179=1,
   IF(H179="Presencial",
      VLOOKUP(D179,TARIFAS!A:K,3,FALSE) + IF(I179="Sí",VLOOKUP(D179,TARIFAS!A:K,5,FALSE),0),
      VLOOKUP(D179,TARIFAS!A:K,4,FALSE) + IF(I179="Sí",VLOOKUP(D179,TARIFAS!A:K,5,FALSE),0)
   ),
   IF(H179="Presencial",
      VLOOKUP(D179,TARIFAS!A:K,9,FALSE) + IF(I179="Sí",VLOOKUP(D179,TARIFAS!A:K,11,FALSE),0),
      VLOOKUP(D179,TARIFAS!A:K,10,FALSE) + IF(I179="Sí",VLOOKUP(D179,TARIFAS!A:K,11,FALSE),0)
   )
 )
)
</f>
        <v>0</v>
      </c>
      <c r="M179" s="45">
        <f>IF(J179="",0,MAX(0,J179 - TARIFAS!G$2) * TARIFAS!F$2)
</f>
        <v>0</v>
      </c>
      <c r="N179" s="45">
        <f>+L179*TARIFAS!$K$2</f>
        <v>0</v>
      </c>
      <c r="O179" s="45">
        <f t="shared" si="1"/>
        <v>0</v>
      </c>
      <c r="P179" s="45">
        <f>+M179+O179+K179+(+I179-(I179*TARIFAS!$K$2))</f>
        <v>0</v>
      </c>
      <c r="Q179" s="42" t="str">
        <f>CONFERENCIAS!T179</f>
        <v/>
      </c>
      <c r="R179" s="45" t="str">
        <f>CONFERENCIAS!U179</f>
        <v/>
      </c>
      <c r="S179" s="45" t="str">
        <f>CONFERENCIAS!W179</f>
        <v/>
      </c>
      <c r="T179" s="48">
        <f>IF(Q179="",0,
   IF(E179=1,
      IF(H179="Presencial",
         VLOOKUP(D179,TARIFAS!A:K,3,FALSE) + IF(I179="Sí",VLOOKUP(D179,TARIFAS!A:K,5,FALSE),0),
         VLOOKUP(D179,TARIFAS!A:K,4,FALSE) + IF(I179="Sí",VLOOKUP(D179,TARIFAS!A:K,5,FALSE),0)
      ),
      IF(H179="Presencial",
         VLOOKUP(D179,TARIFAS!A:K,9,FALSE) + IF(I179="Sí",VLOOKUP(D179,TARIFAS!A:K,11,FALSE),0),
         VLOOKUP(D179,TARIFAS!A:K,10,FALSE) + IF(I179="Sí",VLOOKUP(D179,TARIFAS!A:K,11,FALSE),0)
      )
   )
)
</f>
        <v>0</v>
      </c>
      <c r="U179" s="45">
        <f>IF(R179="",0,MAX(0,R179 - TARIFAS!G$2) * TARIFAS!F$2)
</f>
        <v>0</v>
      </c>
      <c r="V179" s="45">
        <f>+T179*TARIFAS!$K$2</f>
        <v>0</v>
      </c>
      <c r="W179" s="45">
        <f t="shared" si="2"/>
        <v>0</v>
      </c>
      <c r="X179" s="45">
        <f t="shared" si="3"/>
        <v>0</v>
      </c>
      <c r="Y179" s="45">
        <f t="shared" si="4"/>
        <v>0</v>
      </c>
      <c r="Z179" s="42" t="str">
        <f>CONFERENCIAS!AB179</f>
        <v/>
      </c>
      <c r="AA179" s="42" t="str">
        <f>CONFERENCIAS!AC179</f>
        <v/>
      </c>
      <c r="AB179" s="47" t="str">
        <f t="shared" si="5"/>
        <v/>
      </c>
      <c r="AC179" s="9" t="str">
        <f t="shared" si="6"/>
        <v/>
      </c>
    </row>
    <row r="180">
      <c r="A180" s="42" t="str">
        <f>CONFERENCIAS!A180</f>
        <v/>
      </c>
      <c r="D180" s="42" t="str">
        <f>CONFERENCIAS!C180</f>
        <v/>
      </c>
      <c r="E180" s="42" t="str">
        <f>CONFERENCIAS!K180</f>
        <v/>
      </c>
      <c r="F180" s="49" t="str">
        <f>CONFERENCIAS!J180</f>
        <v/>
      </c>
      <c r="G180" s="42" t="str">
        <f>CONFERENCIAS!O180</f>
        <v/>
      </c>
      <c r="H180" s="42" t="str">
        <f>CONFERENCIAS!X180</f>
        <v/>
      </c>
      <c r="I180" s="42" t="str">
        <f>CONFERENCIAS!AA180</f>
        <v/>
      </c>
      <c r="J180" s="44" t="str">
        <f>CONFERENCIAS!P180</f>
        <v/>
      </c>
      <c r="K180" s="45" t="str">
        <f>CONFERENCIAS!R180</f>
        <v/>
      </c>
      <c r="L180" s="45">
        <f>IF(D180="",0,
 IF(E180=1,
   IF(H180="Presencial",
      VLOOKUP(D180,TARIFAS!A:K,3,FALSE) + IF(I180="Sí",VLOOKUP(D180,TARIFAS!A:K,5,FALSE),0),
      VLOOKUP(D180,TARIFAS!A:K,4,FALSE) + IF(I180="Sí",VLOOKUP(D180,TARIFAS!A:K,5,FALSE),0)
   ),
   IF(H180="Presencial",
      VLOOKUP(D180,TARIFAS!A:K,9,FALSE) + IF(I180="Sí",VLOOKUP(D180,TARIFAS!A:K,11,FALSE),0),
      VLOOKUP(D180,TARIFAS!A:K,10,FALSE) + IF(I180="Sí",VLOOKUP(D180,TARIFAS!A:K,11,FALSE),0)
   )
 )
)
</f>
        <v>0</v>
      </c>
      <c r="M180" s="45">
        <f>IF(J180="",0,MAX(0,J180 - TARIFAS!G$2) * TARIFAS!F$2)
</f>
        <v>0</v>
      </c>
      <c r="N180" s="45">
        <f>+L180*TARIFAS!$K$2</f>
        <v>0</v>
      </c>
      <c r="O180" s="45">
        <f t="shared" si="1"/>
        <v>0</v>
      </c>
      <c r="P180" s="45">
        <f>+M180+O180+K180+(+I180-(I180*TARIFAS!$K$2))</f>
        <v>0</v>
      </c>
      <c r="Q180" s="42" t="str">
        <f>CONFERENCIAS!T180</f>
        <v/>
      </c>
      <c r="R180" s="45" t="str">
        <f>CONFERENCIAS!U180</f>
        <v/>
      </c>
      <c r="S180" s="45" t="str">
        <f>CONFERENCIAS!W180</f>
        <v/>
      </c>
      <c r="T180" s="48">
        <f>IF(Q180="",0,
   IF(E180=1,
      IF(H180="Presencial",
         VLOOKUP(D180,TARIFAS!A:K,3,FALSE) + IF(I180="Sí",VLOOKUP(D180,TARIFAS!A:K,5,FALSE),0),
         VLOOKUP(D180,TARIFAS!A:K,4,FALSE) + IF(I180="Sí",VLOOKUP(D180,TARIFAS!A:K,5,FALSE),0)
      ),
      IF(H180="Presencial",
         VLOOKUP(D180,TARIFAS!A:K,9,FALSE) + IF(I180="Sí",VLOOKUP(D180,TARIFAS!A:K,11,FALSE),0),
         VLOOKUP(D180,TARIFAS!A:K,10,FALSE) + IF(I180="Sí",VLOOKUP(D180,TARIFAS!A:K,11,FALSE),0)
      )
   )
)
</f>
        <v>0</v>
      </c>
      <c r="U180" s="45">
        <f>IF(R180="",0,MAX(0,R180 - TARIFAS!G$2) * TARIFAS!F$2)
</f>
        <v>0</v>
      </c>
      <c r="V180" s="45">
        <f>+T180*TARIFAS!$K$2</f>
        <v>0</v>
      </c>
      <c r="W180" s="45">
        <f t="shared" si="2"/>
        <v>0</v>
      </c>
      <c r="X180" s="45">
        <f t="shared" si="3"/>
        <v>0</v>
      </c>
      <c r="Y180" s="45">
        <f t="shared" si="4"/>
        <v>0</v>
      </c>
      <c r="Z180" s="42" t="str">
        <f>CONFERENCIAS!AB180</f>
        <v/>
      </c>
      <c r="AA180" s="42" t="str">
        <f>CONFERENCIAS!AC180</f>
        <v/>
      </c>
      <c r="AB180" s="47" t="str">
        <f t="shared" si="5"/>
        <v/>
      </c>
      <c r="AC180" s="9" t="str">
        <f t="shared" si="6"/>
        <v/>
      </c>
    </row>
    <row r="181">
      <c r="A181" s="42" t="str">
        <f>CONFERENCIAS!A181</f>
        <v/>
      </c>
      <c r="D181" s="42" t="str">
        <f>CONFERENCIAS!C181</f>
        <v/>
      </c>
      <c r="E181" s="42" t="str">
        <f>CONFERENCIAS!K181</f>
        <v/>
      </c>
      <c r="F181" s="49" t="str">
        <f>CONFERENCIAS!J181</f>
        <v/>
      </c>
      <c r="G181" s="42" t="str">
        <f>CONFERENCIAS!O181</f>
        <v/>
      </c>
      <c r="H181" s="42" t="str">
        <f>CONFERENCIAS!X181</f>
        <v/>
      </c>
      <c r="I181" s="42" t="str">
        <f>CONFERENCIAS!AA181</f>
        <v/>
      </c>
      <c r="J181" s="44" t="str">
        <f>CONFERENCIAS!P181</f>
        <v/>
      </c>
      <c r="K181" s="45" t="str">
        <f>CONFERENCIAS!R181</f>
        <v/>
      </c>
      <c r="L181" s="45">
        <f>IF(D181="",0,
 IF(E181=1,
   IF(H181="Presencial",
      VLOOKUP(D181,TARIFAS!A:K,3,FALSE) + IF(I181="Sí",VLOOKUP(D181,TARIFAS!A:K,5,FALSE),0),
      VLOOKUP(D181,TARIFAS!A:K,4,FALSE) + IF(I181="Sí",VLOOKUP(D181,TARIFAS!A:K,5,FALSE),0)
   ),
   IF(H181="Presencial",
      VLOOKUP(D181,TARIFAS!A:K,9,FALSE) + IF(I181="Sí",VLOOKUP(D181,TARIFAS!A:K,11,FALSE),0),
      VLOOKUP(D181,TARIFAS!A:K,10,FALSE) + IF(I181="Sí",VLOOKUP(D181,TARIFAS!A:K,11,FALSE),0)
   )
 )
)
</f>
        <v>0</v>
      </c>
      <c r="M181" s="45">
        <f>IF(J181="",0,MAX(0,J181 - TARIFAS!G$2) * TARIFAS!F$2)
</f>
        <v>0</v>
      </c>
      <c r="N181" s="45">
        <f>+L181*TARIFAS!$K$2</f>
        <v>0</v>
      </c>
      <c r="O181" s="45">
        <f t="shared" si="1"/>
        <v>0</v>
      </c>
      <c r="P181" s="45">
        <f>+M181+O181+K181+(+I181-(I181*TARIFAS!$K$2))</f>
        <v>0</v>
      </c>
      <c r="Q181" s="42" t="str">
        <f>CONFERENCIAS!T181</f>
        <v/>
      </c>
      <c r="R181" s="45" t="str">
        <f>CONFERENCIAS!U181</f>
        <v/>
      </c>
      <c r="S181" s="45" t="str">
        <f>CONFERENCIAS!W181</f>
        <v/>
      </c>
      <c r="T181" s="48">
        <f>IF(Q181="",0,
   IF(E181=1,
      IF(H181="Presencial",
         VLOOKUP(D181,TARIFAS!A:K,3,FALSE) + IF(I181="Sí",VLOOKUP(D181,TARIFAS!A:K,5,FALSE),0),
         VLOOKUP(D181,TARIFAS!A:K,4,FALSE) + IF(I181="Sí",VLOOKUP(D181,TARIFAS!A:K,5,FALSE),0)
      ),
      IF(H181="Presencial",
         VLOOKUP(D181,TARIFAS!A:K,9,FALSE) + IF(I181="Sí",VLOOKUP(D181,TARIFAS!A:K,11,FALSE),0),
         VLOOKUP(D181,TARIFAS!A:K,10,FALSE) + IF(I181="Sí",VLOOKUP(D181,TARIFAS!A:K,11,FALSE),0)
      )
   )
)
</f>
        <v>0</v>
      </c>
      <c r="U181" s="45">
        <f>IF(R181="",0,MAX(0,R181 - TARIFAS!G$2) * TARIFAS!F$2)
</f>
        <v>0</v>
      </c>
      <c r="V181" s="45">
        <f>+T181*TARIFAS!$K$2</f>
        <v>0</v>
      </c>
      <c r="W181" s="45">
        <f t="shared" si="2"/>
        <v>0</v>
      </c>
      <c r="X181" s="45">
        <f t="shared" si="3"/>
        <v>0</v>
      </c>
      <c r="Y181" s="45">
        <f t="shared" si="4"/>
        <v>0</v>
      </c>
      <c r="Z181" s="42" t="str">
        <f>CONFERENCIAS!AB181</f>
        <v/>
      </c>
      <c r="AA181" s="42" t="str">
        <f>CONFERENCIAS!AC181</f>
        <v/>
      </c>
      <c r="AB181" s="47" t="str">
        <f t="shared" si="5"/>
        <v/>
      </c>
      <c r="AC181" s="9" t="str">
        <f t="shared" si="6"/>
        <v/>
      </c>
    </row>
    <row r="182">
      <c r="A182" s="42" t="str">
        <f>CONFERENCIAS!A182</f>
        <v/>
      </c>
      <c r="D182" s="42" t="str">
        <f>CONFERENCIAS!C182</f>
        <v/>
      </c>
      <c r="E182" s="42" t="str">
        <f>CONFERENCIAS!K182</f>
        <v/>
      </c>
      <c r="F182" s="49" t="str">
        <f>CONFERENCIAS!J182</f>
        <v/>
      </c>
      <c r="G182" s="42" t="str">
        <f>CONFERENCIAS!O182</f>
        <v/>
      </c>
      <c r="H182" s="42" t="str">
        <f>CONFERENCIAS!X182</f>
        <v/>
      </c>
      <c r="I182" s="42" t="str">
        <f>CONFERENCIAS!AA182</f>
        <v/>
      </c>
      <c r="J182" s="44" t="str">
        <f>CONFERENCIAS!P182</f>
        <v/>
      </c>
      <c r="K182" s="45" t="str">
        <f>CONFERENCIAS!R182</f>
        <v/>
      </c>
      <c r="L182" s="45">
        <f>IF(D182="",0,
 IF(E182=1,
   IF(H182="Presencial",
      VLOOKUP(D182,TARIFAS!A:K,3,FALSE) + IF(I182="Sí",VLOOKUP(D182,TARIFAS!A:K,5,FALSE),0),
      VLOOKUP(D182,TARIFAS!A:K,4,FALSE) + IF(I182="Sí",VLOOKUP(D182,TARIFAS!A:K,5,FALSE),0)
   ),
   IF(H182="Presencial",
      VLOOKUP(D182,TARIFAS!A:K,9,FALSE) + IF(I182="Sí",VLOOKUP(D182,TARIFAS!A:K,11,FALSE),0),
      VLOOKUP(D182,TARIFAS!A:K,10,FALSE) + IF(I182="Sí",VLOOKUP(D182,TARIFAS!A:K,11,FALSE),0)
   )
 )
)
</f>
        <v>0</v>
      </c>
      <c r="M182" s="45">
        <f>IF(J182="",0,MAX(0,J182 - TARIFAS!G$2) * TARIFAS!F$2)
</f>
        <v>0</v>
      </c>
      <c r="N182" s="45">
        <f>+L182*TARIFAS!$K$2</f>
        <v>0</v>
      </c>
      <c r="O182" s="45">
        <f t="shared" si="1"/>
        <v>0</v>
      </c>
      <c r="P182" s="45">
        <f>+M182+O182+K182+(+I182-(I182*TARIFAS!$K$2))</f>
        <v>0</v>
      </c>
      <c r="Q182" s="42" t="str">
        <f>CONFERENCIAS!T182</f>
        <v/>
      </c>
      <c r="R182" s="45" t="str">
        <f>CONFERENCIAS!U182</f>
        <v/>
      </c>
      <c r="S182" s="45" t="str">
        <f>CONFERENCIAS!W182</f>
        <v/>
      </c>
      <c r="T182" s="48">
        <f>IF(Q182="",0,
   IF(E182=1,
      IF(H182="Presencial",
         VLOOKUP(D182,TARIFAS!A:K,3,FALSE) + IF(I182="Sí",VLOOKUP(D182,TARIFAS!A:K,5,FALSE),0),
         VLOOKUP(D182,TARIFAS!A:K,4,FALSE) + IF(I182="Sí",VLOOKUP(D182,TARIFAS!A:K,5,FALSE),0)
      ),
      IF(H182="Presencial",
         VLOOKUP(D182,TARIFAS!A:K,9,FALSE) + IF(I182="Sí",VLOOKUP(D182,TARIFAS!A:K,11,FALSE),0),
         VLOOKUP(D182,TARIFAS!A:K,10,FALSE) + IF(I182="Sí",VLOOKUP(D182,TARIFAS!A:K,11,FALSE),0)
      )
   )
)
</f>
        <v>0</v>
      </c>
      <c r="U182" s="45">
        <f>IF(R182="",0,MAX(0,R182 - TARIFAS!G$2) * TARIFAS!F$2)
</f>
        <v>0</v>
      </c>
      <c r="V182" s="45">
        <f>+T182*TARIFAS!$K$2</f>
        <v>0</v>
      </c>
      <c r="W182" s="45">
        <f t="shared" si="2"/>
        <v>0</v>
      </c>
      <c r="X182" s="45">
        <f t="shared" si="3"/>
        <v>0</v>
      </c>
      <c r="Y182" s="45">
        <f t="shared" si="4"/>
        <v>0</v>
      </c>
      <c r="Z182" s="42" t="str">
        <f>CONFERENCIAS!AB182</f>
        <v/>
      </c>
      <c r="AA182" s="42" t="str">
        <f>CONFERENCIAS!AC182</f>
        <v/>
      </c>
      <c r="AB182" s="47" t="str">
        <f t="shared" si="5"/>
        <v/>
      </c>
      <c r="AC182" s="9" t="str">
        <f t="shared" si="6"/>
        <v/>
      </c>
    </row>
    <row r="183">
      <c r="A183" s="42" t="str">
        <f>CONFERENCIAS!A183</f>
        <v/>
      </c>
      <c r="D183" s="42" t="str">
        <f>CONFERENCIAS!C183</f>
        <v/>
      </c>
      <c r="E183" s="42" t="str">
        <f>CONFERENCIAS!K183</f>
        <v/>
      </c>
      <c r="F183" s="49" t="str">
        <f>CONFERENCIAS!J183</f>
        <v/>
      </c>
      <c r="G183" s="42" t="str">
        <f>CONFERENCIAS!O183</f>
        <v/>
      </c>
      <c r="H183" s="42" t="str">
        <f>CONFERENCIAS!X183</f>
        <v/>
      </c>
      <c r="I183" s="42" t="str">
        <f>CONFERENCIAS!AA183</f>
        <v/>
      </c>
      <c r="J183" s="44" t="str">
        <f>CONFERENCIAS!P183</f>
        <v/>
      </c>
      <c r="K183" s="45" t="str">
        <f>CONFERENCIAS!R183</f>
        <v/>
      </c>
      <c r="L183" s="45">
        <f>IF(D183="",0,
 IF(E183=1,
   IF(H183="Presencial",
      VLOOKUP(D183,TARIFAS!A:K,3,FALSE) + IF(I183="Sí",VLOOKUP(D183,TARIFAS!A:K,5,FALSE),0),
      VLOOKUP(D183,TARIFAS!A:K,4,FALSE) + IF(I183="Sí",VLOOKUP(D183,TARIFAS!A:K,5,FALSE),0)
   ),
   IF(H183="Presencial",
      VLOOKUP(D183,TARIFAS!A:K,9,FALSE) + IF(I183="Sí",VLOOKUP(D183,TARIFAS!A:K,11,FALSE),0),
      VLOOKUP(D183,TARIFAS!A:K,10,FALSE) + IF(I183="Sí",VLOOKUP(D183,TARIFAS!A:K,11,FALSE),0)
   )
 )
)
</f>
        <v>0</v>
      </c>
      <c r="M183" s="45">
        <f>IF(J183="",0,MAX(0,J183 - TARIFAS!G$2) * TARIFAS!F$2)
</f>
        <v>0</v>
      </c>
      <c r="N183" s="45">
        <f>+L183*TARIFAS!$K$2</f>
        <v>0</v>
      </c>
      <c r="O183" s="45">
        <f t="shared" si="1"/>
        <v>0</v>
      </c>
      <c r="P183" s="45">
        <f>+M183+O183+K183+(+I183-(I183*TARIFAS!$K$2))</f>
        <v>0</v>
      </c>
      <c r="Q183" s="42" t="str">
        <f>CONFERENCIAS!T183</f>
        <v/>
      </c>
      <c r="R183" s="45" t="str">
        <f>CONFERENCIAS!U183</f>
        <v/>
      </c>
      <c r="S183" s="45" t="str">
        <f>CONFERENCIAS!W183</f>
        <v/>
      </c>
      <c r="T183" s="48">
        <f>IF(Q183="",0,
   IF(E183=1,
      IF(H183="Presencial",
         VLOOKUP(D183,TARIFAS!A:K,3,FALSE) + IF(I183="Sí",VLOOKUP(D183,TARIFAS!A:K,5,FALSE),0),
         VLOOKUP(D183,TARIFAS!A:K,4,FALSE) + IF(I183="Sí",VLOOKUP(D183,TARIFAS!A:K,5,FALSE),0)
      ),
      IF(H183="Presencial",
         VLOOKUP(D183,TARIFAS!A:K,9,FALSE) + IF(I183="Sí",VLOOKUP(D183,TARIFAS!A:K,11,FALSE),0),
         VLOOKUP(D183,TARIFAS!A:K,10,FALSE) + IF(I183="Sí",VLOOKUP(D183,TARIFAS!A:K,11,FALSE),0)
      )
   )
)
</f>
        <v>0</v>
      </c>
      <c r="U183" s="45">
        <f>IF(R183="",0,MAX(0,R183 - TARIFAS!G$2) * TARIFAS!F$2)
</f>
        <v>0</v>
      </c>
      <c r="V183" s="45">
        <f>+T183*TARIFAS!$K$2</f>
        <v>0</v>
      </c>
      <c r="W183" s="45">
        <f t="shared" si="2"/>
        <v>0</v>
      </c>
      <c r="X183" s="45">
        <f t="shared" si="3"/>
        <v>0</v>
      </c>
      <c r="Y183" s="45">
        <f t="shared" si="4"/>
        <v>0</v>
      </c>
      <c r="Z183" s="42" t="str">
        <f>CONFERENCIAS!AB183</f>
        <v/>
      </c>
      <c r="AA183" s="42" t="str">
        <f>CONFERENCIAS!AC183</f>
        <v/>
      </c>
      <c r="AB183" s="47" t="str">
        <f t="shared" si="5"/>
        <v/>
      </c>
      <c r="AC183" s="9" t="str">
        <f t="shared" si="6"/>
        <v/>
      </c>
    </row>
    <row r="184">
      <c r="A184" s="42" t="str">
        <f>CONFERENCIAS!A184</f>
        <v/>
      </c>
      <c r="D184" s="42" t="str">
        <f>CONFERENCIAS!C184</f>
        <v/>
      </c>
      <c r="E184" s="42" t="str">
        <f>CONFERENCIAS!K184</f>
        <v/>
      </c>
      <c r="F184" s="49" t="str">
        <f>CONFERENCIAS!J184</f>
        <v/>
      </c>
      <c r="G184" s="42" t="str">
        <f>CONFERENCIAS!O184</f>
        <v/>
      </c>
      <c r="H184" s="42" t="str">
        <f>CONFERENCIAS!X184</f>
        <v/>
      </c>
      <c r="I184" s="42" t="str">
        <f>CONFERENCIAS!AA184</f>
        <v/>
      </c>
      <c r="J184" s="44" t="str">
        <f>CONFERENCIAS!P184</f>
        <v/>
      </c>
      <c r="K184" s="45" t="str">
        <f>CONFERENCIAS!R184</f>
        <v/>
      </c>
      <c r="L184" s="45">
        <f>IF(D184="",0,
 IF(E184=1,
   IF(H184="Presencial",
      VLOOKUP(D184,TARIFAS!A:K,3,FALSE) + IF(I184="Sí",VLOOKUP(D184,TARIFAS!A:K,5,FALSE),0),
      VLOOKUP(D184,TARIFAS!A:K,4,FALSE) + IF(I184="Sí",VLOOKUP(D184,TARIFAS!A:K,5,FALSE),0)
   ),
   IF(H184="Presencial",
      VLOOKUP(D184,TARIFAS!A:K,9,FALSE) + IF(I184="Sí",VLOOKUP(D184,TARIFAS!A:K,11,FALSE),0),
      VLOOKUP(D184,TARIFAS!A:K,10,FALSE) + IF(I184="Sí",VLOOKUP(D184,TARIFAS!A:K,11,FALSE),0)
   )
 )
)
</f>
        <v>0</v>
      </c>
      <c r="M184" s="45">
        <f>IF(J184="",0,MAX(0,J184 - TARIFAS!G$2) * TARIFAS!F$2)
</f>
        <v>0</v>
      </c>
      <c r="N184" s="45">
        <f>+L184*TARIFAS!$K$2</f>
        <v>0</v>
      </c>
      <c r="O184" s="45">
        <f t="shared" si="1"/>
        <v>0</v>
      </c>
      <c r="P184" s="45">
        <f>+M184+O184+K184+(+I184-(I184*TARIFAS!$K$2))</f>
        <v>0</v>
      </c>
      <c r="Q184" s="42" t="str">
        <f>CONFERENCIAS!T184</f>
        <v/>
      </c>
      <c r="R184" s="45" t="str">
        <f>CONFERENCIAS!U184</f>
        <v/>
      </c>
      <c r="S184" s="45" t="str">
        <f>CONFERENCIAS!W184</f>
        <v/>
      </c>
      <c r="T184" s="48">
        <f>IF(Q184="",0,
   IF(E184=1,
      IF(H184="Presencial",
         VLOOKUP(D184,TARIFAS!A:K,3,FALSE) + IF(I184="Sí",VLOOKUP(D184,TARIFAS!A:K,5,FALSE),0),
         VLOOKUP(D184,TARIFAS!A:K,4,FALSE) + IF(I184="Sí",VLOOKUP(D184,TARIFAS!A:K,5,FALSE),0)
      ),
      IF(H184="Presencial",
         VLOOKUP(D184,TARIFAS!A:K,9,FALSE) + IF(I184="Sí",VLOOKUP(D184,TARIFAS!A:K,11,FALSE),0),
         VLOOKUP(D184,TARIFAS!A:K,10,FALSE) + IF(I184="Sí",VLOOKUP(D184,TARIFAS!A:K,11,FALSE),0)
      )
   )
)
</f>
        <v>0</v>
      </c>
      <c r="U184" s="45">
        <f>IF(R184="",0,MAX(0,R184 - TARIFAS!G$2) * TARIFAS!F$2)
</f>
        <v>0</v>
      </c>
      <c r="V184" s="45">
        <f>+T184*TARIFAS!$K$2</f>
        <v>0</v>
      </c>
      <c r="W184" s="45">
        <f t="shared" si="2"/>
        <v>0</v>
      </c>
      <c r="X184" s="45">
        <f t="shared" si="3"/>
        <v>0</v>
      </c>
      <c r="Y184" s="45">
        <f t="shared" si="4"/>
        <v>0</v>
      </c>
      <c r="Z184" s="42" t="str">
        <f>CONFERENCIAS!AB184</f>
        <v/>
      </c>
      <c r="AA184" s="42" t="str">
        <f>CONFERENCIAS!AC184</f>
        <v/>
      </c>
      <c r="AB184" s="47" t="str">
        <f t="shared" si="5"/>
        <v/>
      </c>
      <c r="AC184" s="9" t="str">
        <f t="shared" si="6"/>
        <v/>
      </c>
    </row>
    <row r="185">
      <c r="A185" s="42" t="str">
        <f>CONFERENCIAS!A185</f>
        <v/>
      </c>
      <c r="D185" s="42" t="str">
        <f>CONFERENCIAS!C185</f>
        <v/>
      </c>
      <c r="E185" s="42" t="str">
        <f>CONFERENCIAS!K185</f>
        <v/>
      </c>
      <c r="F185" s="49" t="str">
        <f>CONFERENCIAS!J185</f>
        <v/>
      </c>
      <c r="G185" s="42" t="str">
        <f>CONFERENCIAS!O185</f>
        <v/>
      </c>
      <c r="H185" s="42" t="str">
        <f>CONFERENCIAS!X185</f>
        <v/>
      </c>
      <c r="I185" s="42" t="str">
        <f>CONFERENCIAS!AA185</f>
        <v/>
      </c>
      <c r="J185" s="44" t="str">
        <f>CONFERENCIAS!P185</f>
        <v/>
      </c>
      <c r="K185" s="45" t="str">
        <f>CONFERENCIAS!R185</f>
        <v/>
      </c>
      <c r="L185" s="45">
        <f>IF(D185="",0,
 IF(E185=1,
   IF(H185="Presencial",
      VLOOKUP(D185,TARIFAS!A:K,3,FALSE) + IF(I185="Sí",VLOOKUP(D185,TARIFAS!A:K,5,FALSE),0),
      VLOOKUP(D185,TARIFAS!A:K,4,FALSE) + IF(I185="Sí",VLOOKUP(D185,TARIFAS!A:K,5,FALSE),0)
   ),
   IF(H185="Presencial",
      VLOOKUP(D185,TARIFAS!A:K,9,FALSE) + IF(I185="Sí",VLOOKUP(D185,TARIFAS!A:K,11,FALSE),0),
      VLOOKUP(D185,TARIFAS!A:K,10,FALSE) + IF(I185="Sí",VLOOKUP(D185,TARIFAS!A:K,11,FALSE),0)
   )
 )
)
</f>
        <v>0</v>
      </c>
      <c r="M185" s="45">
        <f>IF(J185="",0,MAX(0,J185 - TARIFAS!G$2) * TARIFAS!F$2)
</f>
        <v>0</v>
      </c>
      <c r="N185" s="45">
        <f>+L185*TARIFAS!$K$2</f>
        <v>0</v>
      </c>
      <c r="O185" s="45">
        <f t="shared" si="1"/>
        <v>0</v>
      </c>
      <c r="P185" s="45">
        <f>+M185+O185+K185+(+I185-(I185*TARIFAS!$K$2))</f>
        <v>0</v>
      </c>
      <c r="Q185" s="42" t="str">
        <f>CONFERENCIAS!T185</f>
        <v/>
      </c>
      <c r="R185" s="45" t="str">
        <f>CONFERENCIAS!U185</f>
        <v/>
      </c>
      <c r="S185" s="45" t="str">
        <f>CONFERENCIAS!W185</f>
        <v/>
      </c>
      <c r="T185" s="48">
        <f>IF(Q185="",0,
   IF(E185=1,
      IF(H185="Presencial",
         VLOOKUP(D185,TARIFAS!A:K,3,FALSE) + IF(I185="Sí",VLOOKUP(D185,TARIFAS!A:K,5,FALSE),0),
         VLOOKUP(D185,TARIFAS!A:K,4,FALSE) + IF(I185="Sí",VLOOKUP(D185,TARIFAS!A:K,5,FALSE),0)
      ),
      IF(H185="Presencial",
         VLOOKUP(D185,TARIFAS!A:K,9,FALSE) + IF(I185="Sí",VLOOKUP(D185,TARIFAS!A:K,11,FALSE),0),
         VLOOKUP(D185,TARIFAS!A:K,10,FALSE) + IF(I185="Sí",VLOOKUP(D185,TARIFAS!A:K,11,FALSE),0)
      )
   )
)
</f>
        <v>0</v>
      </c>
      <c r="U185" s="45">
        <f>IF(R185="",0,MAX(0,R185 - TARIFAS!G$2) * TARIFAS!F$2)
</f>
        <v>0</v>
      </c>
      <c r="V185" s="45">
        <f>+T185*TARIFAS!$K$2</f>
        <v>0</v>
      </c>
      <c r="W185" s="45">
        <f t="shared" si="2"/>
        <v>0</v>
      </c>
      <c r="X185" s="45">
        <f t="shared" si="3"/>
        <v>0</v>
      </c>
      <c r="Y185" s="45">
        <f t="shared" si="4"/>
        <v>0</v>
      </c>
      <c r="Z185" s="42" t="str">
        <f>CONFERENCIAS!AB185</f>
        <v/>
      </c>
      <c r="AA185" s="42" t="str">
        <f>CONFERENCIAS!AC185</f>
        <v/>
      </c>
      <c r="AB185" s="47" t="str">
        <f t="shared" si="5"/>
        <v/>
      </c>
      <c r="AC185" s="9" t="str">
        <f t="shared" si="6"/>
        <v/>
      </c>
    </row>
    <row r="186">
      <c r="A186" s="42" t="str">
        <f>CONFERENCIAS!A186</f>
        <v/>
      </c>
      <c r="D186" s="42" t="str">
        <f>CONFERENCIAS!C186</f>
        <v/>
      </c>
      <c r="E186" s="42" t="str">
        <f>CONFERENCIAS!K186</f>
        <v/>
      </c>
      <c r="F186" s="49" t="str">
        <f>CONFERENCIAS!J186</f>
        <v/>
      </c>
      <c r="G186" s="42" t="str">
        <f>CONFERENCIAS!O186</f>
        <v/>
      </c>
      <c r="H186" s="42" t="str">
        <f>CONFERENCIAS!X186</f>
        <v/>
      </c>
      <c r="I186" s="42" t="str">
        <f>CONFERENCIAS!AA186</f>
        <v/>
      </c>
      <c r="J186" s="44" t="str">
        <f>CONFERENCIAS!P186</f>
        <v/>
      </c>
      <c r="K186" s="45" t="str">
        <f>CONFERENCIAS!R186</f>
        <v/>
      </c>
      <c r="L186" s="45">
        <f>IF(D186="",0,
 IF(E186=1,
   IF(H186="Presencial",
      VLOOKUP(D186,TARIFAS!A:K,3,FALSE) + IF(I186="Sí",VLOOKUP(D186,TARIFAS!A:K,5,FALSE),0),
      VLOOKUP(D186,TARIFAS!A:K,4,FALSE) + IF(I186="Sí",VLOOKUP(D186,TARIFAS!A:K,5,FALSE),0)
   ),
   IF(H186="Presencial",
      VLOOKUP(D186,TARIFAS!A:K,9,FALSE) + IF(I186="Sí",VLOOKUP(D186,TARIFAS!A:K,11,FALSE),0),
      VLOOKUP(D186,TARIFAS!A:K,10,FALSE) + IF(I186="Sí",VLOOKUP(D186,TARIFAS!A:K,11,FALSE),0)
   )
 )
)
</f>
        <v>0</v>
      </c>
      <c r="M186" s="45">
        <f>IF(J186="",0,MAX(0,J186 - TARIFAS!G$2) * TARIFAS!F$2)
</f>
        <v>0</v>
      </c>
      <c r="N186" s="45">
        <f>+L186*TARIFAS!$K$2</f>
        <v>0</v>
      </c>
      <c r="O186" s="45">
        <f t="shared" si="1"/>
        <v>0</v>
      </c>
      <c r="P186" s="45">
        <f>+M186+O186+K186+(+I186-(I186*TARIFAS!$K$2))</f>
        <v>0</v>
      </c>
      <c r="Q186" s="42" t="str">
        <f>CONFERENCIAS!T186</f>
        <v/>
      </c>
      <c r="R186" s="45" t="str">
        <f>CONFERENCIAS!U186</f>
        <v/>
      </c>
      <c r="S186" s="45" t="str">
        <f>CONFERENCIAS!W186</f>
        <v/>
      </c>
      <c r="T186" s="48">
        <f>IF(Q186="",0,
   IF(E186=1,
      IF(H186="Presencial",
         VLOOKUP(D186,TARIFAS!A:K,3,FALSE) + IF(I186="Sí",VLOOKUP(D186,TARIFAS!A:K,5,FALSE),0),
         VLOOKUP(D186,TARIFAS!A:K,4,FALSE) + IF(I186="Sí",VLOOKUP(D186,TARIFAS!A:K,5,FALSE),0)
      ),
      IF(H186="Presencial",
         VLOOKUP(D186,TARIFAS!A:K,9,FALSE) + IF(I186="Sí",VLOOKUP(D186,TARIFAS!A:K,11,FALSE),0),
         VLOOKUP(D186,TARIFAS!A:K,10,FALSE) + IF(I186="Sí",VLOOKUP(D186,TARIFAS!A:K,11,FALSE),0)
      )
   )
)
</f>
        <v>0</v>
      </c>
      <c r="U186" s="45">
        <f>IF(R186="",0,MAX(0,R186 - TARIFAS!G$2) * TARIFAS!F$2)
</f>
        <v>0</v>
      </c>
      <c r="V186" s="45">
        <f>+T186*TARIFAS!$K$2</f>
        <v>0</v>
      </c>
      <c r="W186" s="45">
        <f t="shared" si="2"/>
        <v>0</v>
      </c>
      <c r="X186" s="45">
        <f t="shared" si="3"/>
        <v>0</v>
      </c>
      <c r="Y186" s="45">
        <f t="shared" si="4"/>
        <v>0</v>
      </c>
      <c r="Z186" s="42" t="str">
        <f>CONFERENCIAS!AB186</f>
        <v/>
      </c>
      <c r="AA186" s="42" t="str">
        <f>CONFERENCIAS!AC186</f>
        <v/>
      </c>
      <c r="AB186" s="47" t="str">
        <f t="shared" si="5"/>
        <v/>
      </c>
      <c r="AC186" s="9" t="str">
        <f t="shared" si="6"/>
        <v/>
      </c>
    </row>
    <row r="187">
      <c r="A187" s="42" t="str">
        <f>CONFERENCIAS!A187</f>
        <v/>
      </c>
      <c r="D187" s="42" t="str">
        <f>CONFERENCIAS!C187</f>
        <v/>
      </c>
      <c r="E187" s="42" t="str">
        <f>CONFERENCIAS!K187</f>
        <v/>
      </c>
      <c r="F187" s="49" t="str">
        <f>CONFERENCIAS!J187</f>
        <v/>
      </c>
      <c r="G187" s="42" t="str">
        <f>CONFERENCIAS!O187</f>
        <v/>
      </c>
      <c r="H187" s="42" t="str">
        <f>CONFERENCIAS!X187</f>
        <v/>
      </c>
      <c r="I187" s="42" t="str">
        <f>CONFERENCIAS!AA187</f>
        <v/>
      </c>
      <c r="J187" s="44" t="str">
        <f>CONFERENCIAS!P187</f>
        <v/>
      </c>
      <c r="K187" s="45" t="str">
        <f>CONFERENCIAS!R187</f>
        <v/>
      </c>
      <c r="L187" s="45">
        <f>IF(D187="",0,
 IF(E187=1,
   IF(H187="Presencial",
      VLOOKUP(D187,TARIFAS!A:K,3,FALSE) + IF(I187="Sí",VLOOKUP(D187,TARIFAS!A:K,5,FALSE),0),
      VLOOKUP(D187,TARIFAS!A:K,4,FALSE) + IF(I187="Sí",VLOOKUP(D187,TARIFAS!A:K,5,FALSE),0)
   ),
   IF(H187="Presencial",
      VLOOKUP(D187,TARIFAS!A:K,9,FALSE) + IF(I187="Sí",VLOOKUP(D187,TARIFAS!A:K,11,FALSE),0),
      VLOOKUP(D187,TARIFAS!A:K,10,FALSE) + IF(I187="Sí",VLOOKUP(D187,TARIFAS!A:K,11,FALSE),0)
   )
 )
)
</f>
        <v>0</v>
      </c>
      <c r="M187" s="45">
        <f>IF(J187="",0,MAX(0,J187 - TARIFAS!G$2) * TARIFAS!F$2)
</f>
        <v>0</v>
      </c>
      <c r="N187" s="45">
        <f>+L187*TARIFAS!$K$2</f>
        <v>0</v>
      </c>
      <c r="O187" s="45">
        <f t="shared" si="1"/>
        <v>0</v>
      </c>
      <c r="P187" s="45">
        <f>+M187+O187+K187+(+I187-(I187*TARIFAS!$K$2))</f>
        <v>0</v>
      </c>
      <c r="Q187" s="42" t="str">
        <f>CONFERENCIAS!T187</f>
        <v/>
      </c>
      <c r="R187" s="45" t="str">
        <f>CONFERENCIAS!U187</f>
        <v/>
      </c>
      <c r="S187" s="45" t="str">
        <f>CONFERENCIAS!W187</f>
        <v/>
      </c>
      <c r="T187" s="48">
        <f>IF(Q187="",0,
   IF(E187=1,
      IF(H187="Presencial",
         VLOOKUP(D187,TARIFAS!A:K,3,FALSE) + IF(I187="Sí",VLOOKUP(D187,TARIFAS!A:K,5,FALSE),0),
         VLOOKUP(D187,TARIFAS!A:K,4,FALSE) + IF(I187="Sí",VLOOKUP(D187,TARIFAS!A:K,5,FALSE),0)
      ),
      IF(H187="Presencial",
         VLOOKUP(D187,TARIFAS!A:K,9,FALSE) + IF(I187="Sí",VLOOKUP(D187,TARIFAS!A:K,11,FALSE),0),
         VLOOKUP(D187,TARIFAS!A:K,10,FALSE) + IF(I187="Sí",VLOOKUP(D187,TARIFAS!A:K,11,FALSE),0)
      )
   )
)
</f>
        <v>0</v>
      </c>
      <c r="U187" s="45">
        <f>IF(R187="",0,MAX(0,R187 - TARIFAS!G$2) * TARIFAS!F$2)
</f>
        <v>0</v>
      </c>
      <c r="V187" s="45">
        <f>+T187*TARIFAS!$K$2</f>
        <v>0</v>
      </c>
      <c r="W187" s="45">
        <f t="shared" si="2"/>
        <v>0</v>
      </c>
      <c r="X187" s="45">
        <f t="shared" si="3"/>
        <v>0</v>
      </c>
      <c r="Y187" s="45">
        <f t="shared" si="4"/>
        <v>0</v>
      </c>
      <c r="Z187" s="42" t="str">
        <f>CONFERENCIAS!AB187</f>
        <v/>
      </c>
      <c r="AA187" s="42" t="str">
        <f>CONFERENCIAS!AC187</f>
        <v/>
      </c>
      <c r="AB187" s="47" t="str">
        <f t="shared" si="5"/>
        <v/>
      </c>
      <c r="AC187" s="9" t="str">
        <f t="shared" si="6"/>
        <v/>
      </c>
    </row>
    <row r="188">
      <c r="A188" s="42" t="str">
        <f>CONFERENCIAS!A188</f>
        <v/>
      </c>
      <c r="D188" s="42" t="str">
        <f>CONFERENCIAS!C188</f>
        <v/>
      </c>
      <c r="E188" s="42" t="str">
        <f>CONFERENCIAS!K188</f>
        <v/>
      </c>
      <c r="F188" s="49" t="str">
        <f>CONFERENCIAS!J188</f>
        <v/>
      </c>
      <c r="G188" s="42" t="str">
        <f>CONFERENCIAS!O188</f>
        <v/>
      </c>
      <c r="H188" s="42" t="str">
        <f>CONFERENCIAS!X188</f>
        <v/>
      </c>
      <c r="I188" s="42" t="str">
        <f>CONFERENCIAS!AA188</f>
        <v/>
      </c>
      <c r="J188" s="44" t="str">
        <f>CONFERENCIAS!P188</f>
        <v/>
      </c>
      <c r="K188" s="45" t="str">
        <f>CONFERENCIAS!R188</f>
        <v/>
      </c>
      <c r="L188" s="45">
        <f>IF(D188="",0,
 IF(E188=1,
   IF(H188="Presencial",
      VLOOKUP(D188,TARIFAS!A:K,3,FALSE) + IF(I188="Sí",VLOOKUP(D188,TARIFAS!A:K,5,FALSE),0),
      VLOOKUP(D188,TARIFAS!A:K,4,FALSE) + IF(I188="Sí",VLOOKUP(D188,TARIFAS!A:K,5,FALSE),0)
   ),
   IF(H188="Presencial",
      VLOOKUP(D188,TARIFAS!A:K,9,FALSE) + IF(I188="Sí",VLOOKUP(D188,TARIFAS!A:K,11,FALSE),0),
      VLOOKUP(D188,TARIFAS!A:K,10,FALSE) + IF(I188="Sí",VLOOKUP(D188,TARIFAS!A:K,11,FALSE),0)
   )
 )
)
</f>
        <v>0</v>
      </c>
      <c r="M188" s="45">
        <f>IF(J188="",0,MAX(0,J188 - TARIFAS!G$2) * TARIFAS!F$2)
</f>
        <v>0</v>
      </c>
      <c r="N188" s="45">
        <f>+L188*TARIFAS!$K$2</f>
        <v>0</v>
      </c>
      <c r="O188" s="45">
        <f t="shared" si="1"/>
        <v>0</v>
      </c>
      <c r="P188" s="45">
        <f>+M188+O188+K188+(+I188-(I188*TARIFAS!$K$2))</f>
        <v>0</v>
      </c>
      <c r="Q188" s="42" t="str">
        <f>CONFERENCIAS!T188</f>
        <v/>
      </c>
      <c r="R188" s="45" t="str">
        <f>CONFERENCIAS!U188</f>
        <v/>
      </c>
      <c r="S188" s="45" t="str">
        <f>CONFERENCIAS!W188</f>
        <v/>
      </c>
      <c r="T188" s="48">
        <f>IF(Q188="",0,
   IF(E188=1,
      IF(H188="Presencial",
         VLOOKUP(D188,TARIFAS!A:K,3,FALSE) + IF(I188="Sí",VLOOKUP(D188,TARIFAS!A:K,5,FALSE),0),
         VLOOKUP(D188,TARIFAS!A:K,4,FALSE) + IF(I188="Sí",VLOOKUP(D188,TARIFAS!A:K,5,FALSE),0)
      ),
      IF(H188="Presencial",
         VLOOKUP(D188,TARIFAS!A:K,9,FALSE) + IF(I188="Sí",VLOOKUP(D188,TARIFAS!A:K,11,FALSE),0),
         VLOOKUP(D188,TARIFAS!A:K,10,FALSE) + IF(I188="Sí",VLOOKUP(D188,TARIFAS!A:K,11,FALSE),0)
      )
   )
)
</f>
        <v>0</v>
      </c>
      <c r="U188" s="45">
        <f>IF(R188="",0,MAX(0,R188 - TARIFAS!G$2) * TARIFAS!F$2)
</f>
        <v>0</v>
      </c>
      <c r="V188" s="45">
        <f>+T188*TARIFAS!$K$2</f>
        <v>0</v>
      </c>
      <c r="W188" s="45">
        <f t="shared" si="2"/>
        <v>0</v>
      </c>
      <c r="X188" s="45">
        <f t="shared" si="3"/>
        <v>0</v>
      </c>
      <c r="Y188" s="45">
        <f t="shared" si="4"/>
        <v>0</v>
      </c>
      <c r="Z188" s="42" t="str">
        <f>CONFERENCIAS!AB188</f>
        <v/>
      </c>
      <c r="AA188" s="42" t="str">
        <f>CONFERENCIAS!AC188</f>
        <v/>
      </c>
      <c r="AB188" s="47" t="str">
        <f t="shared" si="5"/>
        <v/>
      </c>
      <c r="AC188" s="9" t="str">
        <f t="shared" si="6"/>
        <v/>
      </c>
    </row>
    <row r="189">
      <c r="A189" s="42" t="str">
        <f>CONFERENCIAS!A189</f>
        <v/>
      </c>
      <c r="D189" s="42" t="str">
        <f>CONFERENCIAS!C189</f>
        <v/>
      </c>
      <c r="E189" s="42" t="str">
        <f>CONFERENCIAS!K189</f>
        <v/>
      </c>
      <c r="F189" s="49" t="str">
        <f>CONFERENCIAS!J189</f>
        <v/>
      </c>
      <c r="G189" s="42" t="str">
        <f>CONFERENCIAS!O189</f>
        <v/>
      </c>
      <c r="H189" s="42" t="str">
        <f>CONFERENCIAS!X189</f>
        <v/>
      </c>
      <c r="I189" s="42" t="str">
        <f>CONFERENCIAS!AA189</f>
        <v/>
      </c>
      <c r="J189" s="44" t="str">
        <f>CONFERENCIAS!P189</f>
        <v/>
      </c>
      <c r="K189" s="45" t="str">
        <f>CONFERENCIAS!R189</f>
        <v/>
      </c>
      <c r="L189" s="45">
        <f>IF(D189="",0,
 IF(E189=1,
   IF(H189="Presencial",
      VLOOKUP(D189,TARIFAS!A:K,3,FALSE) + IF(I189="Sí",VLOOKUP(D189,TARIFAS!A:K,5,FALSE),0),
      VLOOKUP(D189,TARIFAS!A:K,4,FALSE) + IF(I189="Sí",VLOOKUP(D189,TARIFAS!A:K,5,FALSE),0)
   ),
   IF(H189="Presencial",
      VLOOKUP(D189,TARIFAS!A:K,9,FALSE) + IF(I189="Sí",VLOOKUP(D189,TARIFAS!A:K,11,FALSE),0),
      VLOOKUP(D189,TARIFAS!A:K,10,FALSE) + IF(I189="Sí",VLOOKUP(D189,TARIFAS!A:K,11,FALSE),0)
   )
 )
)
</f>
        <v>0</v>
      </c>
      <c r="M189" s="45">
        <f>IF(J189="",0,MAX(0,J189 - TARIFAS!G$2) * TARIFAS!F$2)
</f>
        <v>0</v>
      </c>
      <c r="N189" s="45">
        <f>+L189*TARIFAS!$K$2</f>
        <v>0</v>
      </c>
      <c r="O189" s="45">
        <f t="shared" si="1"/>
        <v>0</v>
      </c>
      <c r="P189" s="45">
        <f>+M189+O189+K189+(+I189-(I189*TARIFAS!$K$2))</f>
        <v>0</v>
      </c>
      <c r="Q189" s="42" t="str">
        <f>CONFERENCIAS!T189</f>
        <v/>
      </c>
      <c r="R189" s="45" t="str">
        <f>CONFERENCIAS!U189</f>
        <v/>
      </c>
      <c r="S189" s="45" t="str">
        <f>CONFERENCIAS!W189</f>
        <v/>
      </c>
      <c r="T189" s="48">
        <f>IF(Q189="",0,
   IF(E189=1,
      IF(H189="Presencial",
         VLOOKUP(D189,TARIFAS!A:K,3,FALSE) + IF(I189="Sí",VLOOKUP(D189,TARIFAS!A:K,5,FALSE),0),
         VLOOKUP(D189,TARIFAS!A:K,4,FALSE) + IF(I189="Sí",VLOOKUP(D189,TARIFAS!A:K,5,FALSE),0)
      ),
      IF(H189="Presencial",
         VLOOKUP(D189,TARIFAS!A:K,9,FALSE) + IF(I189="Sí",VLOOKUP(D189,TARIFAS!A:K,11,FALSE),0),
         VLOOKUP(D189,TARIFAS!A:K,10,FALSE) + IF(I189="Sí",VLOOKUP(D189,TARIFAS!A:K,11,FALSE),0)
      )
   )
)
</f>
        <v>0</v>
      </c>
      <c r="U189" s="45">
        <f>IF(R189="",0,MAX(0,R189 - TARIFAS!G$2) * TARIFAS!F$2)
</f>
        <v>0</v>
      </c>
      <c r="V189" s="45">
        <f>+T189*TARIFAS!$K$2</f>
        <v>0</v>
      </c>
      <c r="W189" s="45">
        <f t="shared" si="2"/>
        <v>0</v>
      </c>
      <c r="X189" s="45">
        <f t="shared" si="3"/>
        <v>0</v>
      </c>
      <c r="Y189" s="45">
        <f t="shared" si="4"/>
        <v>0</v>
      </c>
      <c r="Z189" s="42" t="str">
        <f>CONFERENCIAS!AB189</f>
        <v/>
      </c>
      <c r="AA189" s="42" t="str">
        <f>CONFERENCIAS!AC189</f>
        <v/>
      </c>
      <c r="AB189" s="47" t="str">
        <f t="shared" si="5"/>
        <v/>
      </c>
      <c r="AC189" s="9" t="str">
        <f t="shared" si="6"/>
        <v/>
      </c>
    </row>
    <row r="190">
      <c r="A190" s="42" t="str">
        <f>CONFERENCIAS!A190</f>
        <v/>
      </c>
      <c r="D190" s="42" t="str">
        <f>CONFERENCIAS!C190</f>
        <v/>
      </c>
      <c r="E190" s="42" t="str">
        <f>CONFERENCIAS!K190</f>
        <v/>
      </c>
      <c r="F190" s="49" t="str">
        <f>CONFERENCIAS!J190</f>
        <v/>
      </c>
      <c r="G190" s="42" t="str">
        <f>CONFERENCIAS!O190</f>
        <v/>
      </c>
      <c r="H190" s="42" t="str">
        <f>CONFERENCIAS!X190</f>
        <v/>
      </c>
      <c r="I190" s="42" t="str">
        <f>CONFERENCIAS!AA190</f>
        <v/>
      </c>
      <c r="J190" s="44" t="str">
        <f>CONFERENCIAS!P190</f>
        <v/>
      </c>
      <c r="K190" s="45" t="str">
        <f>CONFERENCIAS!R190</f>
        <v/>
      </c>
      <c r="L190" s="45">
        <f>IF(D190="",0,
 IF(E190=1,
   IF(H190="Presencial",
      VLOOKUP(D190,TARIFAS!A:K,3,FALSE) + IF(I190="Sí",VLOOKUP(D190,TARIFAS!A:K,5,FALSE),0),
      VLOOKUP(D190,TARIFAS!A:K,4,FALSE) + IF(I190="Sí",VLOOKUP(D190,TARIFAS!A:K,5,FALSE),0)
   ),
   IF(H190="Presencial",
      VLOOKUP(D190,TARIFAS!A:K,9,FALSE) + IF(I190="Sí",VLOOKUP(D190,TARIFAS!A:K,11,FALSE),0),
      VLOOKUP(D190,TARIFAS!A:K,10,FALSE) + IF(I190="Sí",VLOOKUP(D190,TARIFAS!A:K,11,FALSE),0)
   )
 )
)
</f>
        <v>0</v>
      </c>
      <c r="M190" s="45">
        <f>IF(J190="",0,MAX(0,J190 - TARIFAS!G$2) * TARIFAS!F$2)
</f>
        <v>0</v>
      </c>
      <c r="N190" s="45">
        <f>+L190*TARIFAS!$K$2</f>
        <v>0</v>
      </c>
      <c r="O190" s="45">
        <f t="shared" si="1"/>
        <v>0</v>
      </c>
      <c r="P190" s="45">
        <f>+M190+O190+K190+(+I190-(I190*TARIFAS!$K$2))</f>
        <v>0</v>
      </c>
      <c r="Q190" s="42" t="str">
        <f>CONFERENCIAS!T190</f>
        <v/>
      </c>
      <c r="R190" s="45" t="str">
        <f>CONFERENCIAS!U190</f>
        <v/>
      </c>
      <c r="S190" s="45" t="str">
        <f>CONFERENCIAS!W190</f>
        <v/>
      </c>
      <c r="T190" s="48">
        <f>IF(Q190="",0,
   IF(E190=1,
      IF(H190="Presencial",
         VLOOKUP(D190,TARIFAS!A:K,3,FALSE) + IF(I190="Sí",VLOOKUP(D190,TARIFAS!A:K,5,FALSE),0),
         VLOOKUP(D190,TARIFAS!A:K,4,FALSE) + IF(I190="Sí",VLOOKUP(D190,TARIFAS!A:K,5,FALSE),0)
      ),
      IF(H190="Presencial",
         VLOOKUP(D190,TARIFAS!A:K,9,FALSE) + IF(I190="Sí",VLOOKUP(D190,TARIFAS!A:K,11,FALSE),0),
         VLOOKUP(D190,TARIFAS!A:K,10,FALSE) + IF(I190="Sí",VLOOKUP(D190,TARIFAS!A:K,11,FALSE),0)
      )
   )
)
</f>
        <v>0</v>
      </c>
      <c r="U190" s="45">
        <f>IF(R190="",0,MAX(0,R190 - TARIFAS!G$2) * TARIFAS!F$2)
</f>
        <v>0</v>
      </c>
      <c r="V190" s="45">
        <f>+T190*TARIFAS!$K$2</f>
        <v>0</v>
      </c>
      <c r="W190" s="45">
        <f t="shared" si="2"/>
        <v>0</v>
      </c>
      <c r="X190" s="45">
        <f t="shared" si="3"/>
        <v>0</v>
      </c>
      <c r="Y190" s="45">
        <f t="shared" si="4"/>
        <v>0</v>
      </c>
      <c r="Z190" s="42" t="str">
        <f>CONFERENCIAS!AB190</f>
        <v/>
      </c>
      <c r="AA190" s="42" t="str">
        <f>CONFERENCIAS!AC190</f>
        <v/>
      </c>
      <c r="AB190" s="47" t="str">
        <f t="shared" si="5"/>
        <v/>
      </c>
      <c r="AC190" s="9" t="str">
        <f t="shared" si="6"/>
        <v/>
      </c>
    </row>
    <row r="191">
      <c r="A191" s="42" t="str">
        <f>CONFERENCIAS!A191</f>
        <v/>
      </c>
      <c r="D191" s="42" t="str">
        <f>CONFERENCIAS!C191</f>
        <v/>
      </c>
      <c r="E191" s="42" t="str">
        <f>CONFERENCIAS!K191</f>
        <v/>
      </c>
      <c r="F191" s="49" t="str">
        <f>CONFERENCIAS!J191</f>
        <v/>
      </c>
      <c r="G191" s="42" t="str">
        <f>CONFERENCIAS!O191</f>
        <v/>
      </c>
      <c r="H191" s="42" t="str">
        <f>CONFERENCIAS!X191</f>
        <v/>
      </c>
      <c r="I191" s="42" t="str">
        <f>CONFERENCIAS!AA191</f>
        <v/>
      </c>
      <c r="J191" s="44" t="str">
        <f>CONFERENCIAS!P191</f>
        <v/>
      </c>
      <c r="K191" s="45" t="str">
        <f>CONFERENCIAS!R191</f>
        <v/>
      </c>
      <c r="L191" s="45">
        <f>IF(D191="",0,
 IF(E191=1,
   IF(H191="Presencial",
      VLOOKUP(D191,TARIFAS!A:K,3,FALSE) + IF(I191="Sí",VLOOKUP(D191,TARIFAS!A:K,5,FALSE),0),
      VLOOKUP(D191,TARIFAS!A:K,4,FALSE) + IF(I191="Sí",VLOOKUP(D191,TARIFAS!A:K,5,FALSE),0)
   ),
   IF(H191="Presencial",
      VLOOKUP(D191,TARIFAS!A:K,9,FALSE) + IF(I191="Sí",VLOOKUP(D191,TARIFAS!A:K,11,FALSE),0),
      VLOOKUP(D191,TARIFAS!A:K,10,FALSE) + IF(I191="Sí",VLOOKUP(D191,TARIFAS!A:K,11,FALSE),0)
   )
 )
)
</f>
        <v>0</v>
      </c>
      <c r="M191" s="45">
        <f>IF(J191="",0,MAX(0,J191 - TARIFAS!G$2) * TARIFAS!F$2)
</f>
        <v>0</v>
      </c>
      <c r="N191" s="45">
        <f>+L191*TARIFAS!$K$2</f>
        <v>0</v>
      </c>
      <c r="O191" s="45">
        <f t="shared" si="1"/>
        <v>0</v>
      </c>
      <c r="P191" s="45">
        <f>+M191+O191+K191+(+I191-(I191*TARIFAS!$K$2))</f>
        <v>0</v>
      </c>
      <c r="Q191" s="42" t="str">
        <f>CONFERENCIAS!T191</f>
        <v/>
      </c>
      <c r="R191" s="45" t="str">
        <f>CONFERENCIAS!U191</f>
        <v/>
      </c>
      <c r="S191" s="45" t="str">
        <f>CONFERENCIAS!W191</f>
        <v/>
      </c>
      <c r="T191" s="48">
        <f>IF(Q191="",0,
   IF(E191=1,
      IF(H191="Presencial",
         VLOOKUP(D191,TARIFAS!A:K,3,FALSE) + IF(I191="Sí",VLOOKUP(D191,TARIFAS!A:K,5,FALSE),0),
         VLOOKUP(D191,TARIFAS!A:K,4,FALSE) + IF(I191="Sí",VLOOKUP(D191,TARIFAS!A:K,5,FALSE),0)
      ),
      IF(H191="Presencial",
         VLOOKUP(D191,TARIFAS!A:K,9,FALSE) + IF(I191="Sí",VLOOKUP(D191,TARIFAS!A:K,11,FALSE),0),
         VLOOKUP(D191,TARIFAS!A:K,10,FALSE) + IF(I191="Sí",VLOOKUP(D191,TARIFAS!A:K,11,FALSE),0)
      )
   )
)
</f>
        <v>0</v>
      </c>
      <c r="U191" s="45">
        <f>IF(R191="",0,MAX(0,R191 - TARIFAS!G$2) * TARIFAS!F$2)
</f>
        <v>0</v>
      </c>
      <c r="V191" s="45">
        <f>+T191*TARIFAS!$K$2</f>
        <v>0</v>
      </c>
      <c r="W191" s="45">
        <f t="shared" si="2"/>
        <v>0</v>
      </c>
      <c r="X191" s="45">
        <f t="shared" si="3"/>
        <v>0</v>
      </c>
      <c r="Y191" s="45">
        <f t="shared" si="4"/>
        <v>0</v>
      </c>
      <c r="Z191" s="42" t="str">
        <f>CONFERENCIAS!AB191</f>
        <v/>
      </c>
      <c r="AA191" s="42" t="str">
        <f>CONFERENCIAS!AC191</f>
        <v/>
      </c>
      <c r="AB191" s="47" t="str">
        <f t="shared" si="5"/>
        <v/>
      </c>
      <c r="AC191" s="9" t="str">
        <f t="shared" si="6"/>
        <v/>
      </c>
    </row>
    <row r="192">
      <c r="A192" s="42" t="str">
        <f>CONFERENCIAS!A192</f>
        <v/>
      </c>
      <c r="D192" s="42" t="str">
        <f>CONFERENCIAS!C192</f>
        <v/>
      </c>
      <c r="E192" s="42" t="str">
        <f>CONFERENCIAS!K192</f>
        <v/>
      </c>
      <c r="F192" s="49" t="str">
        <f>CONFERENCIAS!J192</f>
        <v/>
      </c>
      <c r="G192" s="42" t="str">
        <f>CONFERENCIAS!O192</f>
        <v/>
      </c>
      <c r="H192" s="42" t="str">
        <f>CONFERENCIAS!X192</f>
        <v/>
      </c>
      <c r="I192" s="42" t="str">
        <f>CONFERENCIAS!AA192</f>
        <v/>
      </c>
      <c r="J192" s="44" t="str">
        <f>CONFERENCIAS!P192</f>
        <v/>
      </c>
      <c r="K192" s="45" t="str">
        <f>CONFERENCIAS!R192</f>
        <v/>
      </c>
      <c r="L192" s="45">
        <f>IF(D192="",0,
 IF(E192=1,
   IF(H192="Presencial",
      VLOOKUP(D192,TARIFAS!A:K,3,FALSE) + IF(I192="Sí",VLOOKUP(D192,TARIFAS!A:K,5,FALSE),0),
      VLOOKUP(D192,TARIFAS!A:K,4,FALSE) + IF(I192="Sí",VLOOKUP(D192,TARIFAS!A:K,5,FALSE),0)
   ),
   IF(H192="Presencial",
      VLOOKUP(D192,TARIFAS!A:K,9,FALSE) + IF(I192="Sí",VLOOKUP(D192,TARIFAS!A:K,11,FALSE),0),
      VLOOKUP(D192,TARIFAS!A:K,10,FALSE) + IF(I192="Sí",VLOOKUP(D192,TARIFAS!A:K,11,FALSE),0)
   )
 )
)
</f>
        <v>0</v>
      </c>
      <c r="M192" s="45">
        <f>IF(J192="",0,MAX(0,J192 - TARIFAS!G$2) * TARIFAS!F$2)
</f>
        <v>0</v>
      </c>
      <c r="N192" s="45">
        <f>+L192*TARIFAS!$K$2</f>
        <v>0</v>
      </c>
      <c r="O192" s="45">
        <f t="shared" si="1"/>
        <v>0</v>
      </c>
      <c r="P192" s="45">
        <f>+M192+O192+K192+(+I192-(I192*TARIFAS!$K$2))</f>
        <v>0</v>
      </c>
      <c r="Q192" s="42" t="str">
        <f>CONFERENCIAS!T192</f>
        <v/>
      </c>
      <c r="R192" s="45" t="str">
        <f>CONFERENCIAS!U192</f>
        <v/>
      </c>
      <c r="S192" s="45" t="str">
        <f>CONFERENCIAS!W192</f>
        <v/>
      </c>
      <c r="T192" s="48">
        <f>IF(Q192="",0,
   IF(E192=1,
      IF(H192="Presencial",
         VLOOKUP(D192,TARIFAS!A:K,3,FALSE) + IF(I192="Sí",VLOOKUP(D192,TARIFAS!A:K,5,FALSE),0),
         VLOOKUP(D192,TARIFAS!A:K,4,FALSE) + IF(I192="Sí",VLOOKUP(D192,TARIFAS!A:K,5,FALSE),0)
      ),
      IF(H192="Presencial",
         VLOOKUP(D192,TARIFAS!A:K,9,FALSE) + IF(I192="Sí",VLOOKUP(D192,TARIFAS!A:K,11,FALSE),0),
         VLOOKUP(D192,TARIFAS!A:K,10,FALSE) + IF(I192="Sí",VLOOKUP(D192,TARIFAS!A:K,11,FALSE),0)
      )
   )
)
</f>
        <v>0</v>
      </c>
      <c r="U192" s="45">
        <f>IF(R192="",0,MAX(0,R192 - TARIFAS!G$2) * TARIFAS!F$2)
</f>
        <v>0</v>
      </c>
      <c r="V192" s="45">
        <f>+T192*TARIFAS!$K$2</f>
        <v>0</v>
      </c>
      <c r="W192" s="45">
        <f t="shared" si="2"/>
        <v>0</v>
      </c>
      <c r="X192" s="45">
        <f t="shared" si="3"/>
        <v>0</v>
      </c>
      <c r="Y192" s="45">
        <f t="shared" si="4"/>
        <v>0</v>
      </c>
      <c r="Z192" s="42" t="str">
        <f>CONFERENCIAS!AB192</f>
        <v/>
      </c>
      <c r="AA192" s="42" t="str">
        <f>CONFERENCIAS!AC192</f>
        <v/>
      </c>
      <c r="AB192" s="47" t="str">
        <f t="shared" si="5"/>
        <v/>
      </c>
      <c r="AC192" s="9" t="str">
        <f t="shared" si="6"/>
        <v/>
      </c>
    </row>
    <row r="193">
      <c r="A193" s="42" t="str">
        <f>CONFERENCIAS!A193</f>
        <v/>
      </c>
      <c r="D193" s="42" t="str">
        <f>CONFERENCIAS!C193</f>
        <v/>
      </c>
      <c r="E193" s="42" t="str">
        <f>CONFERENCIAS!K193</f>
        <v/>
      </c>
      <c r="F193" s="49" t="str">
        <f>CONFERENCIAS!J193</f>
        <v/>
      </c>
      <c r="G193" s="42" t="str">
        <f>CONFERENCIAS!O193</f>
        <v/>
      </c>
      <c r="H193" s="42" t="str">
        <f>CONFERENCIAS!X193</f>
        <v/>
      </c>
      <c r="I193" s="42" t="str">
        <f>CONFERENCIAS!AA193</f>
        <v/>
      </c>
      <c r="J193" s="44" t="str">
        <f>CONFERENCIAS!P193</f>
        <v/>
      </c>
      <c r="K193" s="45" t="str">
        <f>CONFERENCIAS!R193</f>
        <v/>
      </c>
      <c r="L193" s="45">
        <f>IF(D193="",0,
 IF(E193=1,
   IF(H193="Presencial",
      VLOOKUP(D193,TARIFAS!A:K,3,FALSE) + IF(I193="Sí",VLOOKUP(D193,TARIFAS!A:K,5,FALSE),0),
      VLOOKUP(D193,TARIFAS!A:K,4,FALSE) + IF(I193="Sí",VLOOKUP(D193,TARIFAS!A:K,5,FALSE),0)
   ),
   IF(H193="Presencial",
      VLOOKUP(D193,TARIFAS!A:K,9,FALSE) + IF(I193="Sí",VLOOKUP(D193,TARIFAS!A:K,11,FALSE),0),
      VLOOKUP(D193,TARIFAS!A:K,10,FALSE) + IF(I193="Sí",VLOOKUP(D193,TARIFAS!A:K,11,FALSE),0)
   )
 )
)
</f>
        <v>0</v>
      </c>
      <c r="M193" s="45">
        <f>IF(J193="",0,MAX(0,J193 - TARIFAS!G$2) * TARIFAS!F$2)
</f>
        <v>0</v>
      </c>
      <c r="N193" s="45">
        <f>+L193*TARIFAS!$K$2</f>
        <v>0</v>
      </c>
      <c r="O193" s="45">
        <f t="shared" si="1"/>
        <v>0</v>
      </c>
      <c r="P193" s="45">
        <f>+M193+O193+K193+(+I193-(I193*TARIFAS!$K$2))</f>
        <v>0</v>
      </c>
      <c r="Q193" s="42" t="str">
        <f>CONFERENCIAS!T193</f>
        <v/>
      </c>
      <c r="R193" s="45" t="str">
        <f>CONFERENCIAS!U193</f>
        <v/>
      </c>
      <c r="S193" s="45" t="str">
        <f>CONFERENCIAS!W193</f>
        <v/>
      </c>
      <c r="T193" s="48">
        <f>IF(Q193="",0,
   IF(E193=1,
      IF(H193="Presencial",
         VLOOKUP(D193,TARIFAS!A:K,3,FALSE) + IF(I193="Sí",VLOOKUP(D193,TARIFAS!A:K,5,FALSE),0),
         VLOOKUP(D193,TARIFAS!A:K,4,FALSE) + IF(I193="Sí",VLOOKUP(D193,TARIFAS!A:K,5,FALSE),0)
      ),
      IF(H193="Presencial",
         VLOOKUP(D193,TARIFAS!A:K,9,FALSE) + IF(I193="Sí",VLOOKUP(D193,TARIFAS!A:K,11,FALSE),0),
         VLOOKUP(D193,TARIFAS!A:K,10,FALSE) + IF(I193="Sí",VLOOKUP(D193,TARIFAS!A:K,11,FALSE),0)
      )
   )
)
</f>
        <v>0</v>
      </c>
      <c r="U193" s="45">
        <f>IF(R193="",0,MAX(0,R193 - TARIFAS!G$2) * TARIFAS!F$2)
</f>
        <v>0</v>
      </c>
      <c r="V193" s="45">
        <f>+T193*TARIFAS!$K$2</f>
        <v>0</v>
      </c>
      <c r="W193" s="45">
        <f t="shared" si="2"/>
        <v>0</v>
      </c>
      <c r="X193" s="45">
        <f t="shared" si="3"/>
        <v>0</v>
      </c>
      <c r="Y193" s="45">
        <f t="shared" si="4"/>
        <v>0</v>
      </c>
      <c r="Z193" s="42" t="str">
        <f>CONFERENCIAS!AB193</f>
        <v/>
      </c>
      <c r="AA193" s="42" t="str">
        <f>CONFERENCIAS!AC193</f>
        <v/>
      </c>
      <c r="AB193" s="47" t="str">
        <f t="shared" si="5"/>
        <v/>
      </c>
      <c r="AC193" s="9" t="str">
        <f t="shared" si="6"/>
        <v/>
      </c>
    </row>
    <row r="194">
      <c r="A194" s="42" t="str">
        <f>CONFERENCIAS!A194</f>
        <v/>
      </c>
      <c r="D194" s="42" t="str">
        <f>CONFERENCIAS!C194</f>
        <v/>
      </c>
      <c r="E194" s="42" t="str">
        <f>CONFERENCIAS!K194</f>
        <v/>
      </c>
      <c r="F194" s="49" t="str">
        <f>CONFERENCIAS!J194</f>
        <v/>
      </c>
      <c r="G194" s="42" t="str">
        <f>CONFERENCIAS!O194</f>
        <v/>
      </c>
      <c r="H194" s="42" t="str">
        <f>CONFERENCIAS!X194</f>
        <v/>
      </c>
      <c r="I194" s="42" t="str">
        <f>CONFERENCIAS!AA194</f>
        <v/>
      </c>
      <c r="J194" s="44" t="str">
        <f>CONFERENCIAS!P194</f>
        <v/>
      </c>
      <c r="K194" s="45" t="str">
        <f>CONFERENCIAS!R194</f>
        <v/>
      </c>
      <c r="L194" s="45">
        <f>IF(D194="",0,
 IF(E194=1,
   IF(H194="Presencial",
      VLOOKUP(D194,TARIFAS!A:K,3,FALSE) + IF(I194="Sí",VLOOKUP(D194,TARIFAS!A:K,5,FALSE),0),
      VLOOKUP(D194,TARIFAS!A:K,4,FALSE) + IF(I194="Sí",VLOOKUP(D194,TARIFAS!A:K,5,FALSE),0)
   ),
   IF(H194="Presencial",
      VLOOKUP(D194,TARIFAS!A:K,9,FALSE) + IF(I194="Sí",VLOOKUP(D194,TARIFAS!A:K,11,FALSE),0),
      VLOOKUP(D194,TARIFAS!A:K,10,FALSE) + IF(I194="Sí",VLOOKUP(D194,TARIFAS!A:K,11,FALSE),0)
   )
 )
)
</f>
        <v>0</v>
      </c>
      <c r="M194" s="45">
        <f>IF(J194="",0,MAX(0,J194 - TARIFAS!G$2) * TARIFAS!F$2)
</f>
        <v>0</v>
      </c>
      <c r="N194" s="45">
        <f>+L194*TARIFAS!$K$2</f>
        <v>0</v>
      </c>
      <c r="O194" s="45">
        <f t="shared" si="1"/>
        <v>0</v>
      </c>
      <c r="P194" s="45">
        <f>+M194+O194+K194+(+I194-(I194*TARIFAS!$K$2))</f>
        <v>0</v>
      </c>
      <c r="Q194" s="42" t="str">
        <f>CONFERENCIAS!T194</f>
        <v/>
      </c>
      <c r="R194" s="45" t="str">
        <f>CONFERENCIAS!U194</f>
        <v/>
      </c>
      <c r="S194" s="45" t="str">
        <f>CONFERENCIAS!W194</f>
        <v/>
      </c>
      <c r="T194" s="48">
        <f>IF(Q194="",0,
   IF(E194=1,
      IF(H194="Presencial",
         VLOOKUP(D194,TARIFAS!A:K,3,FALSE) + IF(I194="Sí",VLOOKUP(D194,TARIFAS!A:K,5,FALSE),0),
         VLOOKUP(D194,TARIFAS!A:K,4,FALSE) + IF(I194="Sí",VLOOKUP(D194,TARIFAS!A:K,5,FALSE),0)
      ),
      IF(H194="Presencial",
         VLOOKUP(D194,TARIFAS!A:K,9,FALSE) + IF(I194="Sí",VLOOKUP(D194,TARIFAS!A:K,11,FALSE),0),
         VLOOKUP(D194,TARIFAS!A:K,10,FALSE) + IF(I194="Sí",VLOOKUP(D194,TARIFAS!A:K,11,FALSE),0)
      )
   )
)
</f>
        <v>0</v>
      </c>
      <c r="U194" s="45">
        <f>IF(R194="",0,MAX(0,R194 - TARIFAS!G$2) * TARIFAS!F$2)
</f>
        <v>0</v>
      </c>
      <c r="V194" s="45">
        <f>+T194*TARIFAS!$K$2</f>
        <v>0</v>
      </c>
      <c r="W194" s="45">
        <f t="shared" si="2"/>
        <v>0</v>
      </c>
      <c r="X194" s="45">
        <f t="shared" si="3"/>
        <v>0</v>
      </c>
      <c r="Y194" s="45">
        <f t="shared" si="4"/>
        <v>0</v>
      </c>
      <c r="Z194" s="42" t="str">
        <f>CONFERENCIAS!AB194</f>
        <v/>
      </c>
      <c r="AA194" s="42" t="str">
        <f>CONFERENCIAS!AC194</f>
        <v/>
      </c>
      <c r="AB194" s="47" t="str">
        <f t="shared" si="5"/>
        <v/>
      </c>
      <c r="AC194" s="9" t="str">
        <f t="shared" si="6"/>
        <v/>
      </c>
    </row>
    <row r="195">
      <c r="A195" s="42" t="str">
        <f>CONFERENCIAS!A195</f>
        <v/>
      </c>
      <c r="D195" s="42" t="str">
        <f>CONFERENCIAS!C195</f>
        <v/>
      </c>
      <c r="E195" s="42" t="str">
        <f>CONFERENCIAS!K195</f>
        <v/>
      </c>
      <c r="F195" s="49" t="str">
        <f>CONFERENCIAS!J195</f>
        <v/>
      </c>
      <c r="G195" s="42" t="str">
        <f>CONFERENCIAS!O195</f>
        <v/>
      </c>
      <c r="H195" s="42" t="str">
        <f>CONFERENCIAS!X195</f>
        <v/>
      </c>
      <c r="I195" s="42" t="str">
        <f>CONFERENCIAS!AA195</f>
        <v/>
      </c>
      <c r="J195" s="44" t="str">
        <f>CONFERENCIAS!P195</f>
        <v/>
      </c>
      <c r="K195" s="45" t="str">
        <f>CONFERENCIAS!R195</f>
        <v/>
      </c>
      <c r="L195" s="45">
        <f>IF(D195="",0,
 IF(E195=1,
   IF(H195="Presencial",
      VLOOKUP(D195,TARIFAS!A:K,3,FALSE) + IF(I195="Sí",VLOOKUP(D195,TARIFAS!A:K,5,FALSE),0),
      VLOOKUP(D195,TARIFAS!A:K,4,FALSE) + IF(I195="Sí",VLOOKUP(D195,TARIFAS!A:K,5,FALSE),0)
   ),
   IF(H195="Presencial",
      VLOOKUP(D195,TARIFAS!A:K,9,FALSE) + IF(I195="Sí",VLOOKUP(D195,TARIFAS!A:K,11,FALSE),0),
      VLOOKUP(D195,TARIFAS!A:K,10,FALSE) + IF(I195="Sí",VLOOKUP(D195,TARIFAS!A:K,11,FALSE),0)
   )
 )
)
</f>
        <v>0</v>
      </c>
      <c r="M195" s="45">
        <f>IF(J195="",0,MAX(0,J195 - TARIFAS!G$2) * TARIFAS!F$2)
</f>
        <v>0</v>
      </c>
      <c r="N195" s="45">
        <f>+L195*TARIFAS!$K$2</f>
        <v>0</v>
      </c>
      <c r="O195" s="45">
        <f t="shared" si="1"/>
        <v>0</v>
      </c>
      <c r="P195" s="45">
        <f>+M195+O195+K195+(+I195-(I195*TARIFAS!$K$2))</f>
        <v>0</v>
      </c>
      <c r="Q195" s="42" t="str">
        <f>CONFERENCIAS!T195</f>
        <v/>
      </c>
      <c r="R195" s="45" t="str">
        <f>CONFERENCIAS!U195</f>
        <v/>
      </c>
      <c r="S195" s="45" t="str">
        <f>CONFERENCIAS!W195</f>
        <v/>
      </c>
      <c r="T195" s="48">
        <f>IF(Q195="",0,
   IF(E195=1,
      IF(H195="Presencial",
         VLOOKUP(D195,TARIFAS!A:K,3,FALSE) + IF(I195="Sí",VLOOKUP(D195,TARIFAS!A:K,5,FALSE),0),
         VLOOKUP(D195,TARIFAS!A:K,4,FALSE) + IF(I195="Sí",VLOOKUP(D195,TARIFAS!A:K,5,FALSE),0)
      ),
      IF(H195="Presencial",
         VLOOKUP(D195,TARIFAS!A:K,9,FALSE) + IF(I195="Sí",VLOOKUP(D195,TARIFAS!A:K,11,FALSE),0),
         VLOOKUP(D195,TARIFAS!A:K,10,FALSE) + IF(I195="Sí",VLOOKUP(D195,TARIFAS!A:K,11,FALSE),0)
      )
   )
)
</f>
        <v>0</v>
      </c>
      <c r="U195" s="45">
        <f>IF(R195="",0,MAX(0,R195 - TARIFAS!G$2) * TARIFAS!F$2)
</f>
        <v>0</v>
      </c>
      <c r="V195" s="45">
        <f>+T195*TARIFAS!$K$2</f>
        <v>0</v>
      </c>
      <c r="W195" s="45">
        <f t="shared" si="2"/>
        <v>0</v>
      </c>
      <c r="X195" s="45">
        <f t="shared" si="3"/>
        <v>0</v>
      </c>
      <c r="Y195" s="45">
        <f t="shared" si="4"/>
        <v>0</v>
      </c>
      <c r="Z195" s="42" t="str">
        <f>CONFERENCIAS!AB195</f>
        <v/>
      </c>
      <c r="AA195" s="42" t="str">
        <f>CONFERENCIAS!AC195</f>
        <v/>
      </c>
      <c r="AB195" s="47" t="str">
        <f t="shared" si="5"/>
        <v/>
      </c>
      <c r="AC195" s="9" t="str">
        <f t="shared" si="6"/>
        <v/>
      </c>
    </row>
    <row r="196">
      <c r="A196" s="42" t="str">
        <f>CONFERENCIAS!A196</f>
        <v/>
      </c>
      <c r="D196" s="42" t="str">
        <f>CONFERENCIAS!C196</f>
        <v/>
      </c>
      <c r="E196" s="42" t="str">
        <f>CONFERENCIAS!K196</f>
        <v/>
      </c>
      <c r="F196" s="49" t="str">
        <f>CONFERENCIAS!J196</f>
        <v/>
      </c>
      <c r="G196" s="42" t="str">
        <f>CONFERENCIAS!O196</f>
        <v/>
      </c>
      <c r="H196" s="42" t="str">
        <f>CONFERENCIAS!X196</f>
        <v/>
      </c>
      <c r="I196" s="42" t="str">
        <f>CONFERENCIAS!AA196</f>
        <v/>
      </c>
      <c r="J196" s="44" t="str">
        <f>CONFERENCIAS!P196</f>
        <v/>
      </c>
      <c r="K196" s="45" t="str">
        <f>CONFERENCIAS!R196</f>
        <v/>
      </c>
      <c r="L196" s="45">
        <f>IF(D196="",0,
 IF(E196=1,
   IF(H196="Presencial",
      VLOOKUP(D196,TARIFAS!A:K,3,FALSE) + IF(I196="Sí",VLOOKUP(D196,TARIFAS!A:K,5,FALSE),0),
      VLOOKUP(D196,TARIFAS!A:K,4,FALSE) + IF(I196="Sí",VLOOKUP(D196,TARIFAS!A:K,5,FALSE),0)
   ),
   IF(H196="Presencial",
      VLOOKUP(D196,TARIFAS!A:K,9,FALSE) + IF(I196="Sí",VLOOKUP(D196,TARIFAS!A:K,11,FALSE),0),
      VLOOKUP(D196,TARIFAS!A:K,10,FALSE) + IF(I196="Sí",VLOOKUP(D196,TARIFAS!A:K,11,FALSE),0)
   )
 )
)
</f>
        <v>0</v>
      </c>
      <c r="M196" s="45">
        <f>IF(J196="",0,MAX(0,J196 - TARIFAS!G$2) * TARIFAS!F$2)
</f>
        <v>0</v>
      </c>
      <c r="N196" s="45">
        <f>+L196*TARIFAS!$K$2</f>
        <v>0</v>
      </c>
      <c r="O196" s="45">
        <f t="shared" si="1"/>
        <v>0</v>
      </c>
      <c r="P196" s="45">
        <f>+M196+O196+K196+(+I196-(I196*TARIFAS!$K$2))</f>
        <v>0</v>
      </c>
      <c r="Q196" s="42" t="str">
        <f>CONFERENCIAS!T196</f>
        <v/>
      </c>
      <c r="R196" s="45" t="str">
        <f>CONFERENCIAS!U196</f>
        <v/>
      </c>
      <c r="S196" s="45" t="str">
        <f>CONFERENCIAS!W196</f>
        <v/>
      </c>
      <c r="T196" s="48">
        <f>IF(Q196="",0,
   IF(E196=1,
      IF(H196="Presencial",
         VLOOKUP(D196,TARIFAS!A:K,3,FALSE) + IF(I196="Sí",VLOOKUP(D196,TARIFAS!A:K,5,FALSE),0),
         VLOOKUP(D196,TARIFAS!A:K,4,FALSE) + IF(I196="Sí",VLOOKUP(D196,TARIFAS!A:K,5,FALSE),0)
      ),
      IF(H196="Presencial",
         VLOOKUP(D196,TARIFAS!A:K,9,FALSE) + IF(I196="Sí",VLOOKUP(D196,TARIFAS!A:K,11,FALSE),0),
         VLOOKUP(D196,TARIFAS!A:K,10,FALSE) + IF(I196="Sí",VLOOKUP(D196,TARIFAS!A:K,11,FALSE),0)
      )
   )
)
</f>
        <v>0</v>
      </c>
      <c r="U196" s="45">
        <f>IF(R196="",0,MAX(0,R196 - TARIFAS!G$2) * TARIFAS!F$2)
</f>
        <v>0</v>
      </c>
      <c r="V196" s="45">
        <f>+T196*TARIFAS!$K$2</f>
        <v>0</v>
      </c>
      <c r="W196" s="45">
        <f t="shared" si="2"/>
        <v>0</v>
      </c>
      <c r="X196" s="45">
        <f t="shared" si="3"/>
        <v>0</v>
      </c>
      <c r="Y196" s="45">
        <f t="shared" si="4"/>
        <v>0</v>
      </c>
      <c r="Z196" s="42" t="str">
        <f>CONFERENCIAS!AB196</f>
        <v/>
      </c>
      <c r="AA196" s="42" t="str">
        <f>CONFERENCIAS!AC196</f>
        <v/>
      </c>
      <c r="AB196" s="47" t="str">
        <f t="shared" si="5"/>
        <v/>
      </c>
      <c r="AC196" s="9" t="str">
        <f t="shared" si="6"/>
        <v/>
      </c>
    </row>
    <row r="197">
      <c r="A197" s="42" t="str">
        <f>CONFERENCIAS!A197</f>
        <v/>
      </c>
      <c r="D197" s="42" t="str">
        <f>CONFERENCIAS!C197</f>
        <v/>
      </c>
      <c r="E197" s="42" t="str">
        <f>CONFERENCIAS!K197</f>
        <v/>
      </c>
      <c r="F197" s="49" t="str">
        <f>CONFERENCIAS!J197</f>
        <v/>
      </c>
      <c r="G197" s="42" t="str">
        <f>CONFERENCIAS!O197</f>
        <v/>
      </c>
      <c r="H197" s="42" t="str">
        <f>CONFERENCIAS!X197</f>
        <v/>
      </c>
      <c r="I197" s="42" t="str">
        <f>CONFERENCIAS!AA197</f>
        <v/>
      </c>
      <c r="J197" s="44" t="str">
        <f>CONFERENCIAS!P197</f>
        <v/>
      </c>
      <c r="K197" s="45" t="str">
        <f>CONFERENCIAS!R197</f>
        <v/>
      </c>
      <c r="L197" s="45">
        <f>IF(D197="",0,
 IF(E197=1,
   IF(H197="Presencial",
      VLOOKUP(D197,TARIFAS!A:K,3,FALSE) + IF(I197="Sí",VLOOKUP(D197,TARIFAS!A:K,5,FALSE),0),
      VLOOKUP(D197,TARIFAS!A:K,4,FALSE) + IF(I197="Sí",VLOOKUP(D197,TARIFAS!A:K,5,FALSE),0)
   ),
   IF(H197="Presencial",
      VLOOKUP(D197,TARIFAS!A:K,9,FALSE) + IF(I197="Sí",VLOOKUP(D197,TARIFAS!A:K,11,FALSE),0),
      VLOOKUP(D197,TARIFAS!A:K,10,FALSE) + IF(I197="Sí",VLOOKUP(D197,TARIFAS!A:K,11,FALSE),0)
   )
 )
)
</f>
        <v>0</v>
      </c>
      <c r="M197" s="45">
        <f>IF(J197="",0,MAX(0,J197 - TARIFAS!G$2) * TARIFAS!F$2)
</f>
        <v>0</v>
      </c>
      <c r="N197" s="45">
        <f>+L197*TARIFAS!$K$2</f>
        <v>0</v>
      </c>
      <c r="O197" s="45">
        <f t="shared" si="1"/>
        <v>0</v>
      </c>
      <c r="P197" s="45">
        <f>+M197+O197+K197+(+I197-(I197*TARIFAS!$K$2))</f>
        <v>0</v>
      </c>
      <c r="Q197" s="42" t="str">
        <f>CONFERENCIAS!T197</f>
        <v/>
      </c>
      <c r="R197" s="45" t="str">
        <f>CONFERENCIAS!U197</f>
        <v/>
      </c>
      <c r="S197" s="45" t="str">
        <f>CONFERENCIAS!W197</f>
        <v/>
      </c>
      <c r="T197" s="48">
        <f>IF(Q197="",0,
   IF(E197=1,
      IF(H197="Presencial",
         VLOOKUP(D197,TARIFAS!A:K,3,FALSE) + IF(I197="Sí",VLOOKUP(D197,TARIFAS!A:K,5,FALSE),0),
         VLOOKUP(D197,TARIFAS!A:K,4,FALSE) + IF(I197="Sí",VLOOKUP(D197,TARIFAS!A:K,5,FALSE),0)
      ),
      IF(H197="Presencial",
         VLOOKUP(D197,TARIFAS!A:K,9,FALSE) + IF(I197="Sí",VLOOKUP(D197,TARIFAS!A:K,11,FALSE),0),
         VLOOKUP(D197,TARIFAS!A:K,10,FALSE) + IF(I197="Sí",VLOOKUP(D197,TARIFAS!A:K,11,FALSE),0)
      )
   )
)
</f>
        <v>0</v>
      </c>
      <c r="U197" s="45">
        <f>IF(R197="",0,MAX(0,R197 - TARIFAS!G$2) * TARIFAS!F$2)
</f>
        <v>0</v>
      </c>
      <c r="V197" s="45">
        <f>+T197*TARIFAS!$K$2</f>
        <v>0</v>
      </c>
      <c r="W197" s="45">
        <f t="shared" si="2"/>
        <v>0</v>
      </c>
      <c r="X197" s="45">
        <f t="shared" si="3"/>
        <v>0</v>
      </c>
      <c r="Y197" s="45">
        <f t="shared" si="4"/>
        <v>0</v>
      </c>
      <c r="Z197" s="42" t="str">
        <f>CONFERENCIAS!AB197</f>
        <v/>
      </c>
      <c r="AA197" s="42" t="str">
        <f>CONFERENCIAS!AC197</f>
        <v/>
      </c>
      <c r="AB197" s="47" t="str">
        <f t="shared" si="5"/>
        <v/>
      </c>
      <c r="AC197" s="9" t="str">
        <f t="shared" si="6"/>
        <v/>
      </c>
    </row>
    <row r="198">
      <c r="A198" s="42" t="str">
        <f>CONFERENCIAS!A198</f>
        <v/>
      </c>
      <c r="D198" s="42" t="str">
        <f>CONFERENCIAS!C198</f>
        <v/>
      </c>
      <c r="E198" s="42" t="str">
        <f>CONFERENCIAS!K198</f>
        <v/>
      </c>
      <c r="F198" s="49" t="str">
        <f>CONFERENCIAS!J198</f>
        <v/>
      </c>
      <c r="G198" s="42" t="str">
        <f>CONFERENCIAS!O198</f>
        <v/>
      </c>
      <c r="H198" s="42" t="str">
        <f>CONFERENCIAS!X198</f>
        <v/>
      </c>
      <c r="I198" s="42" t="str">
        <f>CONFERENCIAS!AA198</f>
        <v/>
      </c>
      <c r="J198" s="44" t="str">
        <f>CONFERENCIAS!P198</f>
        <v/>
      </c>
      <c r="K198" s="45" t="str">
        <f>CONFERENCIAS!R198</f>
        <v/>
      </c>
      <c r="L198" s="45">
        <f>IF(D198="",0,
 IF(E198=1,
   IF(H198="Presencial",
      VLOOKUP(D198,TARIFAS!A:K,3,FALSE) + IF(I198="Sí",VLOOKUP(D198,TARIFAS!A:K,5,FALSE),0),
      VLOOKUP(D198,TARIFAS!A:K,4,FALSE) + IF(I198="Sí",VLOOKUP(D198,TARIFAS!A:K,5,FALSE),0)
   ),
   IF(H198="Presencial",
      VLOOKUP(D198,TARIFAS!A:K,9,FALSE) + IF(I198="Sí",VLOOKUP(D198,TARIFAS!A:K,11,FALSE),0),
      VLOOKUP(D198,TARIFAS!A:K,10,FALSE) + IF(I198="Sí",VLOOKUP(D198,TARIFAS!A:K,11,FALSE),0)
   )
 )
)
</f>
        <v>0</v>
      </c>
      <c r="M198" s="45">
        <f>IF(J198="",0,MAX(0,J198 - TARIFAS!G$2) * TARIFAS!F$2)
</f>
        <v>0</v>
      </c>
      <c r="N198" s="45">
        <f>+L198*TARIFAS!$K$2</f>
        <v>0</v>
      </c>
      <c r="O198" s="45">
        <f t="shared" si="1"/>
        <v>0</v>
      </c>
      <c r="P198" s="45">
        <f>+M198+O198+K198+(+I198-(I198*TARIFAS!$K$2))</f>
        <v>0</v>
      </c>
      <c r="Q198" s="42" t="str">
        <f>CONFERENCIAS!T198</f>
        <v/>
      </c>
      <c r="R198" s="45" t="str">
        <f>CONFERENCIAS!U198</f>
        <v/>
      </c>
      <c r="S198" s="45" t="str">
        <f>CONFERENCIAS!W198</f>
        <v/>
      </c>
      <c r="T198" s="48">
        <f>IF(Q198="",0,
   IF(E198=1,
      IF(H198="Presencial",
         VLOOKUP(D198,TARIFAS!A:K,3,FALSE) + IF(I198="Sí",VLOOKUP(D198,TARIFAS!A:K,5,FALSE),0),
         VLOOKUP(D198,TARIFAS!A:K,4,FALSE) + IF(I198="Sí",VLOOKUP(D198,TARIFAS!A:K,5,FALSE),0)
      ),
      IF(H198="Presencial",
         VLOOKUP(D198,TARIFAS!A:K,9,FALSE) + IF(I198="Sí",VLOOKUP(D198,TARIFAS!A:K,11,FALSE),0),
         VLOOKUP(D198,TARIFAS!A:K,10,FALSE) + IF(I198="Sí",VLOOKUP(D198,TARIFAS!A:K,11,FALSE),0)
      )
   )
)
</f>
        <v>0</v>
      </c>
      <c r="U198" s="45">
        <f>IF(R198="",0,MAX(0,R198 - TARIFAS!G$2) * TARIFAS!F$2)
</f>
        <v>0</v>
      </c>
      <c r="V198" s="45">
        <f>+T198*TARIFAS!$K$2</f>
        <v>0</v>
      </c>
      <c r="W198" s="45">
        <f t="shared" si="2"/>
        <v>0</v>
      </c>
      <c r="X198" s="45">
        <f t="shared" si="3"/>
        <v>0</v>
      </c>
      <c r="Y198" s="45">
        <f t="shared" si="4"/>
        <v>0</v>
      </c>
      <c r="Z198" s="42" t="str">
        <f>CONFERENCIAS!AB198</f>
        <v/>
      </c>
      <c r="AA198" s="42" t="str">
        <f>CONFERENCIAS!AC198</f>
        <v/>
      </c>
      <c r="AB198" s="47" t="str">
        <f t="shared" si="5"/>
        <v/>
      </c>
      <c r="AC198" s="9" t="str">
        <f t="shared" si="6"/>
        <v/>
      </c>
    </row>
    <row r="199">
      <c r="A199" s="42" t="str">
        <f>CONFERENCIAS!A199</f>
        <v/>
      </c>
      <c r="D199" s="42" t="str">
        <f>CONFERENCIAS!C199</f>
        <v/>
      </c>
      <c r="E199" s="42" t="str">
        <f>CONFERENCIAS!K199</f>
        <v/>
      </c>
      <c r="F199" s="49" t="str">
        <f>CONFERENCIAS!J199</f>
        <v/>
      </c>
      <c r="G199" s="42" t="str">
        <f>CONFERENCIAS!O199</f>
        <v/>
      </c>
      <c r="H199" s="42" t="str">
        <f>CONFERENCIAS!X199</f>
        <v/>
      </c>
      <c r="I199" s="42" t="str">
        <f>CONFERENCIAS!AA199</f>
        <v/>
      </c>
      <c r="J199" s="44" t="str">
        <f>CONFERENCIAS!P199</f>
        <v/>
      </c>
      <c r="K199" s="45" t="str">
        <f>CONFERENCIAS!R199</f>
        <v/>
      </c>
      <c r="L199" s="45">
        <f>IF(D199="",0,
 IF(E199=1,
   IF(H199="Presencial",
      VLOOKUP(D199,TARIFAS!A:K,3,FALSE) + IF(I199="Sí",VLOOKUP(D199,TARIFAS!A:K,5,FALSE),0),
      VLOOKUP(D199,TARIFAS!A:K,4,FALSE) + IF(I199="Sí",VLOOKUP(D199,TARIFAS!A:K,5,FALSE),0)
   ),
   IF(H199="Presencial",
      VLOOKUP(D199,TARIFAS!A:K,9,FALSE) + IF(I199="Sí",VLOOKUP(D199,TARIFAS!A:K,11,FALSE),0),
      VLOOKUP(D199,TARIFAS!A:K,10,FALSE) + IF(I199="Sí",VLOOKUP(D199,TARIFAS!A:K,11,FALSE),0)
   )
 )
)
</f>
        <v>0</v>
      </c>
      <c r="M199" s="45">
        <f>IF(J199="",0,MAX(0,J199 - TARIFAS!G$2) * TARIFAS!F$2)
</f>
        <v>0</v>
      </c>
      <c r="N199" s="45">
        <f>+L199*TARIFAS!$K$2</f>
        <v>0</v>
      </c>
      <c r="O199" s="45">
        <f t="shared" si="1"/>
        <v>0</v>
      </c>
      <c r="P199" s="45">
        <f>+M199+O199+K199+(+I199-(I199*TARIFAS!$K$2))</f>
        <v>0</v>
      </c>
      <c r="Q199" s="42" t="str">
        <f>CONFERENCIAS!T199</f>
        <v/>
      </c>
      <c r="R199" s="45" t="str">
        <f>CONFERENCIAS!U199</f>
        <v/>
      </c>
      <c r="S199" s="45" t="str">
        <f>CONFERENCIAS!W199</f>
        <v/>
      </c>
      <c r="T199" s="48">
        <f>IF(Q199="",0,
   IF(E199=1,
      IF(H199="Presencial",
         VLOOKUP(D199,TARIFAS!A:K,3,FALSE) + IF(I199="Sí",VLOOKUP(D199,TARIFAS!A:K,5,FALSE),0),
         VLOOKUP(D199,TARIFAS!A:K,4,FALSE) + IF(I199="Sí",VLOOKUP(D199,TARIFAS!A:K,5,FALSE),0)
      ),
      IF(H199="Presencial",
         VLOOKUP(D199,TARIFAS!A:K,9,FALSE) + IF(I199="Sí",VLOOKUP(D199,TARIFAS!A:K,11,FALSE),0),
         VLOOKUP(D199,TARIFAS!A:K,10,FALSE) + IF(I199="Sí",VLOOKUP(D199,TARIFAS!A:K,11,FALSE),0)
      )
   )
)
</f>
        <v>0</v>
      </c>
      <c r="U199" s="45">
        <f>IF(R199="",0,MAX(0,R199 - TARIFAS!G$2) * TARIFAS!F$2)
</f>
        <v>0</v>
      </c>
      <c r="V199" s="45">
        <f>+T199*TARIFAS!$K$2</f>
        <v>0</v>
      </c>
      <c r="W199" s="45">
        <f t="shared" si="2"/>
        <v>0</v>
      </c>
      <c r="X199" s="45">
        <f t="shared" si="3"/>
        <v>0</v>
      </c>
      <c r="Y199" s="45">
        <f t="shared" si="4"/>
        <v>0</v>
      </c>
      <c r="Z199" s="42" t="str">
        <f>CONFERENCIAS!AB199</f>
        <v/>
      </c>
      <c r="AA199" s="42" t="str">
        <f>CONFERENCIAS!AC199</f>
        <v/>
      </c>
      <c r="AB199" s="47" t="str">
        <f t="shared" si="5"/>
        <v/>
      </c>
      <c r="AC199" s="9" t="str">
        <f t="shared" si="6"/>
        <v/>
      </c>
    </row>
    <row r="200">
      <c r="A200" s="42" t="str">
        <f>CONFERENCIAS!A200</f>
        <v/>
      </c>
      <c r="D200" s="42" t="str">
        <f>CONFERENCIAS!C200</f>
        <v/>
      </c>
      <c r="E200" s="42" t="str">
        <f>CONFERENCIAS!K200</f>
        <v/>
      </c>
      <c r="F200" s="49" t="str">
        <f>CONFERENCIAS!J200</f>
        <v/>
      </c>
      <c r="G200" s="42" t="str">
        <f>CONFERENCIAS!O200</f>
        <v/>
      </c>
      <c r="H200" s="42" t="str">
        <f>CONFERENCIAS!X200</f>
        <v/>
      </c>
      <c r="I200" s="42" t="str">
        <f>CONFERENCIAS!AA200</f>
        <v/>
      </c>
      <c r="J200" s="44" t="str">
        <f>CONFERENCIAS!P200</f>
        <v/>
      </c>
      <c r="K200" s="45" t="str">
        <f>CONFERENCIAS!R200</f>
        <v/>
      </c>
      <c r="L200" s="45">
        <f>IF(D200="",0,
 IF(E200=1,
   IF(H200="Presencial",
      VLOOKUP(D200,TARIFAS!A:K,3,FALSE) + IF(I200="Sí",VLOOKUP(D200,TARIFAS!A:K,5,FALSE),0),
      VLOOKUP(D200,TARIFAS!A:K,4,FALSE) + IF(I200="Sí",VLOOKUP(D200,TARIFAS!A:K,5,FALSE),0)
   ),
   IF(H200="Presencial",
      VLOOKUP(D200,TARIFAS!A:K,9,FALSE) + IF(I200="Sí",VLOOKUP(D200,TARIFAS!A:K,11,FALSE),0),
      VLOOKUP(D200,TARIFAS!A:K,10,FALSE) + IF(I200="Sí",VLOOKUP(D200,TARIFAS!A:K,11,FALSE),0)
   )
 )
)
</f>
        <v>0</v>
      </c>
      <c r="M200" s="45">
        <f>IF(J200="",0,MAX(0,J200 - TARIFAS!G$2) * TARIFAS!F$2)
</f>
        <v>0</v>
      </c>
      <c r="N200" s="45">
        <f>+L200*TARIFAS!$K$2</f>
        <v>0</v>
      </c>
      <c r="O200" s="45">
        <f t="shared" si="1"/>
        <v>0</v>
      </c>
      <c r="P200" s="45">
        <f>+M200+O200+K200+(+I200-(I200*TARIFAS!$K$2))</f>
        <v>0</v>
      </c>
      <c r="Q200" s="42" t="str">
        <f>CONFERENCIAS!T200</f>
        <v/>
      </c>
      <c r="R200" s="45" t="str">
        <f>CONFERENCIAS!U200</f>
        <v/>
      </c>
      <c r="S200" s="45" t="str">
        <f>CONFERENCIAS!W200</f>
        <v/>
      </c>
      <c r="T200" s="48">
        <f>IF(Q200="",0,
   IF(E200=1,
      IF(H200="Presencial",
         VLOOKUP(D200,TARIFAS!A:K,3,FALSE) + IF(I200="Sí",VLOOKUP(D200,TARIFAS!A:K,5,FALSE),0),
         VLOOKUP(D200,TARIFAS!A:K,4,FALSE) + IF(I200="Sí",VLOOKUP(D200,TARIFAS!A:K,5,FALSE),0)
      ),
      IF(H200="Presencial",
         VLOOKUP(D200,TARIFAS!A:K,9,FALSE) + IF(I200="Sí",VLOOKUP(D200,TARIFAS!A:K,11,FALSE),0),
         VLOOKUP(D200,TARIFAS!A:K,10,FALSE) + IF(I200="Sí",VLOOKUP(D200,TARIFAS!A:K,11,FALSE),0)
      )
   )
)
</f>
        <v>0</v>
      </c>
      <c r="U200" s="45">
        <f>IF(R200="",0,MAX(0,R200 - TARIFAS!G$2) * TARIFAS!F$2)
</f>
        <v>0</v>
      </c>
      <c r="V200" s="45">
        <f>+T200*TARIFAS!$K$2</f>
        <v>0</v>
      </c>
      <c r="W200" s="45">
        <f t="shared" si="2"/>
        <v>0</v>
      </c>
      <c r="X200" s="45">
        <f t="shared" si="3"/>
        <v>0</v>
      </c>
      <c r="Y200" s="45">
        <f t="shared" si="4"/>
        <v>0</v>
      </c>
      <c r="Z200" s="42" t="str">
        <f>CONFERENCIAS!AB200</f>
        <v/>
      </c>
      <c r="AA200" s="42" t="str">
        <f>CONFERENCIAS!AC200</f>
        <v/>
      </c>
      <c r="AB200" s="47" t="str">
        <f t="shared" si="5"/>
        <v/>
      </c>
      <c r="AC200" s="9" t="str">
        <f t="shared" si="6"/>
        <v/>
      </c>
    </row>
    <row r="201">
      <c r="A201" s="42" t="str">
        <f>CONFERENCIAS!A201</f>
        <v/>
      </c>
      <c r="D201" s="42" t="str">
        <f>CONFERENCIAS!C201</f>
        <v/>
      </c>
      <c r="E201" s="42" t="str">
        <f>CONFERENCIAS!K201</f>
        <v/>
      </c>
      <c r="F201" s="49" t="str">
        <f>CONFERENCIAS!J201</f>
        <v/>
      </c>
      <c r="G201" s="42" t="str">
        <f>CONFERENCIAS!O201</f>
        <v/>
      </c>
      <c r="H201" s="42" t="str">
        <f>CONFERENCIAS!X201</f>
        <v/>
      </c>
      <c r="I201" s="42" t="str">
        <f>CONFERENCIAS!AA201</f>
        <v/>
      </c>
      <c r="J201" s="44" t="str">
        <f>CONFERENCIAS!P201</f>
        <v/>
      </c>
      <c r="K201" s="45" t="str">
        <f>CONFERENCIAS!R201</f>
        <v/>
      </c>
      <c r="L201" s="45">
        <f>IF(D201="",0,
 IF(E201=1,
   IF(H201="Presencial",
      VLOOKUP(D201,TARIFAS!A:K,3,FALSE) + IF(I201="Sí",VLOOKUP(D201,TARIFAS!A:K,5,FALSE),0),
      VLOOKUP(D201,TARIFAS!A:K,4,FALSE) + IF(I201="Sí",VLOOKUP(D201,TARIFAS!A:K,5,FALSE),0)
   ),
   IF(H201="Presencial",
      VLOOKUP(D201,TARIFAS!A:K,9,FALSE) + IF(I201="Sí",VLOOKUP(D201,TARIFAS!A:K,11,FALSE),0),
      VLOOKUP(D201,TARIFAS!A:K,10,FALSE) + IF(I201="Sí",VLOOKUP(D201,TARIFAS!A:K,11,FALSE),0)
   )
 )
)
</f>
        <v>0</v>
      </c>
      <c r="M201" s="45">
        <f>IF(J201="",0,MAX(0,J201 - TARIFAS!G$2) * TARIFAS!F$2)
</f>
        <v>0</v>
      </c>
      <c r="N201" s="45">
        <f>+L201*TARIFAS!$K$2</f>
        <v>0</v>
      </c>
      <c r="O201" s="45">
        <f t="shared" si="1"/>
        <v>0</v>
      </c>
      <c r="P201" s="45">
        <f>+M201+O201+K201+(+I201-(I201*TARIFAS!$K$2))</f>
        <v>0</v>
      </c>
      <c r="Q201" s="42" t="str">
        <f>CONFERENCIAS!T201</f>
        <v/>
      </c>
      <c r="R201" s="45" t="str">
        <f>CONFERENCIAS!U201</f>
        <v/>
      </c>
      <c r="S201" s="45" t="str">
        <f>CONFERENCIAS!W201</f>
        <v/>
      </c>
      <c r="T201" s="48">
        <f>IF(Q201="",0,
   IF(E201=1,
      IF(H201="Presencial",
         VLOOKUP(D201,TARIFAS!A:K,3,FALSE) + IF(I201="Sí",VLOOKUP(D201,TARIFAS!A:K,5,FALSE),0),
         VLOOKUP(D201,TARIFAS!A:K,4,FALSE) + IF(I201="Sí",VLOOKUP(D201,TARIFAS!A:K,5,FALSE),0)
      ),
      IF(H201="Presencial",
         VLOOKUP(D201,TARIFAS!A:K,9,FALSE) + IF(I201="Sí",VLOOKUP(D201,TARIFAS!A:K,11,FALSE),0),
         VLOOKUP(D201,TARIFAS!A:K,10,FALSE) + IF(I201="Sí",VLOOKUP(D201,TARIFAS!A:K,11,FALSE),0)
      )
   )
)
</f>
        <v>0</v>
      </c>
      <c r="U201" s="45">
        <f>IF(R201="",0,MAX(0,R201 - TARIFAS!G$2) * TARIFAS!F$2)
</f>
        <v>0</v>
      </c>
      <c r="V201" s="45">
        <f>+T201*TARIFAS!$K$2</f>
        <v>0</v>
      </c>
      <c r="W201" s="45">
        <f t="shared" si="2"/>
        <v>0</v>
      </c>
      <c r="X201" s="45">
        <f t="shared" si="3"/>
        <v>0</v>
      </c>
      <c r="Y201" s="45">
        <f t="shared" si="4"/>
        <v>0</v>
      </c>
      <c r="Z201" s="42" t="str">
        <f>CONFERENCIAS!AB201</f>
        <v/>
      </c>
      <c r="AA201" s="42" t="str">
        <f>CONFERENCIAS!AC201</f>
        <v/>
      </c>
      <c r="AB201" s="47" t="str">
        <f t="shared" si="5"/>
        <v/>
      </c>
      <c r="AC201" s="9" t="str">
        <f t="shared" si="6"/>
        <v/>
      </c>
    </row>
    <row r="202">
      <c r="A202" s="42" t="str">
        <f>CONFERENCIAS!A202</f>
        <v/>
      </c>
      <c r="D202" s="42" t="str">
        <f>CONFERENCIAS!C202</f>
        <v/>
      </c>
      <c r="E202" s="42" t="str">
        <f>CONFERENCIAS!K202</f>
        <v/>
      </c>
      <c r="F202" s="49" t="str">
        <f>CONFERENCIAS!J202</f>
        <v/>
      </c>
      <c r="G202" s="42" t="str">
        <f>CONFERENCIAS!O202</f>
        <v/>
      </c>
      <c r="H202" s="42" t="str">
        <f>CONFERENCIAS!X202</f>
        <v/>
      </c>
      <c r="I202" s="42" t="str">
        <f>CONFERENCIAS!AA202</f>
        <v/>
      </c>
      <c r="J202" s="44" t="str">
        <f>CONFERENCIAS!P202</f>
        <v/>
      </c>
      <c r="K202" s="45" t="str">
        <f>CONFERENCIAS!R202</f>
        <v/>
      </c>
      <c r="L202" s="45">
        <f>IF(D202="",0,
 IF(E202=1,
   IF(H202="Presencial",
      VLOOKUP(D202,TARIFAS!A:K,3,FALSE) + IF(I202="Sí",VLOOKUP(D202,TARIFAS!A:K,5,FALSE),0),
      VLOOKUP(D202,TARIFAS!A:K,4,FALSE) + IF(I202="Sí",VLOOKUP(D202,TARIFAS!A:K,5,FALSE),0)
   ),
   IF(H202="Presencial",
      VLOOKUP(D202,TARIFAS!A:K,9,FALSE) + IF(I202="Sí",VLOOKUP(D202,TARIFAS!A:K,11,FALSE),0),
      VLOOKUP(D202,TARIFAS!A:K,10,FALSE) + IF(I202="Sí",VLOOKUP(D202,TARIFAS!A:K,11,FALSE),0)
   )
 )
)
</f>
        <v>0</v>
      </c>
      <c r="M202" s="45">
        <f>IF(J202="",0,MAX(0,J202 - TARIFAS!G$2) * TARIFAS!F$2)
</f>
        <v>0</v>
      </c>
      <c r="N202" s="45">
        <f>+L202*TARIFAS!$K$2</f>
        <v>0</v>
      </c>
      <c r="O202" s="45">
        <f t="shared" si="1"/>
        <v>0</v>
      </c>
      <c r="P202" s="45">
        <f>+M202+O202+K202+(+I202-(I202*TARIFAS!$K$2))</f>
        <v>0</v>
      </c>
      <c r="Q202" s="42" t="str">
        <f>CONFERENCIAS!T202</f>
        <v/>
      </c>
      <c r="R202" s="45" t="str">
        <f>CONFERENCIAS!U202</f>
        <v/>
      </c>
      <c r="S202" s="45" t="str">
        <f>CONFERENCIAS!W202</f>
        <v/>
      </c>
      <c r="T202" s="48">
        <f>IF(Q202="",0,
   IF(E202=1,
      IF(H202="Presencial",
         VLOOKUP(D202,TARIFAS!A:K,3,FALSE) + IF(I202="Sí",VLOOKUP(D202,TARIFAS!A:K,5,FALSE),0),
         VLOOKUP(D202,TARIFAS!A:K,4,FALSE) + IF(I202="Sí",VLOOKUP(D202,TARIFAS!A:K,5,FALSE),0)
      ),
      IF(H202="Presencial",
         VLOOKUP(D202,TARIFAS!A:K,9,FALSE) + IF(I202="Sí",VLOOKUP(D202,TARIFAS!A:K,11,FALSE),0),
         VLOOKUP(D202,TARIFAS!A:K,10,FALSE) + IF(I202="Sí",VLOOKUP(D202,TARIFAS!A:K,11,FALSE),0)
      )
   )
)
</f>
        <v>0</v>
      </c>
      <c r="U202" s="45">
        <f>IF(R202="",0,MAX(0,R202 - TARIFAS!G$2) * TARIFAS!F$2)
</f>
        <v>0</v>
      </c>
      <c r="V202" s="45">
        <f>+T202*TARIFAS!$K$2</f>
        <v>0</v>
      </c>
      <c r="W202" s="45">
        <f t="shared" si="2"/>
        <v>0</v>
      </c>
      <c r="X202" s="45">
        <f t="shared" si="3"/>
        <v>0</v>
      </c>
      <c r="Y202" s="45">
        <f t="shared" si="4"/>
        <v>0</v>
      </c>
      <c r="Z202" s="42" t="str">
        <f>CONFERENCIAS!AB202</f>
        <v/>
      </c>
      <c r="AA202" s="42" t="str">
        <f>CONFERENCIAS!AC202</f>
        <v/>
      </c>
      <c r="AB202" s="47" t="str">
        <f t="shared" si="5"/>
        <v/>
      </c>
      <c r="AC202" s="9" t="str">
        <f t="shared" si="6"/>
        <v/>
      </c>
    </row>
    <row r="203">
      <c r="A203" s="42" t="str">
        <f>CONFERENCIAS!A203</f>
        <v/>
      </c>
      <c r="D203" s="42" t="str">
        <f>CONFERENCIAS!C203</f>
        <v/>
      </c>
      <c r="E203" s="42" t="str">
        <f>CONFERENCIAS!K203</f>
        <v/>
      </c>
      <c r="F203" s="49" t="str">
        <f>CONFERENCIAS!J203</f>
        <v/>
      </c>
      <c r="G203" s="42" t="str">
        <f>CONFERENCIAS!O203</f>
        <v/>
      </c>
      <c r="H203" s="42" t="str">
        <f>CONFERENCIAS!X203</f>
        <v/>
      </c>
      <c r="I203" s="42" t="str">
        <f>CONFERENCIAS!AA203</f>
        <v/>
      </c>
      <c r="J203" s="44" t="str">
        <f>CONFERENCIAS!P203</f>
        <v/>
      </c>
      <c r="K203" s="45" t="str">
        <f>CONFERENCIAS!R203</f>
        <v/>
      </c>
      <c r="L203" s="45">
        <f>IF(D203="",0,
 IF(E203=1,
   IF(H203="Presencial",
      VLOOKUP(D203,TARIFAS!A:K,3,FALSE) + IF(I203="Sí",VLOOKUP(D203,TARIFAS!A:K,5,FALSE),0),
      VLOOKUP(D203,TARIFAS!A:K,4,FALSE) + IF(I203="Sí",VLOOKUP(D203,TARIFAS!A:K,5,FALSE),0)
   ),
   IF(H203="Presencial",
      VLOOKUP(D203,TARIFAS!A:K,9,FALSE) + IF(I203="Sí",VLOOKUP(D203,TARIFAS!A:K,11,FALSE),0),
      VLOOKUP(D203,TARIFAS!A:K,10,FALSE) + IF(I203="Sí",VLOOKUP(D203,TARIFAS!A:K,11,FALSE),0)
   )
 )
)
</f>
        <v>0</v>
      </c>
      <c r="M203" s="45">
        <f>IF(J203="",0,MAX(0,J203 - TARIFAS!G$2) * TARIFAS!F$2)
</f>
        <v>0</v>
      </c>
      <c r="N203" s="45">
        <f>+L203*TARIFAS!$K$2</f>
        <v>0</v>
      </c>
      <c r="O203" s="45">
        <f t="shared" si="1"/>
        <v>0</v>
      </c>
      <c r="P203" s="45">
        <f>+M203+O203+K203+(+I203-(I203*TARIFAS!$K$2))</f>
        <v>0</v>
      </c>
      <c r="Q203" s="42" t="str">
        <f>CONFERENCIAS!T203</f>
        <v/>
      </c>
      <c r="R203" s="45" t="str">
        <f>CONFERENCIAS!U203</f>
        <v/>
      </c>
      <c r="S203" s="45" t="str">
        <f>CONFERENCIAS!W203</f>
        <v/>
      </c>
      <c r="T203" s="48">
        <f>IF(Q203="",0,
   IF(E203=1,
      IF(H203="Presencial",
         VLOOKUP(D203,TARIFAS!A:K,3,FALSE) + IF(I203="Sí",VLOOKUP(D203,TARIFAS!A:K,5,FALSE),0),
         VLOOKUP(D203,TARIFAS!A:K,4,FALSE) + IF(I203="Sí",VLOOKUP(D203,TARIFAS!A:K,5,FALSE),0)
      ),
      IF(H203="Presencial",
         VLOOKUP(D203,TARIFAS!A:K,9,FALSE) + IF(I203="Sí",VLOOKUP(D203,TARIFAS!A:K,11,FALSE),0),
         VLOOKUP(D203,TARIFAS!A:K,10,FALSE) + IF(I203="Sí",VLOOKUP(D203,TARIFAS!A:K,11,FALSE),0)
      )
   )
)
</f>
        <v>0</v>
      </c>
      <c r="U203" s="45">
        <f>IF(R203="",0,MAX(0,R203 - TARIFAS!G$2) * TARIFAS!F$2)
</f>
        <v>0</v>
      </c>
      <c r="V203" s="45">
        <f>+T203*TARIFAS!$K$2</f>
        <v>0</v>
      </c>
      <c r="W203" s="45">
        <f t="shared" si="2"/>
        <v>0</v>
      </c>
      <c r="X203" s="45">
        <f t="shared" si="3"/>
        <v>0</v>
      </c>
      <c r="Y203" s="45">
        <f t="shared" si="4"/>
        <v>0</v>
      </c>
      <c r="Z203" s="42" t="str">
        <f>CONFERENCIAS!AB203</f>
        <v/>
      </c>
      <c r="AA203" s="42" t="str">
        <f>CONFERENCIAS!AC203</f>
        <v/>
      </c>
      <c r="AB203" s="47" t="str">
        <f t="shared" si="5"/>
        <v/>
      </c>
      <c r="AC203" s="9" t="str">
        <f t="shared" si="6"/>
        <v/>
      </c>
    </row>
    <row r="204">
      <c r="A204" s="42" t="str">
        <f>CONFERENCIAS!A204</f>
        <v/>
      </c>
      <c r="D204" s="42" t="str">
        <f>CONFERENCIAS!C204</f>
        <v/>
      </c>
      <c r="E204" s="42" t="str">
        <f>CONFERENCIAS!K204</f>
        <v/>
      </c>
      <c r="F204" s="49" t="str">
        <f>CONFERENCIAS!J204</f>
        <v/>
      </c>
      <c r="G204" s="42" t="str">
        <f>CONFERENCIAS!O204</f>
        <v/>
      </c>
      <c r="H204" s="42" t="str">
        <f>CONFERENCIAS!X204</f>
        <v/>
      </c>
      <c r="I204" s="42" t="str">
        <f>CONFERENCIAS!AA204</f>
        <v/>
      </c>
      <c r="J204" s="44" t="str">
        <f>CONFERENCIAS!P204</f>
        <v/>
      </c>
      <c r="K204" s="45" t="str">
        <f>CONFERENCIAS!R204</f>
        <v/>
      </c>
      <c r="L204" s="45">
        <f>IF(D204="",0,
 IF(E204=1,
   IF(H204="Presencial",
      VLOOKUP(D204,TARIFAS!A:K,3,FALSE) + IF(I204="Sí",VLOOKUP(D204,TARIFAS!A:K,5,FALSE),0),
      VLOOKUP(D204,TARIFAS!A:K,4,FALSE) + IF(I204="Sí",VLOOKUP(D204,TARIFAS!A:K,5,FALSE),0)
   ),
   IF(H204="Presencial",
      VLOOKUP(D204,TARIFAS!A:K,9,FALSE) + IF(I204="Sí",VLOOKUP(D204,TARIFAS!A:K,11,FALSE),0),
      VLOOKUP(D204,TARIFAS!A:K,10,FALSE) + IF(I204="Sí",VLOOKUP(D204,TARIFAS!A:K,11,FALSE),0)
   )
 )
)
</f>
        <v>0</v>
      </c>
      <c r="M204" s="45">
        <f>IF(J204="",0,MAX(0,J204 - TARIFAS!G$2) * TARIFAS!F$2)
</f>
        <v>0</v>
      </c>
      <c r="N204" s="45">
        <f>+L204*TARIFAS!$K$2</f>
        <v>0</v>
      </c>
      <c r="O204" s="45">
        <f t="shared" si="1"/>
        <v>0</v>
      </c>
      <c r="P204" s="45">
        <f>+M204+O204+K204+(+I204-(I204*TARIFAS!$K$2))</f>
        <v>0</v>
      </c>
      <c r="Q204" s="42" t="str">
        <f>CONFERENCIAS!T204</f>
        <v/>
      </c>
      <c r="R204" s="45" t="str">
        <f>CONFERENCIAS!U204</f>
        <v/>
      </c>
      <c r="S204" s="45" t="str">
        <f>CONFERENCIAS!W204</f>
        <v/>
      </c>
      <c r="T204" s="48">
        <f>IF(Q204="",0,
   IF(E204=1,
      IF(H204="Presencial",
         VLOOKUP(D204,TARIFAS!A:K,3,FALSE) + IF(I204="Sí",VLOOKUP(D204,TARIFAS!A:K,5,FALSE),0),
         VLOOKUP(D204,TARIFAS!A:K,4,FALSE) + IF(I204="Sí",VLOOKUP(D204,TARIFAS!A:K,5,FALSE),0)
      ),
      IF(H204="Presencial",
         VLOOKUP(D204,TARIFAS!A:K,9,FALSE) + IF(I204="Sí",VLOOKUP(D204,TARIFAS!A:K,11,FALSE),0),
         VLOOKUP(D204,TARIFAS!A:K,10,FALSE) + IF(I204="Sí",VLOOKUP(D204,TARIFAS!A:K,11,FALSE),0)
      )
   )
)
</f>
        <v>0</v>
      </c>
      <c r="U204" s="45">
        <f>IF(R204="",0,MAX(0,R204 - TARIFAS!G$2) * TARIFAS!F$2)
</f>
        <v>0</v>
      </c>
      <c r="V204" s="45">
        <f>+T204*TARIFAS!$K$2</f>
        <v>0</v>
      </c>
      <c r="W204" s="45">
        <f t="shared" si="2"/>
        <v>0</v>
      </c>
      <c r="X204" s="45">
        <f t="shared" si="3"/>
        <v>0</v>
      </c>
      <c r="Y204" s="45">
        <f t="shared" si="4"/>
        <v>0</v>
      </c>
      <c r="Z204" s="42" t="str">
        <f>CONFERENCIAS!AB204</f>
        <v/>
      </c>
      <c r="AA204" s="42" t="str">
        <f>CONFERENCIAS!AC204</f>
        <v/>
      </c>
      <c r="AB204" s="47" t="str">
        <f t="shared" si="5"/>
        <v/>
      </c>
      <c r="AC204" s="9" t="str">
        <f t="shared" si="6"/>
        <v/>
      </c>
    </row>
    <row r="205">
      <c r="A205" s="42" t="str">
        <f>CONFERENCIAS!A205</f>
        <v/>
      </c>
      <c r="D205" s="42" t="str">
        <f>CONFERENCIAS!C205</f>
        <v/>
      </c>
      <c r="E205" s="42" t="str">
        <f>CONFERENCIAS!K205</f>
        <v/>
      </c>
      <c r="F205" s="49" t="str">
        <f>CONFERENCIAS!J205</f>
        <v/>
      </c>
      <c r="G205" s="42" t="str">
        <f>CONFERENCIAS!O205</f>
        <v/>
      </c>
      <c r="H205" s="42" t="str">
        <f>CONFERENCIAS!X205</f>
        <v/>
      </c>
      <c r="I205" s="42" t="str">
        <f>CONFERENCIAS!AA205</f>
        <v/>
      </c>
      <c r="J205" s="44" t="str">
        <f>CONFERENCIAS!P205</f>
        <v/>
      </c>
      <c r="K205" s="45" t="str">
        <f>CONFERENCIAS!R205</f>
        <v/>
      </c>
      <c r="L205" s="45">
        <f>IF(D205="",0,
 IF(E205=1,
   IF(H205="Presencial",
      VLOOKUP(D205,TARIFAS!A:K,3,FALSE) + IF(I205="Sí",VLOOKUP(D205,TARIFAS!A:K,5,FALSE),0),
      VLOOKUP(D205,TARIFAS!A:K,4,FALSE) + IF(I205="Sí",VLOOKUP(D205,TARIFAS!A:K,5,FALSE),0)
   ),
   IF(H205="Presencial",
      VLOOKUP(D205,TARIFAS!A:K,9,FALSE) + IF(I205="Sí",VLOOKUP(D205,TARIFAS!A:K,11,FALSE),0),
      VLOOKUP(D205,TARIFAS!A:K,10,FALSE) + IF(I205="Sí",VLOOKUP(D205,TARIFAS!A:K,11,FALSE),0)
   )
 )
)
</f>
        <v>0</v>
      </c>
      <c r="M205" s="45">
        <f>IF(J205="",0,MAX(0,J205 - TARIFAS!G$2) * TARIFAS!F$2)
</f>
        <v>0</v>
      </c>
      <c r="N205" s="45">
        <f>+L205*TARIFAS!$K$2</f>
        <v>0</v>
      </c>
      <c r="O205" s="45">
        <f t="shared" si="1"/>
        <v>0</v>
      </c>
      <c r="P205" s="45">
        <f>+M205+O205+K205+(+I205-(I205*TARIFAS!$K$2))</f>
        <v>0</v>
      </c>
      <c r="Q205" s="42" t="str">
        <f>CONFERENCIAS!T205</f>
        <v/>
      </c>
      <c r="R205" s="45" t="str">
        <f>CONFERENCIAS!U205</f>
        <v/>
      </c>
      <c r="S205" s="45" t="str">
        <f>CONFERENCIAS!W205</f>
        <v/>
      </c>
      <c r="T205" s="48">
        <f>IF(Q205="",0,
   IF(E205=1,
      IF(H205="Presencial",
         VLOOKUP(D205,TARIFAS!A:K,3,FALSE) + IF(I205="Sí",VLOOKUP(D205,TARIFAS!A:K,5,FALSE),0),
         VLOOKUP(D205,TARIFAS!A:K,4,FALSE) + IF(I205="Sí",VLOOKUP(D205,TARIFAS!A:K,5,FALSE),0)
      ),
      IF(H205="Presencial",
         VLOOKUP(D205,TARIFAS!A:K,9,FALSE) + IF(I205="Sí",VLOOKUP(D205,TARIFAS!A:K,11,FALSE),0),
         VLOOKUP(D205,TARIFAS!A:K,10,FALSE) + IF(I205="Sí",VLOOKUP(D205,TARIFAS!A:K,11,FALSE),0)
      )
   )
)
</f>
        <v>0</v>
      </c>
      <c r="U205" s="45">
        <f>IF(R205="",0,MAX(0,R205 - TARIFAS!G$2) * TARIFAS!F$2)
</f>
        <v>0</v>
      </c>
      <c r="V205" s="45">
        <f>+T205*TARIFAS!$K$2</f>
        <v>0</v>
      </c>
      <c r="W205" s="45">
        <f t="shared" si="2"/>
        <v>0</v>
      </c>
      <c r="X205" s="45">
        <f t="shared" si="3"/>
        <v>0</v>
      </c>
      <c r="Y205" s="45">
        <f t="shared" si="4"/>
        <v>0</v>
      </c>
      <c r="Z205" s="42" t="str">
        <f>CONFERENCIAS!AB205</f>
        <v/>
      </c>
      <c r="AA205" s="42" t="str">
        <f>CONFERENCIAS!AC205</f>
        <v/>
      </c>
      <c r="AB205" s="47" t="str">
        <f t="shared" si="5"/>
        <v/>
      </c>
      <c r="AC205" s="9" t="str">
        <f t="shared" si="6"/>
        <v/>
      </c>
    </row>
    <row r="206">
      <c r="A206" s="42" t="str">
        <f>CONFERENCIAS!A206</f>
        <v/>
      </c>
      <c r="D206" s="42" t="str">
        <f>CONFERENCIAS!C206</f>
        <v/>
      </c>
      <c r="E206" s="42" t="str">
        <f>CONFERENCIAS!K206</f>
        <v/>
      </c>
      <c r="F206" s="49" t="str">
        <f>CONFERENCIAS!J206</f>
        <v/>
      </c>
      <c r="G206" s="42" t="str">
        <f>CONFERENCIAS!O206</f>
        <v/>
      </c>
      <c r="H206" s="42" t="str">
        <f>CONFERENCIAS!X206</f>
        <v/>
      </c>
      <c r="I206" s="42" t="str">
        <f>CONFERENCIAS!AA206</f>
        <v/>
      </c>
      <c r="J206" s="44" t="str">
        <f>CONFERENCIAS!P206</f>
        <v/>
      </c>
      <c r="K206" s="45" t="str">
        <f>CONFERENCIAS!R206</f>
        <v/>
      </c>
      <c r="L206" s="45">
        <f>IF(D206="",0,
 IF(E206=1,
   IF(H206="Presencial",
      VLOOKUP(D206,TARIFAS!A:K,3,FALSE) + IF(I206="Sí",VLOOKUP(D206,TARIFAS!A:K,5,FALSE),0),
      VLOOKUP(D206,TARIFAS!A:K,4,FALSE) + IF(I206="Sí",VLOOKUP(D206,TARIFAS!A:K,5,FALSE),0)
   ),
   IF(H206="Presencial",
      VLOOKUP(D206,TARIFAS!A:K,9,FALSE) + IF(I206="Sí",VLOOKUP(D206,TARIFAS!A:K,11,FALSE),0),
      VLOOKUP(D206,TARIFAS!A:K,10,FALSE) + IF(I206="Sí",VLOOKUP(D206,TARIFAS!A:K,11,FALSE),0)
   )
 )
)
</f>
        <v>0</v>
      </c>
      <c r="M206" s="45">
        <f>IF(J206="",0,MAX(0,J206 - TARIFAS!G$2) * TARIFAS!F$2)
</f>
        <v>0</v>
      </c>
      <c r="N206" s="45">
        <f>+L206*TARIFAS!$K$2</f>
        <v>0</v>
      </c>
      <c r="O206" s="45">
        <f t="shared" si="1"/>
        <v>0</v>
      </c>
      <c r="P206" s="45">
        <f>+M206+O206+K206+(+I206-(I206*TARIFAS!$K$2))</f>
        <v>0</v>
      </c>
      <c r="Q206" s="42" t="str">
        <f>CONFERENCIAS!T206</f>
        <v/>
      </c>
      <c r="R206" s="45" t="str">
        <f>CONFERENCIAS!U206</f>
        <v/>
      </c>
      <c r="S206" s="45" t="str">
        <f>CONFERENCIAS!W206</f>
        <v/>
      </c>
      <c r="T206" s="48">
        <f>IF(Q206="",0,
   IF(E206=1,
      IF(H206="Presencial",
         VLOOKUP(D206,TARIFAS!A:K,3,FALSE) + IF(I206="Sí",VLOOKUP(D206,TARIFAS!A:K,5,FALSE),0),
         VLOOKUP(D206,TARIFAS!A:K,4,FALSE) + IF(I206="Sí",VLOOKUP(D206,TARIFAS!A:K,5,FALSE),0)
      ),
      IF(H206="Presencial",
         VLOOKUP(D206,TARIFAS!A:K,9,FALSE) + IF(I206="Sí",VLOOKUP(D206,TARIFAS!A:K,11,FALSE),0),
         VLOOKUP(D206,TARIFAS!A:K,10,FALSE) + IF(I206="Sí",VLOOKUP(D206,TARIFAS!A:K,11,FALSE),0)
      )
   )
)
</f>
        <v>0</v>
      </c>
      <c r="U206" s="45">
        <f>IF(R206="",0,MAX(0,R206 - TARIFAS!G$2) * TARIFAS!F$2)
</f>
        <v>0</v>
      </c>
      <c r="V206" s="45">
        <f>+T206*TARIFAS!$K$2</f>
        <v>0</v>
      </c>
      <c r="W206" s="45">
        <f t="shared" si="2"/>
        <v>0</v>
      </c>
      <c r="X206" s="45">
        <f t="shared" si="3"/>
        <v>0</v>
      </c>
      <c r="Y206" s="45">
        <f t="shared" si="4"/>
        <v>0</v>
      </c>
      <c r="Z206" s="42" t="str">
        <f>CONFERENCIAS!AB206</f>
        <v/>
      </c>
      <c r="AA206" s="42" t="str">
        <f>CONFERENCIAS!AC206</f>
        <v/>
      </c>
      <c r="AB206" s="47" t="str">
        <f t="shared" si="5"/>
        <v/>
      </c>
      <c r="AC206" s="9" t="str">
        <f t="shared" si="6"/>
        <v/>
      </c>
    </row>
    <row r="207">
      <c r="A207" s="42" t="str">
        <f>CONFERENCIAS!A207</f>
        <v/>
      </c>
      <c r="D207" s="42" t="str">
        <f>CONFERENCIAS!C207</f>
        <v/>
      </c>
      <c r="E207" s="42" t="str">
        <f>CONFERENCIAS!K207</f>
        <v/>
      </c>
      <c r="F207" s="49" t="str">
        <f>CONFERENCIAS!J207</f>
        <v/>
      </c>
      <c r="G207" s="42" t="str">
        <f>CONFERENCIAS!O207</f>
        <v/>
      </c>
      <c r="H207" s="42" t="str">
        <f>CONFERENCIAS!X207</f>
        <v/>
      </c>
      <c r="I207" s="42" t="str">
        <f>CONFERENCIAS!AA207</f>
        <v/>
      </c>
      <c r="J207" s="44" t="str">
        <f>CONFERENCIAS!P207</f>
        <v/>
      </c>
      <c r="K207" s="45" t="str">
        <f>CONFERENCIAS!R207</f>
        <v/>
      </c>
      <c r="L207" s="45">
        <f>IF(D207="",0,
 IF(E207=1,
   IF(H207="Presencial",
      VLOOKUP(D207,TARIFAS!A:K,3,FALSE) + IF(I207="Sí",VLOOKUP(D207,TARIFAS!A:K,5,FALSE),0),
      VLOOKUP(D207,TARIFAS!A:K,4,FALSE) + IF(I207="Sí",VLOOKUP(D207,TARIFAS!A:K,5,FALSE),0)
   ),
   IF(H207="Presencial",
      VLOOKUP(D207,TARIFAS!A:K,9,FALSE) + IF(I207="Sí",VLOOKUP(D207,TARIFAS!A:K,11,FALSE),0),
      VLOOKUP(D207,TARIFAS!A:K,10,FALSE) + IF(I207="Sí",VLOOKUP(D207,TARIFAS!A:K,11,FALSE),0)
   )
 )
)
</f>
        <v>0</v>
      </c>
      <c r="M207" s="45">
        <f>IF(J207="",0,MAX(0,J207 - TARIFAS!G$2) * TARIFAS!F$2)
</f>
        <v>0</v>
      </c>
      <c r="N207" s="45">
        <f>+L207*TARIFAS!$K$2</f>
        <v>0</v>
      </c>
      <c r="O207" s="45">
        <f t="shared" si="1"/>
        <v>0</v>
      </c>
      <c r="P207" s="45">
        <f>+M207+O207+K207+(+I207-(I207*TARIFAS!$K$2))</f>
        <v>0</v>
      </c>
      <c r="Q207" s="42" t="str">
        <f>CONFERENCIAS!T207</f>
        <v/>
      </c>
      <c r="R207" s="45" t="str">
        <f>CONFERENCIAS!U207</f>
        <v/>
      </c>
      <c r="S207" s="45" t="str">
        <f>CONFERENCIAS!W207</f>
        <v/>
      </c>
      <c r="T207" s="48">
        <f>IF(Q207="",0,
   IF(E207=1,
      IF(H207="Presencial",
         VLOOKUP(D207,TARIFAS!A:K,3,FALSE) + IF(I207="Sí",VLOOKUP(D207,TARIFAS!A:K,5,FALSE),0),
         VLOOKUP(D207,TARIFAS!A:K,4,FALSE) + IF(I207="Sí",VLOOKUP(D207,TARIFAS!A:K,5,FALSE),0)
      ),
      IF(H207="Presencial",
         VLOOKUP(D207,TARIFAS!A:K,9,FALSE) + IF(I207="Sí",VLOOKUP(D207,TARIFAS!A:K,11,FALSE),0),
         VLOOKUP(D207,TARIFAS!A:K,10,FALSE) + IF(I207="Sí",VLOOKUP(D207,TARIFAS!A:K,11,FALSE),0)
      )
   )
)
</f>
        <v>0</v>
      </c>
      <c r="U207" s="45">
        <f>IF(R207="",0,MAX(0,R207 - TARIFAS!G$2) * TARIFAS!F$2)
</f>
        <v>0</v>
      </c>
      <c r="V207" s="45">
        <f>+T207*TARIFAS!$K$2</f>
        <v>0</v>
      </c>
      <c r="W207" s="45">
        <f t="shared" si="2"/>
        <v>0</v>
      </c>
      <c r="X207" s="45">
        <f t="shared" si="3"/>
        <v>0</v>
      </c>
      <c r="Y207" s="45">
        <f t="shared" si="4"/>
        <v>0</v>
      </c>
      <c r="Z207" s="42" t="str">
        <f>CONFERENCIAS!AB207</f>
        <v/>
      </c>
      <c r="AA207" s="42" t="str">
        <f>CONFERENCIAS!AC207</f>
        <v/>
      </c>
      <c r="AB207" s="47" t="str">
        <f t="shared" si="5"/>
        <v/>
      </c>
      <c r="AC207" s="9" t="str">
        <f t="shared" si="6"/>
        <v/>
      </c>
    </row>
    <row r="208">
      <c r="A208" s="42" t="str">
        <f>CONFERENCIAS!A208</f>
        <v/>
      </c>
      <c r="D208" s="42" t="str">
        <f>CONFERENCIAS!C208</f>
        <v/>
      </c>
      <c r="E208" s="42" t="str">
        <f>CONFERENCIAS!K208</f>
        <v/>
      </c>
      <c r="F208" s="49" t="str">
        <f>CONFERENCIAS!J208</f>
        <v/>
      </c>
      <c r="G208" s="42" t="str">
        <f>CONFERENCIAS!O208</f>
        <v/>
      </c>
      <c r="H208" s="42" t="str">
        <f>CONFERENCIAS!X208</f>
        <v/>
      </c>
      <c r="I208" s="42" t="str">
        <f>CONFERENCIAS!AA208</f>
        <v/>
      </c>
      <c r="J208" s="44" t="str">
        <f>CONFERENCIAS!P208</f>
        <v/>
      </c>
      <c r="K208" s="45" t="str">
        <f>CONFERENCIAS!R208</f>
        <v/>
      </c>
      <c r="L208" s="45">
        <f>IF(D208="",0,
 IF(E208=1,
   IF(H208="Presencial",
      VLOOKUP(D208,TARIFAS!A:K,3,FALSE) + IF(I208="Sí",VLOOKUP(D208,TARIFAS!A:K,5,FALSE),0),
      VLOOKUP(D208,TARIFAS!A:K,4,FALSE) + IF(I208="Sí",VLOOKUP(D208,TARIFAS!A:K,5,FALSE),0)
   ),
   IF(H208="Presencial",
      VLOOKUP(D208,TARIFAS!A:K,9,FALSE) + IF(I208="Sí",VLOOKUP(D208,TARIFAS!A:K,11,FALSE),0),
      VLOOKUP(D208,TARIFAS!A:K,10,FALSE) + IF(I208="Sí",VLOOKUP(D208,TARIFAS!A:K,11,FALSE),0)
   )
 )
)
</f>
        <v>0</v>
      </c>
      <c r="M208" s="45">
        <f>IF(J208="",0,MAX(0,J208 - TARIFAS!G$2) * TARIFAS!F$2)
</f>
        <v>0</v>
      </c>
      <c r="N208" s="45">
        <f>+L208*TARIFAS!$K$2</f>
        <v>0</v>
      </c>
      <c r="O208" s="45">
        <f t="shared" si="1"/>
        <v>0</v>
      </c>
      <c r="P208" s="45">
        <f>+M208+O208+K208+(+I208-(I208*TARIFAS!$K$2))</f>
        <v>0</v>
      </c>
      <c r="Q208" s="42" t="str">
        <f>CONFERENCIAS!T208</f>
        <v/>
      </c>
      <c r="R208" s="45" t="str">
        <f>CONFERENCIAS!U208</f>
        <v/>
      </c>
      <c r="S208" s="45" t="str">
        <f>CONFERENCIAS!W208</f>
        <v/>
      </c>
      <c r="T208" s="48">
        <f>IF(Q208="",0,
   IF(E208=1,
      IF(H208="Presencial",
         VLOOKUP(D208,TARIFAS!A:K,3,FALSE) + IF(I208="Sí",VLOOKUP(D208,TARIFAS!A:K,5,FALSE),0),
         VLOOKUP(D208,TARIFAS!A:K,4,FALSE) + IF(I208="Sí",VLOOKUP(D208,TARIFAS!A:K,5,FALSE),0)
      ),
      IF(H208="Presencial",
         VLOOKUP(D208,TARIFAS!A:K,9,FALSE) + IF(I208="Sí",VLOOKUP(D208,TARIFAS!A:K,11,FALSE),0),
         VLOOKUP(D208,TARIFAS!A:K,10,FALSE) + IF(I208="Sí",VLOOKUP(D208,TARIFAS!A:K,11,FALSE),0)
      )
   )
)
</f>
        <v>0</v>
      </c>
      <c r="U208" s="45">
        <f>IF(R208="",0,MAX(0,R208 - TARIFAS!G$2) * TARIFAS!F$2)
</f>
        <v>0</v>
      </c>
      <c r="V208" s="45">
        <f>+T208*TARIFAS!$K$2</f>
        <v>0</v>
      </c>
      <c r="W208" s="45">
        <f t="shared" si="2"/>
        <v>0</v>
      </c>
      <c r="X208" s="45">
        <f t="shared" si="3"/>
        <v>0</v>
      </c>
      <c r="Y208" s="45">
        <f t="shared" si="4"/>
        <v>0</v>
      </c>
      <c r="Z208" s="42" t="str">
        <f>CONFERENCIAS!AB208</f>
        <v/>
      </c>
      <c r="AA208" s="42" t="str">
        <f>CONFERENCIAS!AC208</f>
        <v/>
      </c>
      <c r="AB208" s="47" t="str">
        <f t="shared" si="5"/>
        <v/>
      </c>
      <c r="AC208" s="9" t="str">
        <f t="shared" si="6"/>
        <v/>
      </c>
    </row>
    <row r="209">
      <c r="A209" s="42" t="str">
        <f>CONFERENCIAS!A209</f>
        <v/>
      </c>
      <c r="D209" s="42" t="str">
        <f>CONFERENCIAS!C209</f>
        <v/>
      </c>
      <c r="E209" s="42" t="str">
        <f>CONFERENCIAS!K209</f>
        <v/>
      </c>
      <c r="F209" s="49" t="str">
        <f>CONFERENCIAS!J209</f>
        <v/>
      </c>
      <c r="G209" s="42" t="str">
        <f>CONFERENCIAS!O209</f>
        <v/>
      </c>
      <c r="H209" s="42" t="str">
        <f>CONFERENCIAS!X209</f>
        <v/>
      </c>
      <c r="I209" s="42" t="str">
        <f>CONFERENCIAS!AA209</f>
        <v/>
      </c>
      <c r="J209" s="44" t="str">
        <f>CONFERENCIAS!P209</f>
        <v/>
      </c>
      <c r="K209" s="45" t="str">
        <f>CONFERENCIAS!R209</f>
        <v/>
      </c>
      <c r="L209" s="45">
        <f>IF(D209="",0,
 IF(E209=1,
   IF(H209="Presencial",
      VLOOKUP(D209,TARIFAS!A:K,3,FALSE) + IF(I209="Sí",VLOOKUP(D209,TARIFAS!A:K,5,FALSE),0),
      VLOOKUP(D209,TARIFAS!A:K,4,FALSE) + IF(I209="Sí",VLOOKUP(D209,TARIFAS!A:K,5,FALSE),0)
   ),
   IF(H209="Presencial",
      VLOOKUP(D209,TARIFAS!A:K,9,FALSE) + IF(I209="Sí",VLOOKUP(D209,TARIFAS!A:K,11,FALSE),0),
      VLOOKUP(D209,TARIFAS!A:K,10,FALSE) + IF(I209="Sí",VLOOKUP(D209,TARIFAS!A:K,11,FALSE),0)
   )
 )
)
</f>
        <v>0</v>
      </c>
      <c r="M209" s="45">
        <f>IF(J209="",0,MAX(0,J209 - TARIFAS!G$2) * TARIFAS!F$2)
</f>
        <v>0</v>
      </c>
      <c r="N209" s="45">
        <f>+L209*TARIFAS!$K$2</f>
        <v>0</v>
      </c>
      <c r="O209" s="45">
        <f t="shared" si="1"/>
        <v>0</v>
      </c>
      <c r="P209" s="45">
        <f>+M209+O209+K209+(+I209-(I209*TARIFAS!$K$2))</f>
        <v>0</v>
      </c>
      <c r="Q209" s="42" t="str">
        <f>CONFERENCIAS!T209</f>
        <v/>
      </c>
      <c r="R209" s="45" t="str">
        <f>CONFERENCIAS!U209</f>
        <v/>
      </c>
      <c r="S209" s="45" t="str">
        <f>CONFERENCIAS!W209</f>
        <v/>
      </c>
      <c r="T209" s="48">
        <f>IF(Q209="",0,
   IF(E209=1,
      IF(H209="Presencial",
         VLOOKUP(D209,TARIFAS!A:K,3,FALSE) + IF(I209="Sí",VLOOKUP(D209,TARIFAS!A:K,5,FALSE),0),
         VLOOKUP(D209,TARIFAS!A:K,4,FALSE) + IF(I209="Sí",VLOOKUP(D209,TARIFAS!A:K,5,FALSE),0)
      ),
      IF(H209="Presencial",
         VLOOKUP(D209,TARIFAS!A:K,9,FALSE) + IF(I209="Sí",VLOOKUP(D209,TARIFAS!A:K,11,FALSE),0),
         VLOOKUP(D209,TARIFAS!A:K,10,FALSE) + IF(I209="Sí",VLOOKUP(D209,TARIFAS!A:K,11,FALSE),0)
      )
   )
)
</f>
        <v>0</v>
      </c>
      <c r="U209" s="45">
        <f>IF(R209="",0,MAX(0,R209 - TARIFAS!G$2) * TARIFAS!F$2)
</f>
        <v>0</v>
      </c>
      <c r="V209" s="45">
        <f>+T209*TARIFAS!$K$2</f>
        <v>0</v>
      </c>
      <c r="W209" s="45">
        <f t="shared" si="2"/>
        <v>0</v>
      </c>
      <c r="X209" s="45">
        <f t="shared" si="3"/>
        <v>0</v>
      </c>
      <c r="Y209" s="45">
        <f t="shared" si="4"/>
        <v>0</v>
      </c>
      <c r="Z209" s="42" t="str">
        <f>CONFERENCIAS!AB209</f>
        <v/>
      </c>
      <c r="AA209" s="42" t="str">
        <f>CONFERENCIAS!AC209</f>
        <v/>
      </c>
      <c r="AB209" s="47" t="str">
        <f t="shared" si="5"/>
        <v/>
      </c>
      <c r="AC209" s="9" t="str">
        <f t="shared" si="6"/>
        <v/>
      </c>
    </row>
    <row r="210">
      <c r="A210" s="42" t="str">
        <f>CONFERENCIAS!A210</f>
        <v/>
      </c>
      <c r="D210" s="42" t="str">
        <f>CONFERENCIAS!C210</f>
        <v/>
      </c>
      <c r="E210" s="42" t="str">
        <f>CONFERENCIAS!K210</f>
        <v/>
      </c>
      <c r="F210" s="49" t="str">
        <f>CONFERENCIAS!J210</f>
        <v/>
      </c>
      <c r="G210" s="42" t="str">
        <f>CONFERENCIAS!O210</f>
        <v/>
      </c>
      <c r="H210" s="42" t="str">
        <f>CONFERENCIAS!X210</f>
        <v/>
      </c>
      <c r="I210" s="42" t="str">
        <f>CONFERENCIAS!AA210</f>
        <v/>
      </c>
      <c r="J210" s="44" t="str">
        <f>CONFERENCIAS!P210</f>
        <v/>
      </c>
      <c r="K210" s="45" t="str">
        <f>CONFERENCIAS!R210</f>
        <v/>
      </c>
      <c r="L210" s="45">
        <f>IF(D210="",0,
 IF(E210=1,
   IF(H210="Presencial",
      VLOOKUP(D210,TARIFAS!A:K,3,FALSE) + IF(I210="Sí",VLOOKUP(D210,TARIFAS!A:K,5,FALSE),0),
      VLOOKUP(D210,TARIFAS!A:K,4,FALSE) + IF(I210="Sí",VLOOKUP(D210,TARIFAS!A:K,5,FALSE),0)
   ),
   IF(H210="Presencial",
      VLOOKUP(D210,TARIFAS!A:K,9,FALSE) + IF(I210="Sí",VLOOKUP(D210,TARIFAS!A:K,11,FALSE),0),
      VLOOKUP(D210,TARIFAS!A:K,10,FALSE) + IF(I210="Sí",VLOOKUP(D210,TARIFAS!A:K,11,FALSE),0)
   )
 )
)
</f>
        <v>0</v>
      </c>
      <c r="M210" s="45">
        <f>IF(J210="",0,MAX(0,J210 - TARIFAS!G$2) * TARIFAS!F$2)
</f>
        <v>0</v>
      </c>
      <c r="N210" s="45">
        <f>+L210*TARIFAS!$K$2</f>
        <v>0</v>
      </c>
      <c r="O210" s="45">
        <f t="shared" si="1"/>
        <v>0</v>
      </c>
      <c r="P210" s="45">
        <f>+M210+O210+K210+(+I210-(I210*TARIFAS!$K$2))</f>
        <v>0</v>
      </c>
      <c r="Q210" s="42" t="str">
        <f>CONFERENCIAS!T210</f>
        <v/>
      </c>
      <c r="R210" s="45" t="str">
        <f>CONFERENCIAS!U210</f>
        <v/>
      </c>
      <c r="S210" s="45" t="str">
        <f>CONFERENCIAS!W210</f>
        <v/>
      </c>
      <c r="T210" s="48">
        <f>IF(Q210="",0,
   IF(E210=1,
      IF(H210="Presencial",
         VLOOKUP(D210,TARIFAS!A:K,3,FALSE) + IF(I210="Sí",VLOOKUP(D210,TARIFAS!A:K,5,FALSE),0),
         VLOOKUP(D210,TARIFAS!A:K,4,FALSE) + IF(I210="Sí",VLOOKUP(D210,TARIFAS!A:K,5,FALSE),0)
      ),
      IF(H210="Presencial",
         VLOOKUP(D210,TARIFAS!A:K,9,FALSE) + IF(I210="Sí",VLOOKUP(D210,TARIFAS!A:K,11,FALSE),0),
         VLOOKUP(D210,TARIFAS!A:K,10,FALSE) + IF(I210="Sí",VLOOKUP(D210,TARIFAS!A:K,11,FALSE),0)
      )
   )
)
</f>
        <v>0</v>
      </c>
      <c r="U210" s="45">
        <f>IF(R210="",0,MAX(0,R210 - TARIFAS!G$2) * TARIFAS!F$2)
</f>
        <v>0</v>
      </c>
      <c r="V210" s="45">
        <f>+T210*TARIFAS!$K$2</f>
        <v>0</v>
      </c>
      <c r="W210" s="45">
        <f t="shared" si="2"/>
        <v>0</v>
      </c>
      <c r="X210" s="45">
        <f t="shared" si="3"/>
        <v>0</v>
      </c>
      <c r="Y210" s="45">
        <f t="shared" si="4"/>
        <v>0</v>
      </c>
      <c r="Z210" s="42" t="str">
        <f>CONFERENCIAS!AB210</f>
        <v/>
      </c>
      <c r="AA210" s="42" t="str">
        <f>CONFERENCIAS!AC210</f>
        <v/>
      </c>
      <c r="AB210" s="47" t="str">
        <f t="shared" si="5"/>
        <v/>
      </c>
      <c r="AC210" s="9" t="str">
        <f t="shared" si="6"/>
        <v/>
      </c>
    </row>
    <row r="211">
      <c r="A211" s="42" t="str">
        <f>CONFERENCIAS!A211</f>
        <v/>
      </c>
      <c r="D211" s="42" t="str">
        <f>CONFERENCIAS!C211</f>
        <v/>
      </c>
      <c r="E211" s="42" t="str">
        <f>CONFERENCIAS!K211</f>
        <v/>
      </c>
      <c r="F211" s="49" t="str">
        <f>CONFERENCIAS!J211</f>
        <v/>
      </c>
      <c r="G211" s="42" t="str">
        <f>CONFERENCIAS!O211</f>
        <v/>
      </c>
      <c r="H211" s="42" t="str">
        <f>CONFERENCIAS!X211</f>
        <v/>
      </c>
      <c r="I211" s="42" t="str">
        <f>CONFERENCIAS!AA211</f>
        <v/>
      </c>
      <c r="J211" s="44" t="str">
        <f>CONFERENCIAS!P211</f>
        <v/>
      </c>
      <c r="K211" s="45" t="str">
        <f>CONFERENCIAS!R211</f>
        <v/>
      </c>
      <c r="L211" s="45">
        <f>IF(D211="",0,
 IF(E211=1,
   IF(H211="Presencial",
      VLOOKUP(D211,TARIFAS!A:K,3,FALSE) + IF(I211="Sí",VLOOKUP(D211,TARIFAS!A:K,5,FALSE),0),
      VLOOKUP(D211,TARIFAS!A:K,4,FALSE) + IF(I211="Sí",VLOOKUP(D211,TARIFAS!A:K,5,FALSE),0)
   ),
   IF(H211="Presencial",
      VLOOKUP(D211,TARIFAS!A:K,9,FALSE) + IF(I211="Sí",VLOOKUP(D211,TARIFAS!A:K,11,FALSE),0),
      VLOOKUP(D211,TARIFAS!A:K,10,FALSE) + IF(I211="Sí",VLOOKUP(D211,TARIFAS!A:K,11,FALSE),0)
   )
 )
)
</f>
        <v>0</v>
      </c>
      <c r="M211" s="45">
        <f>IF(J211="",0,MAX(0,J211 - TARIFAS!G$2) * TARIFAS!F$2)
</f>
        <v>0</v>
      </c>
      <c r="N211" s="45">
        <f>+L211*TARIFAS!$K$2</f>
        <v>0</v>
      </c>
      <c r="O211" s="45">
        <f t="shared" si="1"/>
        <v>0</v>
      </c>
      <c r="P211" s="45">
        <f>+M211+O211+K211+(+I211-(I211*TARIFAS!$K$2))</f>
        <v>0</v>
      </c>
      <c r="Q211" s="42" t="str">
        <f>CONFERENCIAS!T211</f>
        <v/>
      </c>
      <c r="R211" s="45" t="str">
        <f>CONFERENCIAS!U211</f>
        <v/>
      </c>
      <c r="S211" s="45" t="str">
        <f>CONFERENCIAS!W211</f>
        <v/>
      </c>
      <c r="T211" s="48">
        <f>IF(Q211="",0,
   IF(E211=1,
      IF(H211="Presencial",
         VLOOKUP(D211,TARIFAS!A:K,3,FALSE) + IF(I211="Sí",VLOOKUP(D211,TARIFAS!A:K,5,FALSE),0),
         VLOOKUP(D211,TARIFAS!A:K,4,FALSE) + IF(I211="Sí",VLOOKUP(D211,TARIFAS!A:K,5,FALSE),0)
      ),
      IF(H211="Presencial",
         VLOOKUP(D211,TARIFAS!A:K,9,FALSE) + IF(I211="Sí",VLOOKUP(D211,TARIFAS!A:K,11,FALSE),0),
         VLOOKUP(D211,TARIFAS!A:K,10,FALSE) + IF(I211="Sí",VLOOKUP(D211,TARIFAS!A:K,11,FALSE),0)
      )
   )
)
</f>
        <v>0</v>
      </c>
      <c r="U211" s="45">
        <f>IF(R211="",0,MAX(0,R211 - TARIFAS!G$2) * TARIFAS!F$2)
</f>
        <v>0</v>
      </c>
      <c r="V211" s="45">
        <f>+T211*TARIFAS!$K$2</f>
        <v>0</v>
      </c>
      <c r="W211" s="45">
        <f t="shared" si="2"/>
        <v>0</v>
      </c>
      <c r="X211" s="45">
        <f t="shared" si="3"/>
        <v>0</v>
      </c>
      <c r="Y211" s="45">
        <f t="shared" si="4"/>
        <v>0</v>
      </c>
      <c r="Z211" s="42" t="str">
        <f>CONFERENCIAS!AB211</f>
        <v/>
      </c>
      <c r="AA211" s="42" t="str">
        <f>CONFERENCIAS!AC211</f>
        <v/>
      </c>
      <c r="AB211" s="47" t="str">
        <f t="shared" si="5"/>
        <v/>
      </c>
      <c r="AC211" s="9" t="str">
        <f t="shared" si="6"/>
        <v/>
      </c>
    </row>
    <row r="212">
      <c r="A212" s="42" t="str">
        <f>CONFERENCIAS!A212</f>
        <v/>
      </c>
      <c r="D212" s="42" t="str">
        <f>CONFERENCIAS!C212</f>
        <v/>
      </c>
      <c r="E212" s="42" t="str">
        <f>CONFERENCIAS!K212</f>
        <v/>
      </c>
      <c r="F212" s="49" t="str">
        <f>CONFERENCIAS!J212</f>
        <v/>
      </c>
      <c r="G212" s="42" t="str">
        <f>CONFERENCIAS!O212</f>
        <v/>
      </c>
      <c r="H212" s="42" t="str">
        <f>CONFERENCIAS!X212</f>
        <v/>
      </c>
      <c r="I212" s="42" t="str">
        <f>CONFERENCIAS!AA212</f>
        <v/>
      </c>
      <c r="J212" s="44" t="str">
        <f>CONFERENCIAS!P212</f>
        <v/>
      </c>
      <c r="K212" s="45" t="str">
        <f>CONFERENCIAS!R212</f>
        <v/>
      </c>
      <c r="L212" s="45">
        <f>IF(D212="",0,
 IF(E212=1,
   IF(H212="Presencial",
      VLOOKUP(D212,TARIFAS!A:K,3,FALSE) + IF(I212="Sí",VLOOKUP(D212,TARIFAS!A:K,5,FALSE),0),
      VLOOKUP(D212,TARIFAS!A:K,4,FALSE) + IF(I212="Sí",VLOOKUP(D212,TARIFAS!A:K,5,FALSE),0)
   ),
   IF(H212="Presencial",
      VLOOKUP(D212,TARIFAS!A:K,9,FALSE) + IF(I212="Sí",VLOOKUP(D212,TARIFAS!A:K,11,FALSE),0),
      VLOOKUP(D212,TARIFAS!A:K,10,FALSE) + IF(I212="Sí",VLOOKUP(D212,TARIFAS!A:K,11,FALSE),0)
   )
 )
)
</f>
        <v>0</v>
      </c>
      <c r="M212" s="45">
        <f>IF(J212="",0,MAX(0,J212 - TARIFAS!G$2) * TARIFAS!F$2)
</f>
        <v>0</v>
      </c>
      <c r="N212" s="45">
        <f>+L212*TARIFAS!$K$2</f>
        <v>0</v>
      </c>
      <c r="O212" s="45">
        <f t="shared" si="1"/>
        <v>0</v>
      </c>
      <c r="P212" s="45">
        <f>+M212+O212+K212+(+I212-(I212*TARIFAS!$K$2))</f>
        <v>0</v>
      </c>
      <c r="Q212" s="42" t="str">
        <f>CONFERENCIAS!T212</f>
        <v/>
      </c>
      <c r="R212" s="45" t="str">
        <f>CONFERENCIAS!U212</f>
        <v/>
      </c>
      <c r="S212" s="45" t="str">
        <f>CONFERENCIAS!W212</f>
        <v/>
      </c>
      <c r="T212" s="48">
        <f>IF(Q212="",0,
   IF(E212=1,
      IF(H212="Presencial",
         VLOOKUP(D212,TARIFAS!A:K,3,FALSE) + IF(I212="Sí",VLOOKUP(D212,TARIFAS!A:K,5,FALSE),0),
         VLOOKUP(D212,TARIFAS!A:K,4,FALSE) + IF(I212="Sí",VLOOKUP(D212,TARIFAS!A:K,5,FALSE),0)
      ),
      IF(H212="Presencial",
         VLOOKUP(D212,TARIFAS!A:K,9,FALSE) + IF(I212="Sí",VLOOKUP(D212,TARIFAS!A:K,11,FALSE),0),
         VLOOKUP(D212,TARIFAS!A:K,10,FALSE) + IF(I212="Sí",VLOOKUP(D212,TARIFAS!A:K,11,FALSE),0)
      )
   )
)
</f>
        <v>0</v>
      </c>
      <c r="U212" s="45">
        <f>IF(R212="",0,MAX(0,R212 - TARIFAS!G$2) * TARIFAS!F$2)
</f>
        <v>0</v>
      </c>
      <c r="V212" s="45">
        <f>+T212*TARIFAS!$K$2</f>
        <v>0</v>
      </c>
      <c r="W212" s="45">
        <f t="shared" si="2"/>
        <v>0</v>
      </c>
      <c r="X212" s="45">
        <f t="shared" si="3"/>
        <v>0</v>
      </c>
      <c r="Y212" s="45">
        <f t="shared" si="4"/>
        <v>0</v>
      </c>
      <c r="Z212" s="42" t="str">
        <f>CONFERENCIAS!AB212</f>
        <v/>
      </c>
      <c r="AA212" s="42" t="str">
        <f>CONFERENCIAS!AC212</f>
        <v/>
      </c>
      <c r="AB212" s="47" t="str">
        <f t="shared" si="5"/>
        <v/>
      </c>
      <c r="AC212" s="9" t="str">
        <f t="shared" si="6"/>
        <v/>
      </c>
    </row>
    <row r="213">
      <c r="A213" s="42" t="str">
        <f>CONFERENCIAS!A213</f>
        <v/>
      </c>
      <c r="D213" s="42" t="str">
        <f>CONFERENCIAS!C213</f>
        <v/>
      </c>
      <c r="E213" s="42" t="str">
        <f>CONFERENCIAS!K213</f>
        <v/>
      </c>
      <c r="F213" s="49" t="str">
        <f>CONFERENCIAS!J213</f>
        <v/>
      </c>
      <c r="G213" s="42" t="str">
        <f>CONFERENCIAS!O213</f>
        <v/>
      </c>
      <c r="H213" s="42" t="str">
        <f>CONFERENCIAS!X213</f>
        <v/>
      </c>
      <c r="I213" s="42" t="str">
        <f>CONFERENCIAS!AA213</f>
        <v/>
      </c>
      <c r="J213" s="44" t="str">
        <f>CONFERENCIAS!P213</f>
        <v/>
      </c>
      <c r="K213" s="45" t="str">
        <f>CONFERENCIAS!R213</f>
        <v/>
      </c>
      <c r="L213" s="45">
        <f>IF(D213="",0,
 IF(E213=1,
   IF(H213="Presencial",
      VLOOKUP(D213,TARIFAS!A:K,3,FALSE) + IF(I213="Sí",VLOOKUP(D213,TARIFAS!A:K,5,FALSE),0),
      VLOOKUP(D213,TARIFAS!A:K,4,FALSE) + IF(I213="Sí",VLOOKUP(D213,TARIFAS!A:K,5,FALSE),0)
   ),
   IF(H213="Presencial",
      VLOOKUP(D213,TARIFAS!A:K,9,FALSE) + IF(I213="Sí",VLOOKUP(D213,TARIFAS!A:K,11,FALSE),0),
      VLOOKUP(D213,TARIFAS!A:K,10,FALSE) + IF(I213="Sí",VLOOKUP(D213,TARIFAS!A:K,11,FALSE),0)
   )
 )
)
</f>
        <v>0</v>
      </c>
      <c r="M213" s="45">
        <f>IF(J213="",0,MAX(0,J213 - TARIFAS!G$2) * TARIFAS!F$2)
</f>
        <v>0</v>
      </c>
      <c r="N213" s="45">
        <f>+L213*TARIFAS!$K$2</f>
        <v>0</v>
      </c>
      <c r="O213" s="45">
        <f t="shared" si="1"/>
        <v>0</v>
      </c>
      <c r="P213" s="45">
        <f>+M213+O213+K213+(+I213-(I213*TARIFAS!$K$2))</f>
        <v>0</v>
      </c>
      <c r="Q213" s="42" t="str">
        <f>CONFERENCIAS!T213</f>
        <v/>
      </c>
      <c r="R213" s="45" t="str">
        <f>CONFERENCIAS!U213</f>
        <v/>
      </c>
      <c r="S213" s="45" t="str">
        <f>CONFERENCIAS!W213</f>
        <v/>
      </c>
      <c r="T213" s="48">
        <f>IF(Q213="",0,
   IF(E213=1,
      IF(H213="Presencial",
         VLOOKUP(D213,TARIFAS!A:K,3,FALSE) + IF(I213="Sí",VLOOKUP(D213,TARIFAS!A:K,5,FALSE),0),
         VLOOKUP(D213,TARIFAS!A:K,4,FALSE) + IF(I213="Sí",VLOOKUP(D213,TARIFAS!A:K,5,FALSE),0)
      ),
      IF(H213="Presencial",
         VLOOKUP(D213,TARIFAS!A:K,9,FALSE) + IF(I213="Sí",VLOOKUP(D213,TARIFAS!A:K,11,FALSE),0),
         VLOOKUP(D213,TARIFAS!A:K,10,FALSE) + IF(I213="Sí",VLOOKUP(D213,TARIFAS!A:K,11,FALSE),0)
      )
   )
)
</f>
        <v>0</v>
      </c>
      <c r="U213" s="45">
        <f>IF(R213="",0,MAX(0,R213 - TARIFAS!G$2) * TARIFAS!F$2)
</f>
        <v>0</v>
      </c>
      <c r="V213" s="45">
        <f>+T213*TARIFAS!$K$2</f>
        <v>0</v>
      </c>
      <c r="W213" s="45">
        <f t="shared" si="2"/>
        <v>0</v>
      </c>
      <c r="X213" s="45">
        <f t="shared" si="3"/>
        <v>0</v>
      </c>
      <c r="Y213" s="45">
        <f t="shared" si="4"/>
        <v>0</v>
      </c>
      <c r="Z213" s="42" t="str">
        <f>CONFERENCIAS!AB213</f>
        <v/>
      </c>
      <c r="AA213" s="42" t="str">
        <f>CONFERENCIAS!AC213</f>
        <v/>
      </c>
      <c r="AB213" s="47" t="str">
        <f t="shared" si="5"/>
        <v/>
      </c>
      <c r="AC213" s="9" t="str">
        <f t="shared" si="6"/>
        <v/>
      </c>
    </row>
    <row r="214">
      <c r="A214" s="42" t="str">
        <f>CONFERENCIAS!A214</f>
        <v/>
      </c>
      <c r="D214" s="42" t="str">
        <f>CONFERENCIAS!C214</f>
        <v/>
      </c>
      <c r="E214" s="42" t="str">
        <f>CONFERENCIAS!K214</f>
        <v/>
      </c>
      <c r="F214" s="49" t="str">
        <f>CONFERENCIAS!J214</f>
        <v/>
      </c>
      <c r="G214" s="42" t="str">
        <f>CONFERENCIAS!O214</f>
        <v/>
      </c>
      <c r="H214" s="42" t="str">
        <f>CONFERENCIAS!X214</f>
        <v/>
      </c>
      <c r="I214" s="42" t="str">
        <f>CONFERENCIAS!AA214</f>
        <v/>
      </c>
      <c r="J214" s="44" t="str">
        <f>CONFERENCIAS!P214</f>
        <v/>
      </c>
      <c r="K214" s="45" t="str">
        <f>CONFERENCIAS!R214</f>
        <v/>
      </c>
      <c r="L214" s="45">
        <f>IF(D214="",0,
 IF(E214=1,
   IF(H214="Presencial",
      VLOOKUP(D214,TARIFAS!A:K,3,FALSE) + IF(I214="Sí",VLOOKUP(D214,TARIFAS!A:K,5,FALSE),0),
      VLOOKUP(D214,TARIFAS!A:K,4,FALSE) + IF(I214="Sí",VLOOKUP(D214,TARIFAS!A:K,5,FALSE),0)
   ),
   IF(H214="Presencial",
      VLOOKUP(D214,TARIFAS!A:K,9,FALSE) + IF(I214="Sí",VLOOKUP(D214,TARIFAS!A:K,11,FALSE),0),
      VLOOKUP(D214,TARIFAS!A:K,10,FALSE) + IF(I214="Sí",VLOOKUP(D214,TARIFAS!A:K,11,FALSE),0)
   )
 )
)
</f>
        <v>0</v>
      </c>
      <c r="M214" s="45">
        <f>IF(J214="",0,MAX(0,J214 - TARIFAS!G$2) * TARIFAS!F$2)
</f>
        <v>0</v>
      </c>
      <c r="N214" s="45">
        <f>+L214*TARIFAS!$K$2</f>
        <v>0</v>
      </c>
      <c r="O214" s="45">
        <f t="shared" si="1"/>
        <v>0</v>
      </c>
      <c r="P214" s="45">
        <f>+M214+O214+K214+(+I214-(I214*TARIFAS!$K$2))</f>
        <v>0</v>
      </c>
      <c r="Q214" s="42" t="str">
        <f>CONFERENCIAS!T214</f>
        <v/>
      </c>
      <c r="R214" s="45" t="str">
        <f>CONFERENCIAS!U214</f>
        <v/>
      </c>
      <c r="S214" s="45" t="str">
        <f>CONFERENCIAS!W214</f>
        <v/>
      </c>
      <c r="T214" s="48">
        <f>IF(Q214="",0,
   IF(E214=1,
      IF(H214="Presencial",
         VLOOKUP(D214,TARIFAS!A:K,3,FALSE) + IF(I214="Sí",VLOOKUP(D214,TARIFAS!A:K,5,FALSE),0),
         VLOOKUP(D214,TARIFAS!A:K,4,FALSE) + IF(I214="Sí",VLOOKUP(D214,TARIFAS!A:K,5,FALSE),0)
      ),
      IF(H214="Presencial",
         VLOOKUP(D214,TARIFAS!A:K,9,FALSE) + IF(I214="Sí",VLOOKUP(D214,TARIFAS!A:K,11,FALSE),0),
         VLOOKUP(D214,TARIFAS!A:K,10,FALSE) + IF(I214="Sí",VLOOKUP(D214,TARIFAS!A:K,11,FALSE),0)
      )
   )
)
</f>
        <v>0</v>
      </c>
      <c r="U214" s="45">
        <f>IF(R214="",0,MAX(0,R214 - TARIFAS!G$2) * TARIFAS!F$2)
</f>
        <v>0</v>
      </c>
      <c r="V214" s="45">
        <f>+T214*TARIFAS!$K$2</f>
        <v>0</v>
      </c>
      <c r="W214" s="45">
        <f t="shared" si="2"/>
        <v>0</v>
      </c>
      <c r="X214" s="45">
        <f t="shared" si="3"/>
        <v>0</v>
      </c>
      <c r="Y214" s="45">
        <f t="shared" si="4"/>
        <v>0</v>
      </c>
      <c r="Z214" s="42" t="str">
        <f>CONFERENCIAS!AB214</f>
        <v/>
      </c>
      <c r="AA214" s="42" t="str">
        <f>CONFERENCIAS!AC214</f>
        <v/>
      </c>
      <c r="AB214" s="47" t="str">
        <f t="shared" si="5"/>
        <v/>
      </c>
      <c r="AC214" s="9" t="str">
        <f t="shared" si="6"/>
        <v/>
      </c>
    </row>
    <row r="215">
      <c r="A215" s="42" t="str">
        <f>CONFERENCIAS!A215</f>
        <v/>
      </c>
      <c r="D215" s="42" t="str">
        <f>CONFERENCIAS!C215</f>
        <v/>
      </c>
      <c r="E215" s="42" t="str">
        <f>CONFERENCIAS!K215</f>
        <v/>
      </c>
      <c r="F215" s="49" t="str">
        <f>CONFERENCIAS!J215</f>
        <v/>
      </c>
      <c r="G215" s="42" t="str">
        <f>CONFERENCIAS!O215</f>
        <v/>
      </c>
      <c r="H215" s="42" t="str">
        <f>CONFERENCIAS!X215</f>
        <v/>
      </c>
      <c r="I215" s="42" t="str">
        <f>CONFERENCIAS!AA215</f>
        <v/>
      </c>
      <c r="J215" s="44" t="str">
        <f>CONFERENCIAS!P215</f>
        <v/>
      </c>
      <c r="K215" s="45" t="str">
        <f>CONFERENCIAS!R215</f>
        <v/>
      </c>
      <c r="L215" s="45">
        <f>IF(D215="",0,
 IF(E215=1,
   IF(H215="Presencial",
      VLOOKUP(D215,TARIFAS!A:K,3,FALSE) + IF(I215="Sí",VLOOKUP(D215,TARIFAS!A:K,5,FALSE),0),
      VLOOKUP(D215,TARIFAS!A:K,4,FALSE) + IF(I215="Sí",VLOOKUP(D215,TARIFAS!A:K,5,FALSE),0)
   ),
   IF(H215="Presencial",
      VLOOKUP(D215,TARIFAS!A:K,9,FALSE) + IF(I215="Sí",VLOOKUP(D215,TARIFAS!A:K,11,FALSE),0),
      VLOOKUP(D215,TARIFAS!A:K,10,FALSE) + IF(I215="Sí",VLOOKUP(D215,TARIFAS!A:K,11,FALSE),0)
   )
 )
)
</f>
        <v>0</v>
      </c>
      <c r="M215" s="45">
        <f>IF(J215="",0,MAX(0,J215 - TARIFAS!G$2) * TARIFAS!F$2)
</f>
        <v>0</v>
      </c>
      <c r="N215" s="45">
        <f>+L215*TARIFAS!$K$2</f>
        <v>0</v>
      </c>
      <c r="O215" s="45">
        <f t="shared" si="1"/>
        <v>0</v>
      </c>
      <c r="P215" s="45">
        <f>+M215+O215+K215+(+I215-(I215*TARIFAS!$K$2))</f>
        <v>0</v>
      </c>
      <c r="Q215" s="42" t="str">
        <f>CONFERENCIAS!T215</f>
        <v/>
      </c>
      <c r="R215" s="45" t="str">
        <f>CONFERENCIAS!U215</f>
        <v/>
      </c>
      <c r="S215" s="45" t="str">
        <f>CONFERENCIAS!W215</f>
        <v/>
      </c>
      <c r="T215" s="48">
        <f>IF(Q215="",0,
   IF(E215=1,
      IF(H215="Presencial",
         VLOOKUP(D215,TARIFAS!A:K,3,FALSE) + IF(I215="Sí",VLOOKUP(D215,TARIFAS!A:K,5,FALSE),0),
         VLOOKUP(D215,TARIFAS!A:K,4,FALSE) + IF(I215="Sí",VLOOKUP(D215,TARIFAS!A:K,5,FALSE),0)
      ),
      IF(H215="Presencial",
         VLOOKUP(D215,TARIFAS!A:K,9,FALSE) + IF(I215="Sí",VLOOKUP(D215,TARIFAS!A:K,11,FALSE),0),
         VLOOKUP(D215,TARIFAS!A:K,10,FALSE) + IF(I215="Sí",VLOOKUP(D215,TARIFAS!A:K,11,FALSE),0)
      )
   )
)
</f>
        <v>0</v>
      </c>
      <c r="U215" s="45">
        <f>IF(R215="",0,MAX(0,R215 - TARIFAS!G$2) * TARIFAS!F$2)
</f>
        <v>0</v>
      </c>
      <c r="V215" s="45">
        <f>+T215*TARIFAS!$K$2</f>
        <v>0</v>
      </c>
      <c r="W215" s="45">
        <f t="shared" si="2"/>
        <v>0</v>
      </c>
      <c r="X215" s="45">
        <f t="shared" si="3"/>
        <v>0</v>
      </c>
      <c r="Y215" s="45">
        <f t="shared" si="4"/>
        <v>0</v>
      </c>
      <c r="Z215" s="42" t="str">
        <f>CONFERENCIAS!AB215</f>
        <v/>
      </c>
      <c r="AA215" s="42" t="str">
        <f>CONFERENCIAS!AC215</f>
        <v/>
      </c>
      <c r="AB215" s="47" t="str">
        <f t="shared" si="5"/>
        <v/>
      </c>
      <c r="AC215" s="9" t="str">
        <f t="shared" si="6"/>
        <v/>
      </c>
    </row>
    <row r="216">
      <c r="A216" s="42" t="str">
        <f>CONFERENCIAS!A216</f>
        <v/>
      </c>
      <c r="D216" s="42" t="str">
        <f>CONFERENCIAS!C216</f>
        <v/>
      </c>
      <c r="E216" s="42" t="str">
        <f>CONFERENCIAS!K216</f>
        <v/>
      </c>
      <c r="F216" s="49" t="str">
        <f>CONFERENCIAS!J216</f>
        <v/>
      </c>
      <c r="G216" s="42" t="str">
        <f>CONFERENCIAS!O216</f>
        <v/>
      </c>
      <c r="H216" s="42" t="str">
        <f>CONFERENCIAS!X216</f>
        <v/>
      </c>
      <c r="I216" s="42" t="str">
        <f>CONFERENCIAS!AA216</f>
        <v/>
      </c>
      <c r="J216" s="44" t="str">
        <f>CONFERENCIAS!P216</f>
        <v/>
      </c>
      <c r="K216" s="45" t="str">
        <f>CONFERENCIAS!R216</f>
        <v/>
      </c>
      <c r="L216" s="45">
        <f>IF(D216="",0,
 IF(E216=1,
   IF(H216="Presencial",
      VLOOKUP(D216,TARIFAS!A:K,3,FALSE) + IF(I216="Sí",VLOOKUP(D216,TARIFAS!A:K,5,FALSE),0),
      VLOOKUP(D216,TARIFAS!A:K,4,FALSE) + IF(I216="Sí",VLOOKUP(D216,TARIFAS!A:K,5,FALSE),0)
   ),
   IF(H216="Presencial",
      VLOOKUP(D216,TARIFAS!A:K,9,FALSE) + IF(I216="Sí",VLOOKUP(D216,TARIFAS!A:K,11,FALSE),0),
      VLOOKUP(D216,TARIFAS!A:K,10,FALSE) + IF(I216="Sí",VLOOKUP(D216,TARIFAS!A:K,11,FALSE),0)
   )
 )
)
</f>
        <v>0</v>
      </c>
      <c r="M216" s="45">
        <f>IF(J216="",0,MAX(0,J216 - TARIFAS!G$2) * TARIFAS!F$2)
</f>
        <v>0</v>
      </c>
      <c r="N216" s="45">
        <f>+L216*TARIFAS!$K$2</f>
        <v>0</v>
      </c>
      <c r="O216" s="45">
        <f t="shared" si="1"/>
        <v>0</v>
      </c>
      <c r="P216" s="45">
        <f>+M216+O216+K216+(+I216-(I216*TARIFAS!$K$2))</f>
        <v>0</v>
      </c>
      <c r="Q216" s="42" t="str">
        <f>CONFERENCIAS!T216</f>
        <v/>
      </c>
      <c r="R216" s="45" t="str">
        <f>CONFERENCIAS!U216</f>
        <v/>
      </c>
      <c r="S216" s="45" t="str">
        <f>CONFERENCIAS!W216</f>
        <v/>
      </c>
      <c r="T216" s="48">
        <f>IF(Q216="",0,
   IF(E216=1,
      IF(H216="Presencial",
         VLOOKUP(D216,TARIFAS!A:K,3,FALSE) + IF(I216="Sí",VLOOKUP(D216,TARIFAS!A:K,5,FALSE),0),
         VLOOKUP(D216,TARIFAS!A:K,4,FALSE) + IF(I216="Sí",VLOOKUP(D216,TARIFAS!A:K,5,FALSE),0)
      ),
      IF(H216="Presencial",
         VLOOKUP(D216,TARIFAS!A:K,9,FALSE) + IF(I216="Sí",VLOOKUP(D216,TARIFAS!A:K,11,FALSE),0),
         VLOOKUP(D216,TARIFAS!A:K,10,FALSE) + IF(I216="Sí",VLOOKUP(D216,TARIFAS!A:K,11,FALSE),0)
      )
   )
)
</f>
        <v>0</v>
      </c>
      <c r="U216" s="45">
        <f>IF(R216="",0,MAX(0,R216 - TARIFAS!G$2) * TARIFAS!F$2)
</f>
        <v>0</v>
      </c>
      <c r="V216" s="45">
        <f>+T216*TARIFAS!$K$2</f>
        <v>0</v>
      </c>
      <c r="W216" s="45">
        <f t="shared" si="2"/>
        <v>0</v>
      </c>
      <c r="X216" s="45">
        <f t="shared" si="3"/>
        <v>0</v>
      </c>
      <c r="Y216" s="45">
        <f t="shared" si="4"/>
        <v>0</v>
      </c>
      <c r="Z216" s="42" t="str">
        <f>CONFERENCIAS!AB216</f>
        <v/>
      </c>
      <c r="AA216" s="42" t="str">
        <f>CONFERENCIAS!AC216</f>
        <v/>
      </c>
      <c r="AB216" s="47" t="str">
        <f t="shared" si="5"/>
        <v/>
      </c>
      <c r="AC216" s="9" t="str">
        <f t="shared" si="6"/>
        <v/>
      </c>
    </row>
    <row r="217">
      <c r="A217" s="42" t="str">
        <f>CONFERENCIAS!A217</f>
        <v/>
      </c>
      <c r="D217" s="42" t="str">
        <f>CONFERENCIAS!C217</f>
        <v/>
      </c>
      <c r="E217" s="42" t="str">
        <f>CONFERENCIAS!K217</f>
        <v/>
      </c>
      <c r="F217" s="49" t="str">
        <f>CONFERENCIAS!J217</f>
        <v/>
      </c>
      <c r="G217" s="42" t="str">
        <f>CONFERENCIAS!O217</f>
        <v/>
      </c>
      <c r="H217" s="42" t="str">
        <f>CONFERENCIAS!X217</f>
        <v/>
      </c>
      <c r="I217" s="42" t="str">
        <f>CONFERENCIAS!AA217</f>
        <v/>
      </c>
      <c r="J217" s="44" t="str">
        <f>CONFERENCIAS!P217</f>
        <v/>
      </c>
      <c r="K217" s="45" t="str">
        <f>CONFERENCIAS!R217</f>
        <v/>
      </c>
      <c r="L217" s="45">
        <f>IF(D217="",0,
 IF(E217=1,
   IF(H217="Presencial",
      VLOOKUP(D217,TARIFAS!A:K,3,FALSE) + IF(I217="Sí",VLOOKUP(D217,TARIFAS!A:K,5,FALSE),0),
      VLOOKUP(D217,TARIFAS!A:K,4,FALSE) + IF(I217="Sí",VLOOKUP(D217,TARIFAS!A:K,5,FALSE),0)
   ),
   IF(H217="Presencial",
      VLOOKUP(D217,TARIFAS!A:K,9,FALSE) + IF(I217="Sí",VLOOKUP(D217,TARIFAS!A:K,11,FALSE),0),
      VLOOKUP(D217,TARIFAS!A:K,10,FALSE) + IF(I217="Sí",VLOOKUP(D217,TARIFAS!A:K,11,FALSE),0)
   )
 )
)
</f>
        <v>0</v>
      </c>
      <c r="M217" s="45">
        <f>IF(J217="",0,MAX(0,J217 - TARIFAS!G$2) * TARIFAS!F$2)
</f>
        <v>0</v>
      </c>
      <c r="N217" s="45">
        <f>+L217*TARIFAS!$K$2</f>
        <v>0</v>
      </c>
      <c r="O217" s="45">
        <f t="shared" si="1"/>
        <v>0</v>
      </c>
      <c r="P217" s="45">
        <f>+M217+O217+K217+(+I217-(I217*TARIFAS!$K$2))</f>
        <v>0</v>
      </c>
      <c r="Q217" s="42" t="str">
        <f>CONFERENCIAS!T217</f>
        <v/>
      </c>
      <c r="R217" s="45" t="str">
        <f>CONFERENCIAS!U217</f>
        <v/>
      </c>
      <c r="S217" s="45" t="str">
        <f>CONFERENCIAS!W217</f>
        <v/>
      </c>
      <c r="T217" s="48">
        <f>IF(Q217="",0,
   IF(E217=1,
      IF(H217="Presencial",
         VLOOKUP(D217,TARIFAS!A:K,3,FALSE) + IF(I217="Sí",VLOOKUP(D217,TARIFAS!A:K,5,FALSE),0),
         VLOOKUP(D217,TARIFAS!A:K,4,FALSE) + IF(I217="Sí",VLOOKUP(D217,TARIFAS!A:K,5,FALSE),0)
      ),
      IF(H217="Presencial",
         VLOOKUP(D217,TARIFAS!A:K,9,FALSE) + IF(I217="Sí",VLOOKUP(D217,TARIFAS!A:K,11,FALSE),0),
         VLOOKUP(D217,TARIFAS!A:K,10,FALSE) + IF(I217="Sí",VLOOKUP(D217,TARIFAS!A:K,11,FALSE),0)
      )
   )
)
</f>
        <v>0</v>
      </c>
      <c r="U217" s="45">
        <f>IF(R217="",0,MAX(0,R217 - TARIFAS!G$2) * TARIFAS!F$2)
</f>
        <v>0</v>
      </c>
      <c r="V217" s="45">
        <f>+T217*TARIFAS!$K$2</f>
        <v>0</v>
      </c>
      <c r="W217" s="45">
        <f t="shared" si="2"/>
        <v>0</v>
      </c>
      <c r="X217" s="45">
        <f t="shared" si="3"/>
        <v>0</v>
      </c>
      <c r="Y217" s="45">
        <f t="shared" si="4"/>
        <v>0</v>
      </c>
      <c r="Z217" s="42" t="str">
        <f>CONFERENCIAS!AB217</f>
        <v/>
      </c>
      <c r="AA217" s="42" t="str">
        <f>CONFERENCIAS!AC217</f>
        <v/>
      </c>
      <c r="AB217" s="47" t="str">
        <f t="shared" si="5"/>
        <v/>
      </c>
      <c r="AC217" s="9" t="str">
        <f t="shared" si="6"/>
        <v/>
      </c>
    </row>
    <row r="218">
      <c r="A218" s="42" t="str">
        <f>CONFERENCIAS!A218</f>
        <v/>
      </c>
      <c r="D218" s="42" t="str">
        <f>CONFERENCIAS!C218</f>
        <v/>
      </c>
      <c r="E218" s="42" t="str">
        <f>CONFERENCIAS!K218</f>
        <v/>
      </c>
      <c r="F218" s="49" t="str">
        <f>CONFERENCIAS!J218</f>
        <v/>
      </c>
      <c r="G218" s="42" t="str">
        <f>CONFERENCIAS!O218</f>
        <v/>
      </c>
      <c r="H218" s="42" t="str">
        <f>CONFERENCIAS!X218</f>
        <v/>
      </c>
      <c r="I218" s="42" t="str">
        <f>CONFERENCIAS!AA218</f>
        <v/>
      </c>
      <c r="J218" s="44" t="str">
        <f>CONFERENCIAS!P218</f>
        <v/>
      </c>
      <c r="K218" s="45" t="str">
        <f>CONFERENCIAS!R218</f>
        <v/>
      </c>
      <c r="L218" s="45">
        <f>IF(D218="",0,
 IF(E218=1,
   IF(H218="Presencial",
      VLOOKUP(D218,TARIFAS!A:K,3,FALSE) + IF(I218="Sí",VLOOKUP(D218,TARIFAS!A:K,5,FALSE),0),
      VLOOKUP(D218,TARIFAS!A:K,4,FALSE) + IF(I218="Sí",VLOOKUP(D218,TARIFAS!A:K,5,FALSE),0)
   ),
   IF(H218="Presencial",
      VLOOKUP(D218,TARIFAS!A:K,9,FALSE) + IF(I218="Sí",VLOOKUP(D218,TARIFAS!A:K,11,FALSE),0),
      VLOOKUP(D218,TARIFAS!A:K,10,FALSE) + IF(I218="Sí",VLOOKUP(D218,TARIFAS!A:K,11,FALSE),0)
   )
 )
)
</f>
        <v>0</v>
      </c>
      <c r="M218" s="45">
        <f>IF(J218="",0,MAX(0,J218 - TARIFAS!G$2) * TARIFAS!F$2)
</f>
        <v>0</v>
      </c>
      <c r="N218" s="45">
        <f>+L218*TARIFAS!$K$2</f>
        <v>0</v>
      </c>
      <c r="O218" s="45">
        <f t="shared" si="1"/>
        <v>0</v>
      </c>
      <c r="P218" s="45">
        <f>+M218+O218+K218+(+I218-(I218*TARIFAS!$K$2))</f>
        <v>0</v>
      </c>
      <c r="Q218" s="42" t="str">
        <f>CONFERENCIAS!T218</f>
        <v/>
      </c>
      <c r="R218" s="45" t="str">
        <f>CONFERENCIAS!U218</f>
        <v/>
      </c>
      <c r="S218" s="45" t="str">
        <f>CONFERENCIAS!W218</f>
        <v/>
      </c>
      <c r="T218" s="48">
        <f>IF(Q218="",0,
   IF(E218=1,
      IF(H218="Presencial",
         VLOOKUP(D218,TARIFAS!A:K,3,FALSE) + IF(I218="Sí",VLOOKUP(D218,TARIFAS!A:K,5,FALSE),0),
         VLOOKUP(D218,TARIFAS!A:K,4,FALSE) + IF(I218="Sí",VLOOKUP(D218,TARIFAS!A:K,5,FALSE),0)
      ),
      IF(H218="Presencial",
         VLOOKUP(D218,TARIFAS!A:K,9,FALSE) + IF(I218="Sí",VLOOKUP(D218,TARIFAS!A:K,11,FALSE),0),
         VLOOKUP(D218,TARIFAS!A:K,10,FALSE) + IF(I218="Sí",VLOOKUP(D218,TARIFAS!A:K,11,FALSE),0)
      )
   )
)
</f>
        <v>0</v>
      </c>
      <c r="U218" s="45">
        <f>IF(R218="",0,MAX(0,R218 - TARIFAS!G$2) * TARIFAS!F$2)
</f>
        <v>0</v>
      </c>
      <c r="V218" s="45">
        <f>+T218*TARIFAS!$K$2</f>
        <v>0</v>
      </c>
      <c r="W218" s="45">
        <f t="shared" si="2"/>
        <v>0</v>
      </c>
      <c r="X218" s="45">
        <f t="shared" si="3"/>
        <v>0</v>
      </c>
      <c r="Y218" s="45">
        <f t="shared" si="4"/>
        <v>0</v>
      </c>
      <c r="Z218" s="42" t="str">
        <f>CONFERENCIAS!AB218</f>
        <v/>
      </c>
      <c r="AA218" s="42" t="str">
        <f>CONFERENCIAS!AC218</f>
        <v/>
      </c>
      <c r="AB218" s="47" t="str">
        <f t="shared" si="5"/>
        <v/>
      </c>
      <c r="AC218" s="9" t="str">
        <f t="shared" si="6"/>
        <v/>
      </c>
    </row>
    <row r="219">
      <c r="A219" s="42" t="str">
        <f>CONFERENCIAS!A219</f>
        <v/>
      </c>
      <c r="D219" s="42" t="str">
        <f>CONFERENCIAS!C219</f>
        <v/>
      </c>
      <c r="E219" s="42" t="str">
        <f>CONFERENCIAS!K219</f>
        <v/>
      </c>
      <c r="F219" s="49" t="str">
        <f>CONFERENCIAS!J219</f>
        <v/>
      </c>
      <c r="G219" s="42" t="str">
        <f>CONFERENCIAS!O219</f>
        <v/>
      </c>
      <c r="H219" s="42" t="str">
        <f>CONFERENCIAS!X219</f>
        <v/>
      </c>
      <c r="I219" s="42" t="str">
        <f>CONFERENCIAS!AA219</f>
        <v/>
      </c>
      <c r="J219" s="44" t="str">
        <f>CONFERENCIAS!P219</f>
        <v/>
      </c>
      <c r="K219" s="45" t="str">
        <f>CONFERENCIAS!R219</f>
        <v/>
      </c>
      <c r="L219" s="45">
        <f>IF(D219="",0,
 IF(E219=1,
   IF(H219="Presencial",
      VLOOKUP(D219,TARIFAS!A:K,3,FALSE) + IF(I219="Sí",VLOOKUP(D219,TARIFAS!A:K,5,FALSE),0),
      VLOOKUP(D219,TARIFAS!A:K,4,FALSE) + IF(I219="Sí",VLOOKUP(D219,TARIFAS!A:K,5,FALSE),0)
   ),
   IF(H219="Presencial",
      VLOOKUP(D219,TARIFAS!A:K,9,FALSE) + IF(I219="Sí",VLOOKUP(D219,TARIFAS!A:K,11,FALSE),0),
      VLOOKUP(D219,TARIFAS!A:K,10,FALSE) + IF(I219="Sí",VLOOKUP(D219,TARIFAS!A:K,11,FALSE),0)
   )
 )
)
</f>
        <v>0</v>
      </c>
      <c r="M219" s="45">
        <f>IF(J219="",0,MAX(0,J219 - TARIFAS!G$2) * TARIFAS!F$2)
</f>
        <v>0</v>
      </c>
      <c r="N219" s="45">
        <f>+L219*TARIFAS!$K$2</f>
        <v>0</v>
      </c>
      <c r="O219" s="45">
        <f t="shared" si="1"/>
        <v>0</v>
      </c>
      <c r="P219" s="45">
        <f>+M219+O219+K219+(+I219-(I219*TARIFAS!$K$2))</f>
        <v>0</v>
      </c>
      <c r="Q219" s="42" t="str">
        <f>CONFERENCIAS!T219</f>
        <v/>
      </c>
      <c r="R219" s="45" t="str">
        <f>CONFERENCIAS!U219</f>
        <v/>
      </c>
      <c r="S219" s="45" t="str">
        <f>CONFERENCIAS!W219</f>
        <v/>
      </c>
      <c r="T219" s="48">
        <f>IF(Q219="",0,
   IF(E219=1,
      IF(H219="Presencial",
         VLOOKUP(D219,TARIFAS!A:K,3,FALSE) + IF(I219="Sí",VLOOKUP(D219,TARIFAS!A:K,5,FALSE),0),
         VLOOKUP(D219,TARIFAS!A:K,4,FALSE) + IF(I219="Sí",VLOOKUP(D219,TARIFAS!A:K,5,FALSE),0)
      ),
      IF(H219="Presencial",
         VLOOKUP(D219,TARIFAS!A:K,9,FALSE) + IF(I219="Sí",VLOOKUP(D219,TARIFAS!A:K,11,FALSE),0),
         VLOOKUP(D219,TARIFAS!A:K,10,FALSE) + IF(I219="Sí",VLOOKUP(D219,TARIFAS!A:K,11,FALSE),0)
      )
   )
)
</f>
        <v>0</v>
      </c>
      <c r="U219" s="45">
        <f>IF(R219="",0,MAX(0,R219 - TARIFAS!G$2) * TARIFAS!F$2)
</f>
        <v>0</v>
      </c>
      <c r="V219" s="45">
        <f>+T219*TARIFAS!$K$2</f>
        <v>0</v>
      </c>
      <c r="W219" s="45">
        <f t="shared" si="2"/>
        <v>0</v>
      </c>
      <c r="X219" s="45">
        <f t="shared" si="3"/>
        <v>0</v>
      </c>
      <c r="Y219" s="45">
        <f t="shared" si="4"/>
        <v>0</v>
      </c>
      <c r="Z219" s="42" t="str">
        <f>CONFERENCIAS!AB219</f>
        <v/>
      </c>
      <c r="AA219" s="42" t="str">
        <f>CONFERENCIAS!AC219</f>
        <v/>
      </c>
      <c r="AB219" s="47" t="str">
        <f t="shared" si="5"/>
        <v/>
      </c>
      <c r="AC219" s="9" t="str">
        <f t="shared" si="6"/>
        <v/>
      </c>
    </row>
    <row r="220">
      <c r="A220" s="42" t="str">
        <f>CONFERENCIAS!A220</f>
        <v/>
      </c>
      <c r="D220" s="42" t="str">
        <f>CONFERENCIAS!C220</f>
        <v/>
      </c>
      <c r="E220" s="42" t="str">
        <f>CONFERENCIAS!K220</f>
        <v/>
      </c>
      <c r="F220" s="49" t="str">
        <f>CONFERENCIAS!J220</f>
        <v/>
      </c>
      <c r="G220" s="42" t="str">
        <f>CONFERENCIAS!O220</f>
        <v/>
      </c>
      <c r="H220" s="42" t="str">
        <f>CONFERENCIAS!X220</f>
        <v/>
      </c>
      <c r="I220" s="42" t="str">
        <f>CONFERENCIAS!AA220</f>
        <v/>
      </c>
      <c r="J220" s="44" t="str">
        <f>CONFERENCIAS!P220</f>
        <v/>
      </c>
      <c r="K220" s="45" t="str">
        <f>CONFERENCIAS!R220</f>
        <v/>
      </c>
      <c r="L220" s="45">
        <f>IF(D220="",0,
 IF(E220=1,
   IF(H220="Presencial",
      VLOOKUP(D220,TARIFAS!A:K,3,FALSE) + IF(I220="Sí",VLOOKUP(D220,TARIFAS!A:K,5,FALSE),0),
      VLOOKUP(D220,TARIFAS!A:K,4,FALSE) + IF(I220="Sí",VLOOKUP(D220,TARIFAS!A:K,5,FALSE),0)
   ),
   IF(H220="Presencial",
      VLOOKUP(D220,TARIFAS!A:K,9,FALSE) + IF(I220="Sí",VLOOKUP(D220,TARIFAS!A:K,11,FALSE),0),
      VLOOKUP(D220,TARIFAS!A:K,10,FALSE) + IF(I220="Sí",VLOOKUP(D220,TARIFAS!A:K,11,FALSE),0)
   )
 )
)
</f>
        <v>0</v>
      </c>
      <c r="M220" s="45">
        <f>IF(J220="",0,MAX(0,J220 - TARIFAS!G$2) * TARIFAS!F$2)
</f>
        <v>0</v>
      </c>
      <c r="N220" s="45">
        <f>+L220*TARIFAS!$K$2</f>
        <v>0</v>
      </c>
      <c r="O220" s="45">
        <f t="shared" si="1"/>
        <v>0</v>
      </c>
      <c r="P220" s="45">
        <f>+M220+O220+K220+(+I220-(I220*TARIFAS!$K$2))</f>
        <v>0</v>
      </c>
      <c r="Q220" s="42" t="str">
        <f>CONFERENCIAS!T220</f>
        <v/>
      </c>
      <c r="R220" s="45" t="str">
        <f>CONFERENCIAS!U220</f>
        <v/>
      </c>
      <c r="S220" s="45" t="str">
        <f>CONFERENCIAS!W220</f>
        <v/>
      </c>
      <c r="T220" s="48">
        <f>IF(Q220="",0,
   IF(E220=1,
      IF(H220="Presencial",
         VLOOKUP(D220,TARIFAS!A:K,3,FALSE) + IF(I220="Sí",VLOOKUP(D220,TARIFAS!A:K,5,FALSE),0),
         VLOOKUP(D220,TARIFAS!A:K,4,FALSE) + IF(I220="Sí",VLOOKUP(D220,TARIFAS!A:K,5,FALSE),0)
      ),
      IF(H220="Presencial",
         VLOOKUP(D220,TARIFAS!A:K,9,FALSE) + IF(I220="Sí",VLOOKUP(D220,TARIFAS!A:K,11,FALSE),0),
         VLOOKUP(D220,TARIFAS!A:K,10,FALSE) + IF(I220="Sí",VLOOKUP(D220,TARIFAS!A:K,11,FALSE),0)
      )
   )
)
</f>
        <v>0</v>
      </c>
      <c r="U220" s="45">
        <f>IF(R220="",0,MAX(0,R220 - TARIFAS!G$2) * TARIFAS!F$2)
</f>
        <v>0</v>
      </c>
      <c r="V220" s="45">
        <f>+T220*TARIFAS!$K$2</f>
        <v>0</v>
      </c>
      <c r="W220" s="45">
        <f t="shared" si="2"/>
        <v>0</v>
      </c>
      <c r="X220" s="45">
        <f t="shared" si="3"/>
        <v>0</v>
      </c>
      <c r="Y220" s="45">
        <f t="shared" si="4"/>
        <v>0</v>
      </c>
      <c r="Z220" s="42" t="str">
        <f>CONFERENCIAS!AB220</f>
        <v/>
      </c>
      <c r="AA220" s="42" t="str">
        <f>CONFERENCIAS!AC220</f>
        <v/>
      </c>
      <c r="AB220" s="47" t="str">
        <f t="shared" si="5"/>
        <v/>
      </c>
      <c r="AC220" s="9" t="str">
        <f t="shared" si="6"/>
        <v/>
      </c>
    </row>
    <row r="221">
      <c r="A221" s="42" t="str">
        <f>CONFERENCIAS!A221</f>
        <v/>
      </c>
      <c r="D221" s="42" t="str">
        <f>CONFERENCIAS!C221</f>
        <v/>
      </c>
      <c r="E221" s="42" t="str">
        <f>CONFERENCIAS!K221</f>
        <v/>
      </c>
      <c r="F221" s="49" t="str">
        <f>CONFERENCIAS!J221</f>
        <v/>
      </c>
      <c r="G221" s="42" t="str">
        <f>CONFERENCIAS!O221</f>
        <v/>
      </c>
      <c r="H221" s="42" t="str">
        <f>CONFERENCIAS!X221</f>
        <v/>
      </c>
      <c r="I221" s="42" t="str">
        <f>CONFERENCIAS!AA221</f>
        <v/>
      </c>
      <c r="J221" s="44" t="str">
        <f>CONFERENCIAS!P221</f>
        <v/>
      </c>
      <c r="K221" s="45" t="str">
        <f>CONFERENCIAS!R221</f>
        <v/>
      </c>
      <c r="L221" s="45">
        <f>IF(D221="",0,
 IF(E221=1,
   IF(H221="Presencial",
      VLOOKUP(D221,TARIFAS!A:K,3,FALSE) + IF(I221="Sí",VLOOKUP(D221,TARIFAS!A:K,5,FALSE),0),
      VLOOKUP(D221,TARIFAS!A:K,4,FALSE) + IF(I221="Sí",VLOOKUP(D221,TARIFAS!A:K,5,FALSE),0)
   ),
   IF(H221="Presencial",
      VLOOKUP(D221,TARIFAS!A:K,9,FALSE) + IF(I221="Sí",VLOOKUP(D221,TARIFAS!A:K,11,FALSE),0),
      VLOOKUP(D221,TARIFAS!A:K,10,FALSE) + IF(I221="Sí",VLOOKUP(D221,TARIFAS!A:K,11,FALSE),0)
   )
 )
)
</f>
        <v>0</v>
      </c>
      <c r="M221" s="45">
        <f>IF(J221="",0,MAX(0,J221 - TARIFAS!G$2) * TARIFAS!F$2)
</f>
        <v>0</v>
      </c>
      <c r="N221" s="45">
        <f>+L221*TARIFAS!$K$2</f>
        <v>0</v>
      </c>
      <c r="O221" s="45">
        <f t="shared" si="1"/>
        <v>0</v>
      </c>
      <c r="P221" s="45">
        <f>+M221+O221+K221+(+I221-(I221*TARIFAS!$K$2))</f>
        <v>0</v>
      </c>
      <c r="Q221" s="42" t="str">
        <f>CONFERENCIAS!T221</f>
        <v/>
      </c>
      <c r="R221" s="45" t="str">
        <f>CONFERENCIAS!U221</f>
        <v/>
      </c>
      <c r="S221" s="45" t="str">
        <f>CONFERENCIAS!W221</f>
        <v/>
      </c>
      <c r="T221" s="48">
        <f>IF(Q221="",0,
   IF(E221=1,
      IF(H221="Presencial",
         VLOOKUP(D221,TARIFAS!A:K,3,FALSE) + IF(I221="Sí",VLOOKUP(D221,TARIFAS!A:K,5,FALSE),0),
         VLOOKUP(D221,TARIFAS!A:K,4,FALSE) + IF(I221="Sí",VLOOKUP(D221,TARIFAS!A:K,5,FALSE),0)
      ),
      IF(H221="Presencial",
         VLOOKUP(D221,TARIFAS!A:K,9,FALSE) + IF(I221="Sí",VLOOKUP(D221,TARIFAS!A:K,11,FALSE),0),
         VLOOKUP(D221,TARIFAS!A:K,10,FALSE) + IF(I221="Sí",VLOOKUP(D221,TARIFAS!A:K,11,FALSE),0)
      )
   )
)
</f>
        <v>0</v>
      </c>
      <c r="U221" s="45">
        <f>IF(R221="",0,MAX(0,R221 - TARIFAS!G$2) * TARIFAS!F$2)
</f>
        <v>0</v>
      </c>
      <c r="V221" s="45">
        <f>+T221*TARIFAS!$K$2</f>
        <v>0</v>
      </c>
      <c r="W221" s="45">
        <f t="shared" si="2"/>
        <v>0</v>
      </c>
      <c r="X221" s="45">
        <f t="shared" si="3"/>
        <v>0</v>
      </c>
      <c r="Y221" s="45">
        <f t="shared" si="4"/>
        <v>0</v>
      </c>
      <c r="Z221" s="42" t="str">
        <f>CONFERENCIAS!AB221</f>
        <v/>
      </c>
      <c r="AA221" s="42" t="str">
        <f>CONFERENCIAS!AC221</f>
        <v/>
      </c>
      <c r="AB221" s="47" t="str">
        <f t="shared" si="5"/>
        <v/>
      </c>
      <c r="AC221" s="9" t="str">
        <f t="shared" si="6"/>
        <v/>
      </c>
    </row>
    <row r="222">
      <c r="A222" s="42" t="str">
        <f>CONFERENCIAS!A222</f>
        <v/>
      </c>
      <c r="D222" s="42" t="str">
        <f>CONFERENCIAS!C222</f>
        <v/>
      </c>
      <c r="E222" s="42" t="str">
        <f>CONFERENCIAS!K222</f>
        <v/>
      </c>
      <c r="F222" s="49" t="str">
        <f>CONFERENCIAS!J222</f>
        <v/>
      </c>
      <c r="G222" s="42" t="str">
        <f>CONFERENCIAS!O222</f>
        <v/>
      </c>
      <c r="H222" s="42" t="str">
        <f>CONFERENCIAS!X222</f>
        <v/>
      </c>
      <c r="I222" s="42" t="str">
        <f>CONFERENCIAS!AA222</f>
        <v/>
      </c>
      <c r="J222" s="44" t="str">
        <f>CONFERENCIAS!P222</f>
        <v/>
      </c>
      <c r="K222" s="45" t="str">
        <f>CONFERENCIAS!R222</f>
        <v/>
      </c>
      <c r="L222" s="45">
        <f>IF(D222="",0,
 IF(E222=1,
   IF(H222="Presencial",
      VLOOKUP(D222,TARIFAS!A:K,3,FALSE) + IF(I222="Sí",VLOOKUP(D222,TARIFAS!A:K,5,FALSE),0),
      VLOOKUP(D222,TARIFAS!A:K,4,FALSE) + IF(I222="Sí",VLOOKUP(D222,TARIFAS!A:K,5,FALSE),0)
   ),
   IF(H222="Presencial",
      VLOOKUP(D222,TARIFAS!A:K,9,FALSE) + IF(I222="Sí",VLOOKUP(D222,TARIFAS!A:K,11,FALSE),0),
      VLOOKUP(D222,TARIFAS!A:K,10,FALSE) + IF(I222="Sí",VLOOKUP(D222,TARIFAS!A:K,11,FALSE),0)
   )
 )
)
</f>
        <v>0</v>
      </c>
      <c r="M222" s="45">
        <f>IF(J222="",0,MAX(0,J222 - TARIFAS!G$2) * TARIFAS!F$2)
</f>
        <v>0</v>
      </c>
      <c r="N222" s="45">
        <f>+L222*TARIFAS!$K$2</f>
        <v>0</v>
      </c>
      <c r="O222" s="45">
        <f t="shared" si="1"/>
        <v>0</v>
      </c>
      <c r="P222" s="45">
        <f>+M222+O222+K222+(+I222-(I222*TARIFAS!$K$2))</f>
        <v>0</v>
      </c>
      <c r="Q222" s="42" t="str">
        <f>CONFERENCIAS!T222</f>
        <v/>
      </c>
      <c r="R222" s="45" t="str">
        <f>CONFERENCIAS!U222</f>
        <v/>
      </c>
      <c r="S222" s="45" t="str">
        <f>CONFERENCIAS!W222</f>
        <v/>
      </c>
      <c r="T222" s="48">
        <f>IF(Q222="",0,
   IF(E222=1,
      IF(H222="Presencial",
         VLOOKUP(D222,TARIFAS!A:K,3,FALSE) + IF(I222="Sí",VLOOKUP(D222,TARIFAS!A:K,5,FALSE),0),
         VLOOKUP(D222,TARIFAS!A:K,4,FALSE) + IF(I222="Sí",VLOOKUP(D222,TARIFAS!A:K,5,FALSE),0)
      ),
      IF(H222="Presencial",
         VLOOKUP(D222,TARIFAS!A:K,9,FALSE) + IF(I222="Sí",VLOOKUP(D222,TARIFAS!A:K,11,FALSE),0),
         VLOOKUP(D222,TARIFAS!A:K,10,FALSE) + IF(I222="Sí",VLOOKUP(D222,TARIFAS!A:K,11,FALSE),0)
      )
   )
)
</f>
        <v>0</v>
      </c>
      <c r="U222" s="45">
        <f>IF(R222="",0,MAX(0,R222 - TARIFAS!G$2) * TARIFAS!F$2)
</f>
        <v>0</v>
      </c>
      <c r="V222" s="45">
        <f>+T222*TARIFAS!$K$2</f>
        <v>0</v>
      </c>
      <c r="W222" s="45">
        <f t="shared" si="2"/>
        <v>0</v>
      </c>
      <c r="X222" s="45">
        <f t="shared" si="3"/>
        <v>0</v>
      </c>
      <c r="Y222" s="45">
        <f t="shared" si="4"/>
        <v>0</v>
      </c>
      <c r="Z222" s="42" t="str">
        <f>CONFERENCIAS!AB222</f>
        <v/>
      </c>
      <c r="AA222" s="42" t="str">
        <f>CONFERENCIAS!AC222</f>
        <v/>
      </c>
      <c r="AB222" s="47" t="str">
        <f t="shared" si="5"/>
        <v/>
      </c>
      <c r="AC222" s="9" t="str">
        <f t="shared" si="6"/>
        <v/>
      </c>
    </row>
    <row r="223">
      <c r="A223" s="42" t="str">
        <f>CONFERENCIAS!A223</f>
        <v/>
      </c>
      <c r="D223" s="42" t="str">
        <f>CONFERENCIAS!C223</f>
        <v/>
      </c>
      <c r="E223" s="42" t="str">
        <f>CONFERENCIAS!K223</f>
        <v/>
      </c>
      <c r="F223" s="49" t="str">
        <f>CONFERENCIAS!J223</f>
        <v/>
      </c>
      <c r="G223" s="42" t="str">
        <f>CONFERENCIAS!O223</f>
        <v/>
      </c>
      <c r="H223" s="42" t="str">
        <f>CONFERENCIAS!X223</f>
        <v/>
      </c>
      <c r="I223" s="42" t="str">
        <f>CONFERENCIAS!AA223</f>
        <v/>
      </c>
      <c r="J223" s="44" t="str">
        <f>CONFERENCIAS!P223</f>
        <v/>
      </c>
      <c r="K223" s="45" t="str">
        <f>CONFERENCIAS!R223</f>
        <v/>
      </c>
      <c r="L223" s="45">
        <f>IF(D223="",0,
 IF(E223=1,
   IF(H223="Presencial",
      VLOOKUP(D223,TARIFAS!A:K,3,FALSE) + IF(I223="Sí",VLOOKUP(D223,TARIFAS!A:K,5,FALSE),0),
      VLOOKUP(D223,TARIFAS!A:K,4,FALSE) + IF(I223="Sí",VLOOKUP(D223,TARIFAS!A:K,5,FALSE),0)
   ),
   IF(H223="Presencial",
      VLOOKUP(D223,TARIFAS!A:K,9,FALSE) + IF(I223="Sí",VLOOKUP(D223,TARIFAS!A:K,11,FALSE),0),
      VLOOKUP(D223,TARIFAS!A:K,10,FALSE) + IF(I223="Sí",VLOOKUP(D223,TARIFAS!A:K,11,FALSE),0)
   )
 )
)
</f>
        <v>0</v>
      </c>
      <c r="M223" s="45">
        <f>IF(J223="",0,MAX(0,J223 - TARIFAS!G$2) * TARIFAS!F$2)
</f>
        <v>0</v>
      </c>
      <c r="N223" s="45">
        <f>+L223*TARIFAS!$K$2</f>
        <v>0</v>
      </c>
      <c r="O223" s="45">
        <f t="shared" si="1"/>
        <v>0</v>
      </c>
      <c r="P223" s="45">
        <f>+M223+O223+K223+(+I223-(I223*TARIFAS!$K$2))</f>
        <v>0</v>
      </c>
      <c r="Q223" s="42" t="str">
        <f>CONFERENCIAS!T223</f>
        <v/>
      </c>
      <c r="R223" s="45" t="str">
        <f>CONFERENCIAS!U223</f>
        <v/>
      </c>
      <c r="S223" s="45" t="str">
        <f>CONFERENCIAS!W223</f>
        <v/>
      </c>
      <c r="T223" s="48">
        <f>IF(Q223="",0,
   IF(E223=1,
      IF(H223="Presencial",
         VLOOKUP(D223,TARIFAS!A:K,3,FALSE) + IF(I223="Sí",VLOOKUP(D223,TARIFAS!A:K,5,FALSE),0),
         VLOOKUP(D223,TARIFAS!A:K,4,FALSE) + IF(I223="Sí",VLOOKUP(D223,TARIFAS!A:K,5,FALSE),0)
      ),
      IF(H223="Presencial",
         VLOOKUP(D223,TARIFAS!A:K,9,FALSE) + IF(I223="Sí",VLOOKUP(D223,TARIFAS!A:K,11,FALSE),0),
         VLOOKUP(D223,TARIFAS!A:K,10,FALSE) + IF(I223="Sí",VLOOKUP(D223,TARIFAS!A:K,11,FALSE),0)
      )
   )
)
</f>
        <v>0</v>
      </c>
      <c r="U223" s="45">
        <f>IF(R223="",0,MAX(0,R223 - TARIFAS!G$2) * TARIFAS!F$2)
</f>
        <v>0</v>
      </c>
      <c r="V223" s="45">
        <f>+T223*TARIFAS!$K$2</f>
        <v>0</v>
      </c>
      <c r="W223" s="45">
        <f t="shared" si="2"/>
        <v>0</v>
      </c>
      <c r="X223" s="45">
        <f t="shared" si="3"/>
        <v>0</v>
      </c>
      <c r="Y223" s="45">
        <f t="shared" si="4"/>
        <v>0</v>
      </c>
      <c r="Z223" s="42" t="str">
        <f>CONFERENCIAS!AB223</f>
        <v/>
      </c>
      <c r="AA223" s="42" t="str">
        <f>CONFERENCIAS!AC223</f>
        <v/>
      </c>
      <c r="AB223" s="47" t="str">
        <f t="shared" si="5"/>
        <v/>
      </c>
      <c r="AC223" s="9" t="str">
        <f t="shared" si="6"/>
        <v/>
      </c>
    </row>
    <row r="224">
      <c r="A224" s="42" t="str">
        <f>CONFERENCIAS!A224</f>
        <v/>
      </c>
      <c r="D224" s="42" t="str">
        <f>CONFERENCIAS!C224</f>
        <v/>
      </c>
      <c r="E224" s="42" t="str">
        <f>CONFERENCIAS!K224</f>
        <v/>
      </c>
      <c r="F224" s="49" t="str">
        <f>CONFERENCIAS!J224</f>
        <v/>
      </c>
      <c r="G224" s="42" t="str">
        <f>CONFERENCIAS!O224</f>
        <v/>
      </c>
      <c r="H224" s="42" t="str">
        <f>CONFERENCIAS!X224</f>
        <v/>
      </c>
      <c r="I224" s="42" t="str">
        <f>CONFERENCIAS!AA224</f>
        <v/>
      </c>
      <c r="J224" s="44" t="str">
        <f>CONFERENCIAS!P224</f>
        <v/>
      </c>
      <c r="K224" s="45" t="str">
        <f>CONFERENCIAS!R224</f>
        <v/>
      </c>
      <c r="L224" s="45">
        <f>IF(D224="",0,
 IF(E224=1,
   IF(H224="Presencial",
      VLOOKUP(D224,TARIFAS!A:K,3,FALSE) + IF(I224="Sí",VLOOKUP(D224,TARIFAS!A:K,5,FALSE),0),
      VLOOKUP(D224,TARIFAS!A:K,4,FALSE) + IF(I224="Sí",VLOOKUP(D224,TARIFAS!A:K,5,FALSE),0)
   ),
   IF(H224="Presencial",
      VLOOKUP(D224,TARIFAS!A:K,9,FALSE) + IF(I224="Sí",VLOOKUP(D224,TARIFAS!A:K,11,FALSE),0),
      VLOOKUP(D224,TARIFAS!A:K,10,FALSE) + IF(I224="Sí",VLOOKUP(D224,TARIFAS!A:K,11,FALSE),0)
   )
 )
)
</f>
        <v>0</v>
      </c>
      <c r="M224" s="45">
        <f>IF(J224="",0,MAX(0,J224 - TARIFAS!G$2) * TARIFAS!F$2)
</f>
        <v>0</v>
      </c>
      <c r="N224" s="45">
        <f>+L224*TARIFAS!$K$2</f>
        <v>0</v>
      </c>
      <c r="O224" s="45">
        <f t="shared" si="1"/>
        <v>0</v>
      </c>
      <c r="P224" s="45">
        <f>+M224+O224+K224+(+I224-(I224*TARIFAS!$K$2))</f>
        <v>0</v>
      </c>
      <c r="Q224" s="42" t="str">
        <f>CONFERENCIAS!T224</f>
        <v/>
      </c>
      <c r="R224" s="45" t="str">
        <f>CONFERENCIAS!U224</f>
        <v/>
      </c>
      <c r="S224" s="45" t="str">
        <f>CONFERENCIAS!W224</f>
        <v/>
      </c>
      <c r="T224" s="48">
        <f>IF(Q224="",0,
   IF(E224=1,
      IF(H224="Presencial",
         VLOOKUP(D224,TARIFAS!A:K,3,FALSE) + IF(I224="Sí",VLOOKUP(D224,TARIFAS!A:K,5,FALSE),0),
         VLOOKUP(D224,TARIFAS!A:K,4,FALSE) + IF(I224="Sí",VLOOKUP(D224,TARIFAS!A:K,5,FALSE),0)
      ),
      IF(H224="Presencial",
         VLOOKUP(D224,TARIFAS!A:K,9,FALSE) + IF(I224="Sí",VLOOKUP(D224,TARIFAS!A:K,11,FALSE),0),
         VLOOKUP(D224,TARIFAS!A:K,10,FALSE) + IF(I224="Sí",VLOOKUP(D224,TARIFAS!A:K,11,FALSE),0)
      )
   )
)
</f>
        <v>0</v>
      </c>
      <c r="U224" s="45">
        <f>IF(R224="",0,MAX(0,R224 - TARIFAS!G$2) * TARIFAS!F$2)
</f>
        <v>0</v>
      </c>
      <c r="V224" s="45">
        <f>+T224*TARIFAS!$K$2</f>
        <v>0</v>
      </c>
      <c r="W224" s="45">
        <f t="shared" si="2"/>
        <v>0</v>
      </c>
      <c r="X224" s="45">
        <f t="shared" si="3"/>
        <v>0</v>
      </c>
      <c r="Y224" s="45">
        <f t="shared" si="4"/>
        <v>0</v>
      </c>
      <c r="Z224" s="42" t="str">
        <f>CONFERENCIAS!AB224</f>
        <v/>
      </c>
      <c r="AA224" s="42" t="str">
        <f>CONFERENCIAS!AC224</f>
        <v/>
      </c>
      <c r="AB224" s="47" t="str">
        <f t="shared" si="5"/>
        <v/>
      </c>
      <c r="AC224" s="9" t="str">
        <f t="shared" si="6"/>
        <v/>
      </c>
    </row>
    <row r="225">
      <c r="A225" s="42" t="str">
        <f>CONFERENCIAS!A225</f>
        <v/>
      </c>
      <c r="D225" s="42" t="str">
        <f>CONFERENCIAS!C225</f>
        <v/>
      </c>
      <c r="E225" s="42" t="str">
        <f>CONFERENCIAS!K225</f>
        <v/>
      </c>
      <c r="F225" s="49" t="str">
        <f>CONFERENCIAS!J225</f>
        <v/>
      </c>
      <c r="G225" s="42" t="str">
        <f>CONFERENCIAS!O225</f>
        <v/>
      </c>
      <c r="H225" s="42" t="str">
        <f>CONFERENCIAS!X225</f>
        <v/>
      </c>
      <c r="I225" s="42" t="str">
        <f>CONFERENCIAS!AA225</f>
        <v/>
      </c>
      <c r="J225" s="44" t="str">
        <f>CONFERENCIAS!P225</f>
        <v/>
      </c>
      <c r="K225" s="45" t="str">
        <f>CONFERENCIAS!R225</f>
        <v/>
      </c>
      <c r="L225" s="45">
        <f>IF(D225="",0,
 IF(E225=1,
   IF(H225="Presencial",
      VLOOKUP(D225,TARIFAS!A:K,3,FALSE) + IF(I225="Sí",VLOOKUP(D225,TARIFAS!A:K,5,FALSE),0),
      VLOOKUP(D225,TARIFAS!A:K,4,FALSE) + IF(I225="Sí",VLOOKUP(D225,TARIFAS!A:K,5,FALSE),0)
   ),
   IF(H225="Presencial",
      VLOOKUP(D225,TARIFAS!A:K,9,FALSE) + IF(I225="Sí",VLOOKUP(D225,TARIFAS!A:K,11,FALSE),0),
      VLOOKUP(D225,TARIFAS!A:K,10,FALSE) + IF(I225="Sí",VLOOKUP(D225,TARIFAS!A:K,11,FALSE),0)
   )
 )
)
</f>
        <v>0</v>
      </c>
      <c r="M225" s="45">
        <f>IF(J225="",0,MAX(0,J225 - TARIFAS!G$2) * TARIFAS!F$2)
</f>
        <v>0</v>
      </c>
      <c r="N225" s="45">
        <f>+L225*TARIFAS!$K$2</f>
        <v>0</v>
      </c>
      <c r="O225" s="45">
        <f t="shared" si="1"/>
        <v>0</v>
      </c>
      <c r="P225" s="45">
        <f>+M225+O225+K225+(+I225-(I225*TARIFAS!$K$2))</f>
        <v>0</v>
      </c>
      <c r="Q225" s="42" t="str">
        <f>CONFERENCIAS!T225</f>
        <v/>
      </c>
      <c r="R225" s="45" t="str">
        <f>CONFERENCIAS!U225</f>
        <v/>
      </c>
      <c r="S225" s="45" t="str">
        <f>CONFERENCIAS!W225</f>
        <v/>
      </c>
      <c r="T225" s="48">
        <f>IF(Q225="",0,
   IF(E225=1,
      IF(H225="Presencial",
         VLOOKUP(D225,TARIFAS!A:K,3,FALSE) + IF(I225="Sí",VLOOKUP(D225,TARIFAS!A:K,5,FALSE),0),
         VLOOKUP(D225,TARIFAS!A:K,4,FALSE) + IF(I225="Sí",VLOOKUP(D225,TARIFAS!A:K,5,FALSE),0)
      ),
      IF(H225="Presencial",
         VLOOKUP(D225,TARIFAS!A:K,9,FALSE) + IF(I225="Sí",VLOOKUP(D225,TARIFAS!A:K,11,FALSE),0),
         VLOOKUP(D225,TARIFAS!A:K,10,FALSE) + IF(I225="Sí",VLOOKUP(D225,TARIFAS!A:K,11,FALSE),0)
      )
   )
)
</f>
        <v>0</v>
      </c>
      <c r="U225" s="45">
        <f>IF(R225="",0,MAX(0,R225 - TARIFAS!G$2) * TARIFAS!F$2)
</f>
        <v>0</v>
      </c>
      <c r="V225" s="45">
        <f>+T225*TARIFAS!$K$2</f>
        <v>0</v>
      </c>
      <c r="W225" s="45">
        <f t="shared" si="2"/>
        <v>0</v>
      </c>
      <c r="X225" s="45">
        <f t="shared" si="3"/>
        <v>0</v>
      </c>
      <c r="Y225" s="45">
        <f t="shared" si="4"/>
        <v>0</v>
      </c>
      <c r="Z225" s="42" t="str">
        <f>CONFERENCIAS!AB225</f>
        <v/>
      </c>
      <c r="AA225" s="42" t="str">
        <f>CONFERENCIAS!AC225</f>
        <v/>
      </c>
      <c r="AB225" s="47" t="str">
        <f t="shared" si="5"/>
        <v/>
      </c>
      <c r="AC225" s="9" t="str">
        <f t="shared" si="6"/>
        <v/>
      </c>
    </row>
    <row r="226">
      <c r="A226" s="42" t="str">
        <f>CONFERENCIAS!A226</f>
        <v/>
      </c>
      <c r="D226" s="42" t="str">
        <f>CONFERENCIAS!C226</f>
        <v/>
      </c>
      <c r="E226" s="42" t="str">
        <f>CONFERENCIAS!K226</f>
        <v/>
      </c>
      <c r="F226" s="49" t="str">
        <f>CONFERENCIAS!J226</f>
        <v/>
      </c>
      <c r="G226" s="42" t="str">
        <f>CONFERENCIAS!O226</f>
        <v/>
      </c>
      <c r="H226" s="42" t="str">
        <f>CONFERENCIAS!X226</f>
        <v/>
      </c>
      <c r="I226" s="42" t="str">
        <f>CONFERENCIAS!AA226</f>
        <v/>
      </c>
      <c r="J226" s="44" t="str">
        <f>CONFERENCIAS!P226</f>
        <v/>
      </c>
      <c r="K226" s="45" t="str">
        <f>CONFERENCIAS!R226</f>
        <v/>
      </c>
      <c r="L226" s="45">
        <f>IF(D226="",0,
 IF(E226=1,
   IF(H226="Presencial",
      VLOOKUP(D226,TARIFAS!A:K,3,FALSE) + IF(I226="Sí",VLOOKUP(D226,TARIFAS!A:K,5,FALSE),0),
      VLOOKUP(D226,TARIFAS!A:K,4,FALSE) + IF(I226="Sí",VLOOKUP(D226,TARIFAS!A:K,5,FALSE),0)
   ),
   IF(H226="Presencial",
      VLOOKUP(D226,TARIFAS!A:K,9,FALSE) + IF(I226="Sí",VLOOKUP(D226,TARIFAS!A:K,11,FALSE),0),
      VLOOKUP(D226,TARIFAS!A:K,10,FALSE) + IF(I226="Sí",VLOOKUP(D226,TARIFAS!A:K,11,FALSE),0)
   )
 )
)
</f>
        <v>0</v>
      </c>
      <c r="M226" s="45">
        <f>IF(J226="",0,MAX(0,J226 - TARIFAS!G$2) * TARIFAS!F$2)
</f>
        <v>0</v>
      </c>
      <c r="N226" s="45">
        <f>+L226*TARIFAS!$K$2</f>
        <v>0</v>
      </c>
      <c r="O226" s="45">
        <f t="shared" si="1"/>
        <v>0</v>
      </c>
      <c r="P226" s="45">
        <f>+M226+O226+K226+(+I226-(I226*TARIFAS!$K$2))</f>
        <v>0</v>
      </c>
      <c r="Q226" s="42" t="str">
        <f>CONFERENCIAS!T226</f>
        <v/>
      </c>
      <c r="R226" s="45" t="str">
        <f>CONFERENCIAS!U226</f>
        <v/>
      </c>
      <c r="S226" s="45" t="str">
        <f>CONFERENCIAS!W226</f>
        <v/>
      </c>
      <c r="T226" s="48">
        <f>IF(Q226="",0,
   IF(E226=1,
      IF(H226="Presencial",
         VLOOKUP(D226,TARIFAS!A:K,3,FALSE) + IF(I226="Sí",VLOOKUP(D226,TARIFAS!A:K,5,FALSE),0),
         VLOOKUP(D226,TARIFAS!A:K,4,FALSE) + IF(I226="Sí",VLOOKUP(D226,TARIFAS!A:K,5,FALSE),0)
      ),
      IF(H226="Presencial",
         VLOOKUP(D226,TARIFAS!A:K,9,FALSE) + IF(I226="Sí",VLOOKUP(D226,TARIFAS!A:K,11,FALSE),0),
         VLOOKUP(D226,TARIFAS!A:K,10,FALSE) + IF(I226="Sí",VLOOKUP(D226,TARIFAS!A:K,11,FALSE),0)
      )
   )
)
</f>
        <v>0</v>
      </c>
      <c r="U226" s="45">
        <f>IF(R226="",0,MAX(0,R226 - TARIFAS!G$2) * TARIFAS!F$2)
</f>
        <v>0</v>
      </c>
      <c r="V226" s="45">
        <f>+T226*TARIFAS!$K$2</f>
        <v>0</v>
      </c>
      <c r="W226" s="45">
        <f t="shared" si="2"/>
        <v>0</v>
      </c>
      <c r="X226" s="45">
        <f t="shared" si="3"/>
        <v>0</v>
      </c>
      <c r="Y226" s="45">
        <f t="shared" si="4"/>
        <v>0</v>
      </c>
      <c r="Z226" s="42" t="str">
        <f>CONFERENCIAS!AB226</f>
        <v/>
      </c>
      <c r="AA226" s="42" t="str">
        <f>CONFERENCIAS!AC226</f>
        <v/>
      </c>
      <c r="AB226" s="47" t="str">
        <f t="shared" si="5"/>
        <v/>
      </c>
      <c r="AC226" s="9" t="str">
        <f t="shared" si="6"/>
        <v/>
      </c>
    </row>
    <row r="227">
      <c r="A227" s="42" t="str">
        <f>CONFERENCIAS!A227</f>
        <v/>
      </c>
      <c r="D227" s="42" t="str">
        <f>CONFERENCIAS!C227</f>
        <v/>
      </c>
      <c r="E227" s="42" t="str">
        <f>CONFERENCIAS!K227</f>
        <v/>
      </c>
      <c r="F227" s="49" t="str">
        <f>CONFERENCIAS!J227</f>
        <v/>
      </c>
      <c r="G227" s="42" t="str">
        <f>CONFERENCIAS!O227</f>
        <v/>
      </c>
      <c r="H227" s="42" t="str">
        <f>CONFERENCIAS!X227</f>
        <v/>
      </c>
      <c r="I227" s="42" t="str">
        <f>CONFERENCIAS!AA227</f>
        <v/>
      </c>
      <c r="J227" s="44" t="str">
        <f>CONFERENCIAS!P227</f>
        <v/>
      </c>
      <c r="K227" s="45" t="str">
        <f>CONFERENCIAS!R227</f>
        <v/>
      </c>
      <c r="L227" s="45">
        <f>IF(D227="",0,
 IF(E227=1,
   IF(H227="Presencial",
      VLOOKUP(D227,TARIFAS!A:K,3,FALSE) + IF(I227="Sí",VLOOKUP(D227,TARIFAS!A:K,5,FALSE),0),
      VLOOKUP(D227,TARIFAS!A:K,4,FALSE) + IF(I227="Sí",VLOOKUP(D227,TARIFAS!A:K,5,FALSE),0)
   ),
   IF(H227="Presencial",
      VLOOKUP(D227,TARIFAS!A:K,9,FALSE) + IF(I227="Sí",VLOOKUP(D227,TARIFAS!A:K,11,FALSE),0),
      VLOOKUP(D227,TARIFAS!A:K,10,FALSE) + IF(I227="Sí",VLOOKUP(D227,TARIFAS!A:K,11,FALSE),0)
   )
 )
)
</f>
        <v>0</v>
      </c>
      <c r="M227" s="45">
        <f>IF(J227="",0,MAX(0,J227 - TARIFAS!G$2) * TARIFAS!F$2)
</f>
        <v>0</v>
      </c>
      <c r="N227" s="45">
        <f>+L227*TARIFAS!$K$2</f>
        <v>0</v>
      </c>
      <c r="O227" s="45">
        <f t="shared" si="1"/>
        <v>0</v>
      </c>
      <c r="P227" s="45">
        <f>+M227+O227+K227+(+I227-(I227*TARIFAS!$K$2))</f>
        <v>0</v>
      </c>
      <c r="Q227" s="42" t="str">
        <f>CONFERENCIAS!T227</f>
        <v/>
      </c>
      <c r="R227" s="45" t="str">
        <f>CONFERENCIAS!U227</f>
        <v/>
      </c>
      <c r="S227" s="45" t="str">
        <f>CONFERENCIAS!W227</f>
        <v/>
      </c>
      <c r="T227" s="48">
        <f>IF(Q227="",0,
   IF(E227=1,
      IF(H227="Presencial",
         VLOOKUP(D227,TARIFAS!A:K,3,FALSE) + IF(I227="Sí",VLOOKUP(D227,TARIFAS!A:K,5,FALSE),0),
         VLOOKUP(D227,TARIFAS!A:K,4,FALSE) + IF(I227="Sí",VLOOKUP(D227,TARIFAS!A:K,5,FALSE),0)
      ),
      IF(H227="Presencial",
         VLOOKUP(D227,TARIFAS!A:K,9,FALSE) + IF(I227="Sí",VLOOKUP(D227,TARIFAS!A:K,11,FALSE),0),
         VLOOKUP(D227,TARIFAS!A:K,10,FALSE) + IF(I227="Sí",VLOOKUP(D227,TARIFAS!A:K,11,FALSE),0)
      )
   )
)
</f>
        <v>0</v>
      </c>
      <c r="U227" s="45">
        <f>IF(R227="",0,MAX(0,R227 - TARIFAS!G$2) * TARIFAS!F$2)
</f>
        <v>0</v>
      </c>
      <c r="V227" s="45">
        <f>+T227*TARIFAS!$K$2</f>
        <v>0</v>
      </c>
      <c r="W227" s="45">
        <f t="shared" si="2"/>
        <v>0</v>
      </c>
      <c r="X227" s="45">
        <f t="shared" si="3"/>
        <v>0</v>
      </c>
      <c r="Y227" s="45">
        <f t="shared" si="4"/>
        <v>0</v>
      </c>
      <c r="Z227" s="42" t="str">
        <f>CONFERENCIAS!AB227</f>
        <v/>
      </c>
      <c r="AA227" s="42" t="str">
        <f>CONFERENCIAS!AC227</f>
        <v/>
      </c>
      <c r="AB227" s="47" t="str">
        <f t="shared" si="5"/>
        <v/>
      </c>
      <c r="AC227" s="9" t="str">
        <f t="shared" si="6"/>
        <v/>
      </c>
    </row>
    <row r="228">
      <c r="A228" s="42" t="str">
        <f>CONFERENCIAS!A228</f>
        <v/>
      </c>
      <c r="D228" s="42" t="str">
        <f>CONFERENCIAS!C228</f>
        <v/>
      </c>
      <c r="E228" s="42" t="str">
        <f>CONFERENCIAS!K228</f>
        <v/>
      </c>
      <c r="F228" s="49" t="str">
        <f>CONFERENCIAS!J228</f>
        <v/>
      </c>
      <c r="G228" s="42" t="str">
        <f>CONFERENCIAS!O228</f>
        <v/>
      </c>
      <c r="H228" s="42" t="str">
        <f>CONFERENCIAS!X228</f>
        <v/>
      </c>
      <c r="I228" s="42" t="str">
        <f>CONFERENCIAS!AA228</f>
        <v/>
      </c>
      <c r="J228" s="44" t="str">
        <f>CONFERENCIAS!P228</f>
        <v/>
      </c>
      <c r="K228" s="45" t="str">
        <f>CONFERENCIAS!R228</f>
        <v/>
      </c>
      <c r="L228" s="45">
        <f>IF(D228="",0,
 IF(E228=1,
   IF(H228="Presencial",
      VLOOKUP(D228,TARIFAS!A:K,3,FALSE) + IF(I228="Sí",VLOOKUP(D228,TARIFAS!A:K,5,FALSE),0),
      VLOOKUP(D228,TARIFAS!A:K,4,FALSE) + IF(I228="Sí",VLOOKUP(D228,TARIFAS!A:K,5,FALSE),0)
   ),
   IF(H228="Presencial",
      VLOOKUP(D228,TARIFAS!A:K,9,FALSE) + IF(I228="Sí",VLOOKUP(D228,TARIFAS!A:K,11,FALSE),0),
      VLOOKUP(D228,TARIFAS!A:K,10,FALSE) + IF(I228="Sí",VLOOKUP(D228,TARIFAS!A:K,11,FALSE),0)
   )
 )
)
</f>
        <v>0</v>
      </c>
      <c r="M228" s="45">
        <f>IF(J228="",0,MAX(0,J228 - TARIFAS!G$2) * TARIFAS!F$2)
</f>
        <v>0</v>
      </c>
      <c r="N228" s="45">
        <f>+L228*TARIFAS!$K$2</f>
        <v>0</v>
      </c>
      <c r="O228" s="45">
        <f t="shared" si="1"/>
        <v>0</v>
      </c>
      <c r="P228" s="45">
        <f>+M228+O228+K228+(+I228-(I228*TARIFAS!$K$2))</f>
        <v>0</v>
      </c>
      <c r="Q228" s="42" t="str">
        <f>CONFERENCIAS!T228</f>
        <v/>
      </c>
      <c r="R228" s="45" t="str">
        <f>CONFERENCIAS!U228</f>
        <v/>
      </c>
      <c r="S228" s="45" t="str">
        <f>CONFERENCIAS!W228</f>
        <v/>
      </c>
      <c r="T228" s="48">
        <f>IF(Q228="",0,
   IF(E228=1,
      IF(H228="Presencial",
         VLOOKUP(D228,TARIFAS!A:K,3,FALSE) + IF(I228="Sí",VLOOKUP(D228,TARIFAS!A:K,5,FALSE),0),
         VLOOKUP(D228,TARIFAS!A:K,4,FALSE) + IF(I228="Sí",VLOOKUP(D228,TARIFAS!A:K,5,FALSE),0)
      ),
      IF(H228="Presencial",
         VLOOKUP(D228,TARIFAS!A:K,9,FALSE) + IF(I228="Sí",VLOOKUP(D228,TARIFAS!A:K,11,FALSE),0),
         VLOOKUP(D228,TARIFAS!A:K,10,FALSE) + IF(I228="Sí",VLOOKUP(D228,TARIFAS!A:K,11,FALSE),0)
      )
   )
)
</f>
        <v>0</v>
      </c>
      <c r="U228" s="45">
        <f>IF(R228="",0,MAX(0,R228 - TARIFAS!G$2) * TARIFAS!F$2)
</f>
        <v>0</v>
      </c>
      <c r="V228" s="45">
        <f>+T228*TARIFAS!$K$2</f>
        <v>0</v>
      </c>
      <c r="W228" s="45">
        <f t="shared" si="2"/>
        <v>0</v>
      </c>
      <c r="X228" s="45">
        <f t="shared" si="3"/>
        <v>0</v>
      </c>
      <c r="Y228" s="45">
        <f t="shared" si="4"/>
        <v>0</v>
      </c>
      <c r="Z228" s="42" t="str">
        <f>CONFERENCIAS!AB228</f>
        <v/>
      </c>
      <c r="AA228" s="42" t="str">
        <f>CONFERENCIAS!AC228</f>
        <v/>
      </c>
      <c r="AB228" s="47" t="str">
        <f t="shared" si="5"/>
        <v/>
      </c>
      <c r="AC228" s="9" t="str">
        <f t="shared" si="6"/>
        <v/>
      </c>
    </row>
    <row r="229">
      <c r="A229" s="42" t="str">
        <f>CONFERENCIAS!A229</f>
        <v/>
      </c>
      <c r="D229" s="42" t="str">
        <f>CONFERENCIAS!C229</f>
        <v/>
      </c>
      <c r="E229" s="42" t="str">
        <f>CONFERENCIAS!K229</f>
        <v/>
      </c>
      <c r="F229" s="49" t="str">
        <f>CONFERENCIAS!J229</f>
        <v/>
      </c>
      <c r="G229" s="42" t="str">
        <f>CONFERENCIAS!O229</f>
        <v/>
      </c>
      <c r="H229" s="42" t="str">
        <f>CONFERENCIAS!X229</f>
        <v/>
      </c>
      <c r="I229" s="42" t="str">
        <f>CONFERENCIAS!AA229</f>
        <v/>
      </c>
      <c r="J229" s="44" t="str">
        <f>CONFERENCIAS!P229</f>
        <v/>
      </c>
      <c r="K229" s="45" t="str">
        <f>CONFERENCIAS!R229</f>
        <v/>
      </c>
      <c r="L229" s="45">
        <f>IF(D229="",0,
 IF(E229=1,
   IF(H229="Presencial",
      VLOOKUP(D229,TARIFAS!A:K,3,FALSE) + IF(I229="Sí",VLOOKUP(D229,TARIFAS!A:K,5,FALSE),0),
      VLOOKUP(D229,TARIFAS!A:K,4,FALSE) + IF(I229="Sí",VLOOKUP(D229,TARIFAS!A:K,5,FALSE),0)
   ),
   IF(H229="Presencial",
      VLOOKUP(D229,TARIFAS!A:K,9,FALSE) + IF(I229="Sí",VLOOKUP(D229,TARIFAS!A:K,11,FALSE),0),
      VLOOKUP(D229,TARIFAS!A:K,10,FALSE) + IF(I229="Sí",VLOOKUP(D229,TARIFAS!A:K,11,FALSE),0)
   )
 )
)
</f>
        <v>0</v>
      </c>
      <c r="M229" s="45">
        <f>IF(J229="",0,MAX(0,J229 - TARIFAS!G$2) * TARIFAS!F$2)
</f>
        <v>0</v>
      </c>
      <c r="N229" s="45">
        <f>+L229*TARIFAS!$K$2</f>
        <v>0</v>
      </c>
      <c r="O229" s="45">
        <f t="shared" si="1"/>
        <v>0</v>
      </c>
      <c r="P229" s="45">
        <f>+M229+O229+K229+(+I229-(I229*TARIFAS!$K$2))</f>
        <v>0</v>
      </c>
      <c r="Q229" s="42" t="str">
        <f>CONFERENCIAS!T229</f>
        <v/>
      </c>
      <c r="R229" s="45" t="str">
        <f>CONFERENCIAS!U229</f>
        <v/>
      </c>
      <c r="S229" s="45" t="str">
        <f>CONFERENCIAS!W229</f>
        <v/>
      </c>
      <c r="T229" s="48">
        <f>IF(Q229="",0,
   IF(E229=1,
      IF(H229="Presencial",
         VLOOKUP(D229,TARIFAS!A:K,3,FALSE) + IF(I229="Sí",VLOOKUP(D229,TARIFAS!A:K,5,FALSE),0),
         VLOOKUP(D229,TARIFAS!A:K,4,FALSE) + IF(I229="Sí",VLOOKUP(D229,TARIFAS!A:K,5,FALSE),0)
      ),
      IF(H229="Presencial",
         VLOOKUP(D229,TARIFAS!A:K,9,FALSE) + IF(I229="Sí",VLOOKUP(D229,TARIFAS!A:K,11,FALSE),0),
         VLOOKUP(D229,TARIFAS!A:K,10,FALSE) + IF(I229="Sí",VLOOKUP(D229,TARIFAS!A:K,11,FALSE),0)
      )
   )
)
</f>
        <v>0</v>
      </c>
      <c r="U229" s="45">
        <f>IF(R229="",0,MAX(0,R229 - TARIFAS!G$2) * TARIFAS!F$2)
</f>
        <v>0</v>
      </c>
      <c r="V229" s="45">
        <f>+T229*TARIFAS!$K$2</f>
        <v>0</v>
      </c>
      <c r="W229" s="45">
        <f t="shared" si="2"/>
        <v>0</v>
      </c>
      <c r="X229" s="45">
        <f t="shared" si="3"/>
        <v>0</v>
      </c>
      <c r="Y229" s="45">
        <f t="shared" si="4"/>
        <v>0</v>
      </c>
      <c r="Z229" s="42" t="str">
        <f>CONFERENCIAS!AB229</f>
        <v/>
      </c>
      <c r="AA229" s="42" t="str">
        <f>CONFERENCIAS!AC229</f>
        <v/>
      </c>
      <c r="AB229" s="47" t="str">
        <f t="shared" si="5"/>
        <v/>
      </c>
      <c r="AC229" s="9" t="str">
        <f t="shared" si="6"/>
        <v/>
      </c>
    </row>
    <row r="230">
      <c r="A230" s="42" t="str">
        <f>CONFERENCIAS!A230</f>
        <v/>
      </c>
      <c r="D230" s="42" t="str">
        <f>CONFERENCIAS!C230</f>
        <v/>
      </c>
      <c r="E230" s="42" t="str">
        <f>CONFERENCIAS!K230</f>
        <v/>
      </c>
      <c r="F230" s="49" t="str">
        <f>CONFERENCIAS!J230</f>
        <v/>
      </c>
      <c r="G230" s="42" t="str">
        <f>CONFERENCIAS!O230</f>
        <v/>
      </c>
      <c r="H230" s="42" t="str">
        <f>CONFERENCIAS!X230</f>
        <v/>
      </c>
      <c r="I230" s="42" t="str">
        <f>CONFERENCIAS!AA230</f>
        <v/>
      </c>
      <c r="J230" s="44" t="str">
        <f>CONFERENCIAS!P230</f>
        <v/>
      </c>
      <c r="K230" s="45" t="str">
        <f>CONFERENCIAS!R230</f>
        <v/>
      </c>
      <c r="L230" s="45">
        <f>IF(D230="",0,
 IF(E230=1,
   IF(H230="Presencial",
      VLOOKUP(D230,TARIFAS!A:K,3,FALSE) + IF(I230="Sí",VLOOKUP(D230,TARIFAS!A:K,5,FALSE),0),
      VLOOKUP(D230,TARIFAS!A:K,4,FALSE) + IF(I230="Sí",VLOOKUP(D230,TARIFAS!A:K,5,FALSE),0)
   ),
   IF(H230="Presencial",
      VLOOKUP(D230,TARIFAS!A:K,9,FALSE) + IF(I230="Sí",VLOOKUP(D230,TARIFAS!A:K,11,FALSE),0),
      VLOOKUP(D230,TARIFAS!A:K,10,FALSE) + IF(I230="Sí",VLOOKUP(D230,TARIFAS!A:K,11,FALSE),0)
   )
 )
)
</f>
        <v>0</v>
      </c>
      <c r="M230" s="45">
        <f>IF(J230="",0,MAX(0,J230 - TARIFAS!G$2) * TARIFAS!F$2)
</f>
        <v>0</v>
      </c>
      <c r="N230" s="45">
        <f>+L230*TARIFAS!$K$2</f>
        <v>0</v>
      </c>
      <c r="O230" s="45">
        <f t="shared" si="1"/>
        <v>0</v>
      </c>
      <c r="P230" s="45">
        <f>+M230+O230+K230+(+I230-(I230*TARIFAS!$K$2))</f>
        <v>0</v>
      </c>
      <c r="Q230" s="42" t="str">
        <f>CONFERENCIAS!T230</f>
        <v/>
      </c>
      <c r="R230" s="45" t="str">
        <f>CONFERENCIAS!U230</f>
        <v/>
      </c>
      <c r="S230" s="45" t="str">
        <f>CONFERENCIAS!W230</f>
        <v/>
      </c>
      <c r="T230" s="48">
        <f>IF(Q230="",0,
   IF(E230=1,
      IF(H230="Presencial",
         VLOOKUP(D230,TARIFAS!A:K,3,FALSE) + IF(I230="Sí",VLOOKUP(D230,TARIFAS!A:K,5,FALSE),0),
         VLOOKUP(D230,TARIFAS!A:K,4,FALSE) + IF(I230="Sí",VLOOKUP(D230,TARIFAS!A:K,5,FALSE),0)
      ),
      IF(H230="Presencial",
         VLOOKUP(D230,TARIFAS!A:K,9,FALSE) + IF(I230="Sí",VLOOKUP(D230,TARIFAS!A:K,11,FALSE),0),
         VLOOKUP(D230,TARIFAS!A:K,10,FALSE) + IF(I230="Sí",VLOOKUP(D230,TARIFAS!A:K,11,FALSE),0)
      )
   )
)
</f>
        <v>0</v>
      </c>
      <c r="U230" s="45">
        <f>IF(R230="",0,MAX(0,R230 - TARIFAS!G$2) * TARIFAS!F$2)
</f>
        <v>0</v>
      </c>
      <c r="V230" s="45">
        <f>+T230*TARIFAS!$K$2</f>
        <v>0</v>
      </c>
      <c r="W230" s="45">
        <f t="shared" si="2"/>
        <v>0</v>
      </c>
      <c r="X230" s="45">
        <f t="shared" si="3"/>
        <v>0</v>
      </c>
      <c r="Y230" s="45">
        <f t="shared" si="4"/>
        <v>0</v>
      </c>
      <c r="Z230" s="42" t="str">
        <f>CONFERENCIAS!AB230</f>
        <v/>
      </c>
      <c r="AA230" s="42" t="str">
        <f>CONFERENCIAS!AC230</f>
        <v/>
      </c>
      <c r="AB230" s="47" t="str">
        <f t="shared" si="5"/>
        <v/>
      </c>
      <c r="AC230" s="9" t="str">
        <f t="shared" si="6"/>
        <v/>
      </c>
    </row>
    <row r="231">
      <c r="A231" s="42" t="str">
        <f>CONFERENCIAS!A231</f>
        <v/>
      </c>
      <c r="D231" s="42" t="str">
        <f>CONFERENCIAS!C231</f>
        <v/>
      </c>
      <c r="E231" s="42" t="str">
        <f>CONFERENCIAS!K231</f>
        <v/>
      </c>
      <c r="F231" s="49" t="str">
        <f>CONFERENCIAS!J231</f>
        <v/>
      </c>
      <c r="G231" s="42" t="str">
        <f>CONFERENCIAS!O231</f>
        <v/>
      </c>
      <c r="H231" s="42" t="str">
        <f>CONFERENCIAS!X231</f>
        <v/>
      </c>
      <c r="I231" s="42" t="str">
        <f>CONFERENCIAS!AA231</f>
        <v/>
      </c>
      <c r="J231" s="44" t="str">
        <f>CONFERENCIAS!P231</f>
        <v/>
      </c>
      <c r="K231" s="45" t="str">
        <f>CONFERENCIAS!R231</f>
        <v/>
      </c>
      <c r="L231" s="45">
        <f>IF(D231="",0,
 IF(E231=1,
   IF(H231="Presencial",
      VLOOKUP(D231,TARIFAS!A:K,3,FALSE) + IF(I231="Sí",VLOOKUP(D231,TARIFAS!A:K,5,FALSE),0),
      VLOOKUP(D231,TARIFAS!A:K,4,FALSE) + IF(I231="Sí",VLOOKUP(D231,TARIFAS!A:K,5,FALSE),0)
   ),
   IF(H231="Presencial",
      VLOOKUP(D231,TARIFAS!A:K,9,FALSE) + IF(I231="Sí",VLOOKUP(D231,TARIFAS!A:K,11,FALSE),0),
      VLOOKUP(D231,TARIFAS!A:K,10,FALSE) + IF(I231="Sí",VLOOKUP(D231,TARIFAS!A:K,11,FALSE),0)
   )
 )
)
</f>
        <v>0</v>
      </c>
      <c r="M231" s="45">
        <f>IF(J231="",0,MAX(0,J231 - TARIFAS!G$2) * TARIFAS!F$2)
</f>
        <v>0</v>
      </c>
      <c r="N231" s="45">
        <f>+L231*TARIFAS!$K$2</f>
        <v>0</v>
      </c>
      <c r="O231" s="45">
        <f t="shared" si="1"/>
        <v>0</v>
      </c>
      <c r="P231" s="45">
        <f>+M231+O231+K231+(+I231-(I231*TARIFAS!$K$2))</f>
        <v>0</v>
      </c>
      <c r="Q231" s="42" t="str">
        <f>CONFERENCIAS!T231</f>
        <v/>
      </c>
      <c r="R231" s="45" t="str">
        <f>CONFERENCIAS!U231</f>
        <v/>
      </c>
      <c r="S231" s="45" t="str">
        <f>CONFERENCIAS!W231</f>
        <v/>
      </c>
      <c r="T231" s="48">
        <f>IF(Q231="",0,
   IF(E231=1,
      IF(H231="Presencial",
         VLOOKUP(D231,TARIFAS!A:K,3,FALSE) + IF(I231="Sí",VLOOKUP(D231,TARIFAS!A:K,5,FALSE),0),
         VLOOKUP(D231,TARIFAS!A:K,4,FALSE) + IF(I231="Sí",VLOOKUP(D231,TARIFAS!A:K,5,FALSE),0)
      ),
      IF(H231="Presencial",
         VLOOKUP(D231,TARIFAS!A:K,9,FALSE) + IF(I231="Sí",VLOOKUP(D231,TARIFAS!A:K,11,FALSE),0),
         VLOOKUP(D231,TARIFAS!A:K,10,FALSE) + IF(I231="Sí",VLOOKUP(D231,TARIFAS!A:K,11,FALSE),0)
      )
   )
)
</f>
        <v>0</v>
      </c>
      <c r="U231" s="45">
        <f>IF(R231="",0,MAX(0,R231 - TARIFAS!G$2) * TARIFAS!F$2)
</f>
        <v>0</v>
      </c>
      <c r="V231" s="45">
        <f>+T231*TARIFAS!$K$2</f>
        <v>0</v>
      </c>
      <c r="W231" s="45">
        <f t="shared" si="2"/>
        <v>0</v>
      </c>
      <c r="X231" s="45">
        <f t="shared" si="3"/>
        <v>0</v>
      </c>
      <c r="Y231" s="45">
        <f t="shared" si="4"/>
        <v>0</v>
      </c>
      <c r="Z231" s="42" t="str">
        <f>CONFERENCIAS!AB231</f>
        <v/>
      </c>
      <c r="AA231" s="42" t="str">
        <f>CONFERENCIAS!AC231</f>
        <v/>
      </c>
      <c r="AB231" s="47" t="str">
        <f t="shared" si="5"/>
        <v/>
      </c>
      <c r="AC231" s="9" t="str">
        <f t="shared" si="6"/>
        <v/>
      </c>
    </row>
    <row r="232">
      <c r="A232" s="42" t="str">
        <f>CONFERENCIAS!A232</f>
        <v/>
      </c>
      <c r="D232" s="42" t="str">
        <f>CONFERENCIAS!C232</f>
        <v/>
      </c>
      <c r="E232" s="42" t="str">
        <f>CONFERENCIAS!K232</f>
        <v/>
      </c>
      <c r="F232" s="49" t="str">
        <f>CONFERENCIAS!J232</f>
        <v/>
      </c>
      <c r="G232" s="42" t="str">
        <f>CONFERENCIAS!O232</f>
        <v/>
      </c>
      <c r="H232" s="42" t="str">
        <f>CONFERENCIAS!X232</f>
        <v/>
      </c>
      <c r="I232" s="42" t="str">
        <f>CONFERENCIAS!AA232</f>
        <v/>
      </c>
      <c r="J232" s="44" t="str">
        <f>CONFERENCIAS!P232</f>
        <v/>
      </c>
      <c r="K232" s="45" t="str">
        <f>CONFERENCIAS!R232</f>
        <v/>
      </c>
      <c r="L232" s="45">
        <f>IF(D232="",0,
 IF(E232=1,
   IF(H232="Presencial",
      VLOOKUP(D232,TARIFAS!A:K,3,FALSE) + IF(I232="Sí",VLOOKUP(D232,TARIFAS!A:K,5,FALSE),0),
      VLOOKUP(D232,TARIFAS!A:K,4,FALSE) + IF(I232="Sí",VLOOKUP(D232,TARIFAS!A:K,5,FALSE),0)
   ),
   IF(H232="Presencial",
      VLOOKUP(D232,TARIFAS!A:K,9,FALSE) + IF(I232="Sí",VLOOKUP(D232,TARIFAS!A:K,11,FALSE),0),
      VLOOKUP(D232,TARIFAS!A:K,10,FALSE) + IF(I232="Sí",VLOOKUP(D232,TARIFAS!A:K,11,FALSE),0)
   )
 )
)
</f>
        <v>0</v>
      </c>
      <c r="M232" s="45">
        <f>IF(J232="",0,MAX(0,J232 - TARIFAS!G$2) * TARIFAS!F$2)
</f>
        <v>0</v>
      </c>
      <c r="N232" s="45">
        <f>+L232*TARIFAS!$K$2</f>
        <v>0</v>
      </c>
      <c r="O232" s="45">
        <f t="shared" si="1"/>
        <v>0</v>
      </c>
      <c r="P232" s="45">
        <f>+M232+O232+K232+(+I232-(I232*TARIFAS!$K$2))</f>
        <v>0</v>
      </c>
      <c r="Q232" s="42" t="str">
        <f>CONFERENCIAS!T232</f>
        <v/>
      </c>
      <c r="R232" s="45" t="str">
        <f>CONFERENCIAS!U232</f>
        <v/>
      </c>
      <c r="S232" s="45" t="str">
        <f>CONFERENCIAS!W232</f>
        <v/>
      </c>
      <c r="T232" s="48">
        <f>IF(Q232="",0,
   IF(E232=1,
      IF(H232="Presencial",
         VLOOKUP(D232,TARIFAS!A:K,3,FALSE) + IF(I232="Sí",VLOOKUP(D232,TARIFAS!A:K,5,FALSE),0),
         VLOOKUP(D232,TARIFAS!A:K,4,FALSE) + IF(I232="Sí",VLOOKUP(D232,TARIFAS!A:K,5,FALSE),0)
      ),
      IF(H232="Presencial",
         VLOOKUP(D232,TARIFAS!A:K,9,FALSE) + IF(I232="Sí",VLOOKUP(D232,TARIFAS!A:K,11,FALSE),0),
         VLOOKUP(D232,TARIFAS!A:K,10,FALSE) + IF(I232="Sí",VLOOKUP(D232,TARIFAS!A:K,11,FALSE),0)
      )
   )
)
</f>
        <v>0</v>
      </c>
      <c r="U232" s="45">
        <f>IF(R232="",0,MAX(0,R232 - TARIFAS!G$2) * TARIFAS!F$2)
</f>
        <v>0</v>
      </c>
      <c r="V232" s="45">
        <f>+T232*TARIFAS!$K$2</f>
        <v>0</v>
      </c>
      <c r="W232" s="45">
        <f t="shared" si="2"/>
        <v>0</v>
      </c>
      <c r="X232" s="45">
        <f t="shared" si="3"/>
        <v>0</v>
      </c>
      <c r="Y232" s="45">
        <f t="shared" si="4"/>
        <v>0</v>
      </c>
      <c r="Z232" s="42" t="str">
        <f>CONFERENCIAS!AB232</f>
        <v/>
      </c>
      <c r="AA232" s="42" t="str">
        <f>CONFERENCIAS!AC232</f>
        <v/>
      </c>
      <c r="AB232" s="47" t="str">
        <f t="shared" si="5"/>
        <v/>
      </c>
      <c r="AC232" s="9" t="str">
        <f t="shared" si="6"/>
        <v/>
      </c>
    </row>
    <row r="233">
      <c r="A233" s="42" t="str">
        <f>CONFERENCIAS!A233</f>
        <v/>
      </c>
      <c r="D233" s="42" t="str">
        <f>CONFERENCIAS!C233</f>
        <v/>
      </c>
      <c r="E233" s="42" t="str">
        <f>CONFERENCIAS!K233</f>
        <v/>
      </c>
      <c r="F233" s="49" t="str">
        <f>CONFERENCIAS!J233</f>
        <v/>
      </c>
      <c r="G233" s="42" t="str">
        <f>CONFERENCIAS!O233</f>
        <v/>
      </c>
      <c r="H233" s="42" t="str">
        <f>CONFERENCIAS!X233</f>
        <v/>
      </c>
      <c r="I233" s="42" t="str">
        <f>CONFERENCIAS!AA233</f>
        <v/>
      </c>
      <c r="J233" s="44" t="str">
        <f>CONFERENCIAS!P233</f>
        <v/>
      </c>
      <c r="K233" s="45" t="str">
        <f>CONFERENCIAS!R233</f>
        <v/>
      </c>
      <c r="L233" s="45">
        <f>IF(D233="",0,
 IF(E233=1,
   IF(H233="Presencial",
      VLOOKUP(D233,TARIFAS!A:K,3,FALSE) + IF(I233="Sí",VLOOKUP(D233,TARIFAS!A:K,5,FALSE),0),
      VLOOKUP(D233,TARIFAS!A:K,4,FALSE) + IF(I233="Sí",VLOOKUP(D233,TARIFAS!A:K,5,FALSE),0)
   ),
   IF(H233="Presencial",
      VLOOKUP(D233,TARIFAS!A:K,9,FALSE) + IF(I233="Sí",VLOOKUP(D233,TARIFAS!A:K,11,FALSE),0),
      VLOOKUP(D233,TARIFAS!A:K,10,FALSE) + IF(I233="Sí",VLOOKUP(D233,TARIFAS!A:K,11,FALSE),0)
   )
 )
)
</f>
        <v>0</v>
      </c>
      <c r="M233" s="45">
        <f>IF(J233="",0,MAX(0,J233 - TARIFAS!G$2) * TARIFAS!F$2)
</f>
        <v>0</v>
      </c>
      <c r="N233" s="45">
        <f>+L233*TARIFAS!$K$2</f>
        <v>0</v>
      </c>
      <c r="O233" s="45">
        <f t="shared" si="1"/>
        <v>0</v>
      </c>
      <c r="P233" s="45">
        <f>+M233+O233+K233+(+I233-(I233*TARIFAS!$K$2))</f>
        <v>0</v>
      </c>
      <c r="Q233" s="42" t="str">
        <f>CONFERENCIAS!T233</f>
        <v/>
      </c>
      <c r="R233" s="45" t="str">
        <f>CONFERENCIAS!U233</f>
        <v/>
      </c>
      <c r="S233" s="45" t="str">
        <f>CONFERENCIAS!W233</f>
        <v/>
      </c>
      <c r="T233" s="48">
        <f>IF(Q233="",0,
   IF(E233=1,
      IF(H233="Presencial",
         VLOOKUP(D233,TARIFAS!A:K,3,FALSE) + IF(I233="Sí",VLOOKUP(D233,TARIFAS!A:K,5,FALSE),0),
         VLOOKUP(D233,TARIFAS!A:K,4,FALSE) + IF(I233="Sí",VLOOKUP(D233,TARIFAS!A:K,5,FALSE),0)
      ),
      IF(H233="Presencial",
         VLOOKUP(D233,TARIFAS!A:K,9,FALSE) + IF(I233="Sí",VLOOKUP(D233,TARIFAS!A:K,11,FALSE),0),
         VLOOKUP(D233,TARIFAS!A:K,10,FALSE) + IF(I233="Sí",VLOOKUP(D233,TARIFAS!A:K,11,FALSE),0)
      )
   )
)
</f>
        <v>0</v>
      </c>
      <c r="U233" s="45">
        <f>IF(R233="",0,MAX(0,R233 - TARIFAS!G$2) * TARIFAS!F$2)
</f>
        <v>0</v>
      </c>
      <c r="V233" s="45">
        <f>+T233*TARIFAS!$K$2</f>
        <v>0</v>
      </c>
      <c r="W233" s="45">
        <f t="shared" si="2"/>
        <v>0</v>
      </c>
      <c r="X233" s="45">
        <f t="shared" si="3"/>
        <v>0</v>
      </c>
      <c r="Y233" s="45">
        <f t="shared" si="4"/>
        <v>0</v>
      </c>
      <c r="Z233" s="42" t="str">
        <f>CONFERENCIAS!AB233</f>
        <v/>
      </c>
      <c r="AA233" s="42" t="str">
        <f>CONFERENCIAS!AC233</f>
        <v/>
      </c>
      <c r="AB233" s="47" t="str">
        <f t="shared" si="5"/>
        <v/>
      </c>
      <c r="AC233" s="9" t="str">
        <f t="shared" si="6"/>
        <v/>
      </c>
    </row>
    <row r="234">
      <c r="A234" s="42" t="str">
        <f>CONFERENCIAS!A234</f>
        <v/>
      </c>
      <c r="D234" s="42" t="str">
        <f>CONFERENCIAS!C234</f>
        <v/>
      </c>
      <c r="E234" s="42" t="str">
        <f>CONFERENCIAS!K234</f>
        <v/>
      </c>
      <c r="F234" s="49" t="str">
        <f>CONFERENCIAS!J234</f>
        <v/>
      </c>
      <c r="G234" s="42" t="str">
        <f>CONFERENCIAS!O234</f>
        <v/>
      </c>
      <c r="H234" s="42" t="str">
        <f>CONFERENCIAS!X234</f>
        <v/>
      </c>
      <c r="I234" s="42" t="str">
        <f>CONFERENCIAS!AA234</f>
        <v/>
      </c>
      <c r="J234" s="44" t="str">
        <f>CONFERENCIAS!P234</f>
        <v/>
      </c>
      <c r="K234" s="45" t="str">
        <f>CONFERENCIAS!R234</f>
        <v/>
      </c>
      <c r="L234" s="45">
        <f>IF(D234="",0,
 IF(E234=1,
   IF(H234="Presencial",
      VLOOKUP(D234,TARIFAS!A:K,3,FALSE) + IF(I234="Sí",VLOOKUP(D234,TARIFAS!A:K,5,FALSE),0),
      VLOOKUP(D234,TARIFAS!A:K,4,FALSE) + IF(I234="Sí",VLOOKUP(D234,TARIFAS!A:K,5,FALSE),0)
   ),
   IF(H234="Presencial",
      VLOOKUP(D234,TARIFAS!A:K,9,FALSE) + IF(I234="Sí",VLOOKUP(D234,TARIFAS!A:K,11,FALSE),0),
      VLOOKUP(D234,TARIFAS!A:K,10,FALSE) + IF(I234="Sí",VLOOKUP(D234,TARIFAS!A:K,11,FALSE),0)
   )
 )
)
</f>
        <v>0</v>
      </c>
      <c r="M234" s="45">
        <f>IF(J234="",0,MAX(0,J234 - TARIFAS!G$2) * TARIFAS!F$2)
</f>
        <v>0</v>
      </c>
      <c r="N234" s="45">
        <f>+L234*TARIFAS!$K$2</f>
        <v>0</v>
      </c>
      <c r="O234" s="45">
        <f t="shared" si="1"/>
        <v>0</v>
      </c>
      <c r="P234" s="45">
        <f>+M234+O234+K234+(+I234-(I234*TARIFAS!$K$2))</f>
        <v>0</v>
      </c>
      <c r="Q234" s="42" t="str">
        <f>CONFERENCIAS!T234</f>
        <v/>
      </c>
      <c r="R234" s="45" t="str">
        <f>CONFERENCIAS!U234</f>
        <v/>
      </c>
      <c r="S234" s="45" t="str">
        <f>CONFERENCIAS!W234</f>
        <v/>
      </c>
      <c r="T234" s="48">
        <f>IF(Q234="",0,
   IF(E234=1,
      IF(H234="Presencial",
         VLOOKUP(D234,TARIFAS!A:K,3,FALSE) + IF(I234="Sí",VLOOKUP(D234,TARIFAS!A:K,5,FALSE),0),
         VLOOKUP(D234,TARIFAS!A:K,4,FALSE) + IF(I234="Sí",VLOOKUP(D234,TARIFAS!A:K,5,FALSE),0)
      ),
      IF(H234="Presencial",
         VLOOKUP(D234,TARIFAS!A:K,9,FALSE) + IF(I234="Sí",VLOOKUP(D234,TARIFAS!A:K,11,FALSE),0),
         VLOOKUP(D234,TARIFAS!A:K,10,FALSE) + IF(I234="Sí",VLOOKUP(D234,TARIFAS!A:K,11,FALSE),0)
      )
   )
)
</f>
        <v>0</v>
      </c>
      <c r="U234" s="45">
        <f>IF(R234="",0,MAX(0,R234 - TARIFAS!G$2) * TARIFAS!F$2)
</f>
        <v>0</v>
      </c>
      <c r="V234" s="45">
        <f>+T234*TARIFAS!$K$2</f>
        <v>0</v>
      </c>
      <c r="W234" s="45">
        <f t="shared" si="2"/>
        <v>0</v>
      </c>
      <c r="X234" s="45">
        <f t="shared" si="3"/>
        <v>0</v>
      </c>
      <c r="Y234" s="45">
        <f t="shared" si="4"/>
        <v>0</v>
      </c>
      <c r="Z234" s="42" t="str">
        <f>CONFERENCIAS!AB234</f>
        <v/>
      </c>
      <c r="AA234" s="42" t="str">
        <f>CONFERENCIAS!AC234</f>
        <v/>
      </c>
      <c r="AB234" s="47" t="str">
        <f t="shared" si="5"/>
        <v/>
      </c>
      <c r="AC234" s="9" t="str">
        <f t="shared" si="6"/>
        <v/>
      </c>
    </row>
    <row r="235">
      <c r="A235" s="42" t="str">
        <f>CONFERENCIAS!A235</f>
        <v/>
      </c>
      <c r="D235" s="42" t="str">
        <f>CONFERENCIAS!C235</f>
        <v/>
      </c>
      <c r="E235" s="42" t="str">
        <f>CONFERENCIAS!K235</f>
        <v/>
      </c>
      <c r="F235" s="49" t="str">
        <f>CONFERENCIAS!J235</f>
        <v/>
      </c>
      <c r="G235" s="42" t="str">
        <f>CONFERENCIAS!O235</f>
        <v/>
      </c>
      <c r="H235" s="42" t="str">
        <f>CONFERENCIAS!X235</f>
        <v/>
      </c>
      <c r="I235" s="42" t="str">
        <f>CONFERENCIAS!AA235</f>
        <v/>
      </c>
      <c r="J235" s="44" t="str">
        <f>CONFERENCIAS!P235</f>
        <v/>
      </c>
      <c r="K235" s="45" t="str">
        <f>CONFERENCIAS!R235</f>
        <v/>
      </c>
      <c r="L235" s="45">
        <f>IF(D235="",0,
 IF(E235=1,
   IF(H235="Presencial",
      VLOOKUP(D235,TARIFAS!A:K,3,FALSE) + IF(I235="Sí",VLOOKUP(D235,TARIFAS!A:K,5,FALSE),0),
      VLOOKUP(D235,TARIFAS!A:K,4,FALSE) + IF(I235="Sí",VLOOKUP(D235,TARIFAS!A:K,5,FALSE),0)
   ),
   IF(H235="Presencial",
      VLOOKUP(D235,TARIFAS!A:K,9,FALSE) + IF(I235="Sí",VLOOKUP(D235,TARIFAS!A:K,11,FALSE),0),
      VLOOKUP(D235,TARIFAS!A:K,10,FALSE) + IF(I235="Sí",VLOOKUP(D235,TARIFAS!A:K,11,FALSE),0)
   )
 )
)
</f>
        <v>0</v>
      </c>
      <c r="M235" s="45">
        <f>IF(J235="",0,MAX(0,J235 - TARIFAS!G$2) * TARIFAS!F$2)
</f>
        <v>0</v>
      </c>
      <c r="N235" s="45">
        <f>+L235*TARIFAS!$K$2</f>
        <v>0</v>
      </c>
      <c r="O235" s="45">
        <f t="shared" si="1"/>
        <v>0</v>
      </c>
      <c r="P235" s="45">
        <f>+M235+O235+K235+(+I235-(I235*TARIFAS!$K$2))</f>
        <v>0</v>
      </c>
      <c r="Q235" s="42" t="str">
        <f>CONFERENCIAS!T235</f>
        <v/>
      </c>
      <c r="R235" s="45" t="str">
        <f>CONFERENCIAS!U235</f>
        <v/>
      </c>
      <c r="S235" s="45" t="str">
        <f>CONFERENCIAS!W235</f>
        <v/>
      </c>
      <c r="T235" s="48">
        <f>IF(Q235="",0,
   IF(E235=1,
      IF(H235="Presencial",
         VLOOKUP(D235,TARIFAS!A:K,3,FALSE) + IF(I235="Sí",VLOOKUP(D235,TARIFAS!A:K,5,FALSE),0),
         VLOOKUP(D235,TARIFAS!A:K,4,FALSE) + IF(I235="Sí",VLOOKUP(D235,TARIFAS!A:K,5,FALSE),0)
      ),
      IF(H235="Presencial",
         VLOOKUP(D235,TARIFAS!A:K,9,FALSE) + IF(I235="Sí",VLOOKUP(D235,TARIFAS!A:K,11,FALSE),0),
         VLOOKUP(D235,TARIFAS!A:K,10,FALSE) + IF(I235="Sí",VLOOKUP(D235,TARIFAS!A:K,11,FALSE),0)
      )
   )
)
</f>
        <v>0</v>
      </c>
      <c r="U235" s="45">
        <f>IF(R235="",0,MAX(0,R235 - TARIFAS!G$2) * TARIFAS!F$2)
</f>
        <v>0</v>
      </c>
      <c r="V235" s="45">
        <f>+T235*TARIFAS!$K$2</f>
        <v>0</v>
      </c>
      <c r="W235" s="45">
        <f t="shared" si="2"/>
        <v>0</v>
      </c>
      <c r="X235" s="45">
        <f t="shared" si="3"/>
        <v>0</v>
      </c>
      <c r="Y235" s="45">
        <f t="shared" si="4"/>
        <v>0</v>
      </c>
      <c r="Z235" s="42" t="str">
        <f>CONFERENCIAS!AB235</f>
        <v/>
      </c>
      <c r="AA235" s="42" t="str">
        <f>CONFERENCIAS!AC235</f>
        <v/>
      </c>
      <c r="AB235" s="47" t="str">
        <f t="shared" si="5"/>
        <v/>
      </c>
      <c r="AC235" s="9" t="str">
        <f t="shared" si="6"/>
        <v/>
      </c>
    </row>
    <row r="236">
      <c r="A236" s="42" t="str">
        <f>CONFERENCIAS!A236</f>
        <v/>
      </c>
      <c r="D236" s="42" t="str">
        <f>CONFERENCIAS!C236</f>
        <v/>
      </c>
      <c r="E236" s="42" t="str">
        <f>CONFERENCIAS!K236</f>
        <v/>
      </c>
      <c r="F236" s="49" t="str">
        <f>CONFERENCIAS!J236</f>
        <v/>
      </c>
      <c r="G236" s="42" t="str">
        <f>CONFERENCIAS!O236</f>
        <v/>
      </c>
      <c r="H236" s="42" t="str">
        <f>CONFERENCIAS!X236</f>
        <v/>
      </c>
      <c r="I236" s="42" t="str">
        <f>CONFERENCIAS!AA236</f>
        <v/>
      </c>
      <c r="J236" s="44" t="str">
        <f>CONFERENCIAS!P236</f>
        <v/>
      </c>
      <c r="K236" s="45" t="str">
        <f>CONFERENCIAS!R236</f>
        <v/>
      </c>
      <c r="L236" s="45">
        <f>IF(D236="",0,
 IF(E236=1,
   IF(H236="Presencial",
      VLOOKUP(D236,TARIFAS!A:K,3,FALSE) + IF(I236="Sí",VLOOKUP(D236,TARIFAS!A:K,5,FALSE),0),
      VLOOKUP(D236,TARIFAS!A:K,4,FALSE) + IF(I236="Sí",VLOOKUP(D236,TARIFAS!A:K,5,FALSE),0)
   ),
   IF(H236="Presencial",
      VLOOKUP(D236,TARIFAS!A:K,9,FALSE) + IF(I236="Sí",VLOOKUP(D236,TARIFAS!A:K,11,FALSE),0),
      VLOOKUP(D236,TARIFAS!A:K,10,FALSE) + IF(I236="Sí",VLOOKUP(D236,TARIFAS!A:K,11,FALSE),0)
   )
 )
)
</f>
        <v>0</v>
      </c>
      <c r="M236" s="45">
        <f>IF(J236="",0,MAX(0,J236 - TARIFAS!G$2) * TARIFAS!F$2)
</f>
        <v>0</v>
      </c>
      <c r="N236" s="45">
        <f>+L236*TARIFAS!$K$2</f>
        <v>0</v>
      </c>
      <c r="O236" s="45">
        <f t="shared" si="1"/>
        <v>0</v>
      </c>
      <c r="P236" s="45">
        <f>+M236+O236+K236+(+I236-(I236*TARIFAS!$K$2))</f>
        <v>0</v>
      </c>
      <c r="Q236" s="42" t="str">
        <f>CONFERENCIAS!T236</f>
        <v/>
      </c>
      <c r="R236" s="45" t="str">
        <f>CONFERENCIAS!U236</f>
        <v/>
      </c>
      <c r="S236" s="45" t="str">
        <f>CONFERENCIAS!W236</f>
        <v/>
      </c>
      <c r="T236" s="48">
        <f>IF(Q236="",0,
   IF(E236=1,
      IF(H236="Presencial",
         VLOOKUP(D236,TARIFAS!A:K,3,FALSE) + IF(I236="Sí",VLOOKUP(D236,TARIFAS!A:K,5,FALSE),0),
         VLOOKUP(D236,TARIFAS!A:K,4,FALSE) + IF(I236="Sí",VLOOKUP(D236,TARIFAS!A:K,5,FALSE),0)
      ),
      IF(H236="Presencial",
         VLOOKUP(D236,TARIFAS!A:K,9,FALSE) + IF(I236="Sí",VLOOKUP(D236,TARIFAS!A:K,11,FALSE),0),
         VLOOKUP(D236,TARIFAS!A:K,10,FALSE) + IF(I236="Sí",VLOOKUP(D236,TARIFAS!A:K,11,FALSE),0)
      )
   )
)
</f>
        <v>0</v>
      </c>
      <c r="U236" s="45">
        <f>IF(R236="",0,MAX(0,R236 - TARIFAS!G$2) * TARIFAS!F$2)
</f>
        <v>0</v>
      </c>
      <c r="V236" s="45">
        <f>+T236*TARIFAS!$K$2</f>
        <v>0</v>
      </c>
      <c r="W236" s="45">
        <f t="shared" si="2"/>
        <v>0</v>
      </c>
      <c r="X236" s="45">
        <f t="shared" si="3"/>
        <v>0</v>
      </c>
      <c r="Y236" s="45">
        <f t="shared" si="4"/>
        <v>0</v>
      </c>
      <c r="Z236" s="42" t="str">
        <f>CONFERENCIAS!AB236</f>
        <v/>
      </c>
      <c r="AA236" s="42" t="str">
        <f>CONFERENCIAS!AC236</f>
        <v/>
      </c>
      <c r="AB236" s="47" t="str">
        <f t="shared" si="5"/>
        <v/>
      </c>
      <c r="AC236" s="9" t="str">
        <f t="shared" si="6"/>
        <v/>
      </c>
    </row>
    <row r="237">
      <c r="A237" s="42" t="str">
        <f>CONFERENCIAS!A237</f>
        <v/>
      </c>
      <c r="D237" s="42" t="str">
        <f>CONFERENCIAS!C237</f>
        <v/>
      </c>
      <c r="E237" s="42" t="str">
        <f>CONFERENCIAS!K237</f>
        <v/>
      </c>
      <c r="F237" s="49" t="str">
        <f>CONFERENCIAS!J237</f>
        <v/>
      </c>
      <c r="G237" s="42" t="str">
        <f>CONFERENCIAS!O237</f>
        <v/>
      </c>
      <c r="H237" s="42" t="str">
        <f>CONFERENCIAS!X237</f>
        <v/>
      </c>
      <c r="I237" s="42" t="str">
        <f>CONFERENCIAS!AA237</f>
        <v/>
      </c>
      <c r="J237" s="44" t="str">
        <f>CONFERENCIAS!P237</f>
        <v/>
      </c>
      <c r="K237" s="45" t="str">
        <f>CONFERENCIAS!R237</f>
        <v/>
      </c>
      <c r="L237" s="45">
        <f>IF(D237="",0,
 IF(E237=1,
   IF(H237="Presencial",
      VLOOKUP(D237,TARIFAS!A:K,3,FALSE) + IF(I237="Sí",VLOOKUP(D237,TARIFAS!A:K,5,FALSE),0),
      VLOOKUP(D237,TARIFAS!A:K,4,FALSE) + IF(I237="Sí",VLOOKUP(D237,TARIFAS!A:K,5,FALSE),0)
   ),
   IF(H237="Presencial",
      VLOOKUP(D237,TARIFAS!A:K,9,FALSE) + IF(I237="Sí",VLOOKUP(D237,TARIFAS!A:K,11,FALSE),0),
      VLOOKUP(D237,TARIFAS!A:K,10,FALSE) + IF(I237="Sí",VLOOKUP(D237,TARIFAS!A:K,11,FALSE),0)
   )
 )
)
</f>
        <v>0</v>
      </c>
      <c r="M237" s="45">
        <f>IF(J237="",0,MAX(0,J237 - TARIFAS!G$2) * TARIFAS!F$2)
</f>
        <v>0</v>
      </c>
      <c r="N237" s="45">
        <f>+L237*TARIFAS!$K$2</f>
        <v>0</v>
      </c>
      <c r="O237" s="45">
        <f t="shared" si="1"/>
        <v>0</v>
      </c>
      <c r="P237" s="45">
        <f>+M237+O237+K237+(+I237-(I237*TARIFAS!$K$2))</f>
        <v>0</v>
      </c>
      <c r="Q237" s="42" t="str">
        <f>CONFERENCIAS!T237</f>
        <v/>
      </c>
      <c r="R237" s="45" t="str">
        <f>CONFERENCIAS!U237</f>
        <v/>
      </c>
      <c r="S237" s="45" t="str">
        <f>CONFERENCIAS!W237</f>
        <v/>
      </c>
      <c r="T237" s="48">
        <f>IF(Q237="",0,
   IF(E237=1,
      IF(H237="Presencial",
         VLOOKUP(D237,TARIFAS!A:K,3,FALSE) + IF(I237="Sí",VLOOKUP(D237,TARIFAS!A:K,5,FALSE),0),
         VLOOKUP(D237,TARIFAS!A:K,4,FALSE) + IF(I237="Sí",VLOOKUP(D237,TARIFAS!A:K,5,FALSE),0)
      ),
      IF(H237="Presencial",
         VLOOKUP(D237,TARIFAS!A:K,9,FALSE) + IF(I237="Sí",VLOOKUP(D237,TARIFAS!A:K,11,FALSE),0),
         VLOOKUP(D237,TARIFAS!A:K,10,FALSE) + IF(I237="Sí",VLOOKUP(D237,TARIFAS!A:K,11,FALSE),0)
      )
   )
)
</f>
        <v>0</v>
      </c>
      <c r="U237" s="45">
        <f>IF(R237="",0,MAX(0,R237 - TARIFAS!G$2) * TARIFAS!F$2)
</f>
        <v>0</v>
      </c>
      <c r="V237" s="45">
        <f>+T237*TARIFAS!$K$2</f>
        <v>0</v>
      </c>
      <c r="W237" s="45">
        <f t="shared" si="2"/>
        <v>0</v>
      </c>
      <c r="X237" s="45">
        <f t="shared" si="3"/>
        <v>0</v>
      </c>
      <c r="Y237" s="45">
        <f t="shared" si="4"/>
        <v>0</v>
      </c>
      <c r="Z237" s="42" t="str">
        <f>CONFERENCIAS!AB237</f>
        <v/>
      </c>
      <c r="AA237" s="42" t="str">
        <f>CONFERENCIAS!AC237</f>
        <v/>
      </c>
      <c r="AB237" s="47" t="str">
        <f t="shared" si="5"/>
        <v/>
      </c>
      <c r="AC237" s="9" t="str">
        <f t="shared" si="6"/>
        <v/>
      </c>
    </row>
    <row r="238">
      <c r="A238" s="42" t="str">
        <f>CONFERENCIAS!A238</f>
        <v/>
      </c>
      <c r="D238" s="42" t="str">
        <f>CONFERENCIAS!C238</f>
        <v/>
      </c>
      <c r="E238" s="42" t="str">
        <f>CONFERENCIAS!K238</f>
        <v/>
      </c>
      <c r="F238" s="49" t="str">
        <f>CONFERENCIAS!J238</f>
        <v/>
      </c>
      <c r="G238" s="42" t="str">
        <f>CONFERENCIAS!O238</f>
        <v/>
      </c>
      <c r="H238" s="42" t="str">
        <f>CONFERENCIAS!X238</f>
        <v/>
      </c>
      <c r="I238" s="42" t="str">
        <f>CONFERENCIAS!AA238</f>
        <v/>
      </c>
      <c r="J238" s="44" t="str">
        <f>CONFERENCIAS!P238</f>
        <v/>
      </c>
      <c r="K238" s="45" t="str">
        <f>CONFERENCIAS!R238</f>
        <v/>
      </c>
      <c r="L238" s="45">
        <f>IF(D238="",0,
 IF(E238=1,
   IF(H238="Presencial",
      VLOOKUP(D238,TARIFAS!A:K,3,FALSE) + IF(I238="Sí",VLOOKUP(D238,TARIFAS!A:K,5,FALSE),0),
      VLOOKUP(D238,TARIFAS!A:K,4,FALSE) + IF(I238="Sí",VLOOKUP(D238,TARIFAS!A:K,5,FALSE),0)
   ),
   IF(H238="Presencial",
      VLOOKUP(D238,TARIFAS!A:K,9,FALSE) + IF(I238="Sí",VLOOKUP(D238,TARIFAS!A:K,11,FALSE),0),
      VLOOKUP(D238,TARIFAS!A:K,10,FALSE) + IF(I238="Sí",VLOOKUP(D238,TARIFAS!A:K,11,FALSE),0)
   )
 )
)
</f>
        <v>0</v>
      </c>
      <c r="M238" s="45">
        <f>IF(J238="",0,MAX(0,J238 - TARIFAS!G$2) * TARIFAS!F$2)
</f>
        <v>0</v>
      </c>
      <c r="N238" s="45">
        <f>+L238*TARIFAS!$K$2</f>
        <v>0</v>
      </c>
      <c r="O238" s="45">
        <f t="shared" si="1"/>
        <v>0</v>
      </c>
      <c r="P238" s="45">
        <f>+M238+O238+K238+(+I238-(I238*TARIFAS!$K$2))</f>
        <v>0</v>
      </c>
      <c r="Q238" s="42" t="str">
        <f>CONFERENCIAS!T238</f>
        <v/>
      </c>
      <c r="R238" s="45" t="str">
        <f>CONFERENCIAS!U238</f>
        <v/>
      </c>
      <c r="S238" s="45" t="str">
        <f>CONFERENCIAS!W238</f>
        <v/>
      </c>
      <c r="T238" s="48">
        <f>IF(Q238="",0,
   IF(E238=1,
      IF(H238="Presencial",
         VLOOKUP(D238,TARIFAS!A:K,3,FALSE) + IF(I238="Sí",VLOOKUP(D238,TARIFAS!A:K,5,FALSE),0),
         VLOOKUP(D238,TARIFAS!A:K,4,FALSE) + IF(I238="Sí",VLOOKUP(D238,TARIFAS!A:K,5,FALSE),0)
      ),
      IF(H238="Presencial",
         VLOOKUP(D238,TARIFAS!A:K,9,FALSE) + IF(I238="Sí",VLOOKUP(D238,TARIFAS!A:K,11,FALSE),0),
         VLOOKUP(D238,TARIFAS!A:K,10,FALSE) + IF(I238="Sí",VLOOKUP(D238,TARIFAS!A:K,11,FALSE),0)
      )
   )
)
</f>
        <v>0</v>
      </c>
      <c r="U238" s="45">
        <f>IF(R238="",0,MAX(0,R238 - TARIFAS!G$2) * TARIFAS!F$2)
</f>
        <v>0</v>
      </c>
      <c r="V238" s="45">
        <f>+T238*TARIFAS!$K$2</f>
        <v>0</v>
      </c>
      <c r="W238" s="45">
        <f t="shared" si="2"/>
        <v>0</v>
      </c>
      <c r="X238" s="45">
        <f t="shared" si="3"/>
        <v>0</v>
      </c>
      <c r="Y238" s="45">
        <f t="shared" si="4"/>
        <v>0</v>
      </c>
      <c r="Z238" s="42" t="str">
        <f>CONFERENCIAS!AB238</f>
        <v/>
      </c>
      <c r="AA238" s="42" t="str">
        <f>CONFERENCIAS!AC238</f>
        <v/>
      </c>
      <c r="AB238" s="47" t="str">
        <f t="shared" si="5"/>
        <v/>
      </c>
      <c r="AC238" s="9" t="str">
        <f t="shared" si="6"/>
        <v/>
      </c>
    </row>
    <row r="239">
      <c r="A239" s="42" t="str">
        <f>CONFERENCIAS!A239</f>
        <v/>
      </c>
      <c r="D239" s="42" t="str">
        <f>CONFERENCIAS!C239</f>
        <v/>
      </c>
      <c r="E239" s="42" t="str">
        <f>CONFERENCIAS!K239</f>
        <v/>
      </c>
      <c r="F239" s="49" t="str">
        <f>CONFERENCIAS!J239</f>
        <v/>
      </c>
      <c r="G239" s="42" t="str">
        <f>CONFERENCIAS!O239</f>
        <v/>
      </c>
      <c r="H239" s="42" t="str">
        <f>CONFERENCIAS!X239</f>
        <v/>
      </c>
      <c r="I239" s="42" t="str">
        <f>CONFERENCIAS!AA239</f>
        <v/>
      </c>
      <c r="J239" s="44" t="str">
        <f>CONFERENCIAS!P239</f>
        <v/>
      </c>
      <c r="K239" s="45" t="str">
        <f>CONFERENCIAS!R239</f>
        <v/>
      </c>
      <c r="L239" s="45">
        <f>IF(D239="",0,
 IF(E239=1,
   IF(H239="Presencial",
      VLOOKUP(D239,TARIFAS!A:K,3,FALSE) + IF(I239="Sí",VLOOKUP(D239,TARIFAS!A:K,5,FALSE),0),
      VLOOKUP(D239,TARIFAS!A:K,4,FALSE) + IF(I239="Sí",VLOOKUP(D239,TARIFAS!A:K,5,FALSE),0)
   ),
   IF(H239="Presencial",
      VLOOKUP(D239,TARIFAS!A:K,9,FALSE) + IF(I239="Sí",VLOOKUP(D239,TARIFAS!A:K,11,FALSE),0),
      VLOOKUP(D239,TARIFAS!A:K,10,FALSE) + IF(I239="Sí",VLOOKUP(D239,TARIFAS!A:K,11,FALSE),0)
   )
 )
)
</f>
        <v>0</v>
      </c>
      <c r="M239" s="45">
        <f>IF(J239="",0,MAX(0,J239 - TARIFAS!G$2) * TARIFAS!F$2)
</f>
        <v>0</v>
      </c>
      <c r="N239" s="45">
        <f>+L239*TARIFAS!$K$2</f>
        <v>0</v>
      </c>
      <c r="O239" s="45">
        <f t="shared" si="1"/>
        <v>0</v>
      </c>
      <c r="P239" s="45">
        <f>+M239+O239+K239+(+I239-(I239*TARIFAS!$K$2))</f>
        <v>0</v>
      </c>
      <c r="Q239" s="42" t="str">
        <f>CONFERENCIAS!T239</f>
        <v/>
      </c>
      <c r="R239" s="45" t="str">
        <f>CONFERENCIAS!U239</f>
        <v/>
      </c>
      <c r="S239" s="45" t="str">
        <f>CONFERENCIAS!W239</f>
        <v/>
      </c>
      <c r="T239" s="48">
        <f>IF(Q239="",0,
   IF(E239=1,
      IF(H239="Presencial",
         VLOOKUP(D239,TARIFAS!A:K,3,FALSE) + IF(I239="Sí",VLOOKUP(D239,TARIFAS!A:K,5,FALSE),0),
         VLOOKUP(D239,TARIFAS!A:K,4,FALSE) + IF(I239="Sí",VLOOKUP(D239,TARIFAS!A:K,5,FALSE),0)
      ),
      IF(H239="Presencial",
         VLOOKUP(D239,TARIFAS!A:K,9,FALSE) + IF(I239="Sí",VLOOKUP(D239,TARIFAS!A:K,11,FALSE),0),
         VLOOKUP(D239,TARIFAS!A:K,10,FALSE) + IF(I239="Sí",VLOOKUP(D239,TARIFAS!A:K,11,FALSE),0)
      )
   )
)
</f>
        <v>0</v>
      </c>
      <c r="U239" s="45">
        <f>IF(R239="",0,MAX(0,R239 - TARIFAS!G$2) * TARIFAS!F$2)
</f>
        <v>0</v>
      </c>
      <c r="V239" s="45">
        <f>+T239*TARIFAS!$K$2</f>
        <v>0</v>
      </c>
      <c r="W239" s="45">
        <f t="shared" si="2"/>
        <v>0</v>
      </c>
      <c r="X239" s="45">
        <f t="shared" si="3"/>
        <v>0</v>
      </c>
      <c r="Y239" s="45">
        <f t="shared" si="4"/>
        <v>0</v>
      </c>
      <c r="Z239" s="42" t="str">
        <f>CONFERENCIAS!AB239</f>
        <v/>
      </c>
      <c r="AA239" s="42" t="str">
        <f>CONFERENCIAS!AC239</f>
        <v/>
      </c>
      <c r="AB239" s="47" t="str">
        <f t="shared" si="5"/>
        <v/>
      </c>
      <c r="AC239" s="9" t="str">
        <f t="shared" si="6"/>
        <v/>
      </c>
    </row>
    <row r="240">
      <c r="A240" s="42" t="str">
        <f>CONFERENCIAS!A240</f>
        <v/>
      </c>
      <c r="D240" s="42" t="str">
        <f>CONFERENCIAS!C240</f>
        <v/>
      </c>
      <c r="E240" s="42" t="str">
        <f>CONFERENCIAS!K240</f>
        <v/>
      </c>
      <c r="F240" s="49" t="str">
        <f>CONFERENCIAS!J240</f>
        <v/>
      </c>
      <c r="G240" s="42" t="str">
        <f>CONFERENCIAS!O240</f>
        <v/>
      </c>
      <c r="H240" s="42" t="str">
        <f>CONFERENCIAS!X240</f>
        <v/>
      </c>
      <c r="I240" s="42" t="str">
        <f>CONFERENCIAS!AA240</f>
        <v/>
      </c>
      <c r="J240" s="44" t="str">
        <f>CONFERENCIAS!P240</f>
        <v/>
      </c>
      <c r="K240" s="45" t="str">
        <f>CONFERENCIAS!R240</f>
        <v/>
      </c>
      <c r="L240" s="45">
        <f>IF(D240="",0,
 IF(E240=1,
   IF(H240="Presencial",
      VLOOKUP(D240,TARIFAS!A:K,3,FALSE) + IF(I240="Sí",VLOOKUP(D240,TARIFAS!A:K,5,FALSE),0),
      VLOOKUP(D240,TARIFAS!A:K,4,FALSE) + IF(I240="Sí",VLOOKUP(D240,TARIFAS!A:K,5,FALSE),0)
   ),
   IF(H240="Presencial",
      VLOOKUP(D240,TARIFAS!A:K,9,FALSE) + IF(I240="Sí",VLOOKUP(D240,TARIFAS!A:K,11,FALSE),0),
      VLOOKUP(D240,TARIFAS!A:K,10,FALSE) + IF(I240="Sí",VLOOKUP(D240,TARIFAS!A:K,11,FALSE),0)
   )
 )
)
</f>
        <v>0</v>
      </c>
      <c r="M240" s="45">
        <f>IF(J240="",0,MAX(0,J240 - TARIFAS!G$2) * TARIFAS!F$2)
</f>
        <v>0</v>
      </c>
      <c r="N240" s="45">
        <f>+L240*TARIFAS!$K$2</f>
        <v>0</v>
      </c>
      <c r="O240" s="45">
        <f t="shared" si="1"/>
        <v>0</v>
      </c>
      <c r="P240" s="45">
        <f>+M240+O240+K240+(+I240-(I240*TARIFAS!$K$2))</f>
        <v>0</v>
      </c>
      <c r="Q240" s="42" t="str">
        <f>CONFERENCIAS!T240</f>
        <v/>
      </c>
      <c r="R240" s="45" t="str">
        <f>CONFERENCIAS!U240</f>
        <v/>
      </c>
      <c r="S240" s="45" t="str">
        <f>CONFERENCIAS!W240</f>
        <v/>
      </c>
      <c r="T240" s="48">
        <f>IF(Q240="",0,
   IF(E240=1,
      IF(H240="Presencial",
         VLOOKUP(D240,TARIFAS!A:K,3,FALSE) + IF(I240="Sí",VLOOKUP(D240,TARIFAS!A:K,5,FALSE),0),
         VLOOKUP(D240,TARIFAS!A:K,4,FALSE) + IF(I240="Sí",VLOOKUP(D240,TARIFAS!A:K,5,FALSE),0)
      ),
      IF(H240="Presencial",
         VLOOKUP(D240,TARIFAS!A:K,9,FALSE) + IF(I240="Sí",VLOOKUP(D240,TARIFAS!A:K,11,FALSE),0),
         VLOOKUP(D240,TARIFAS!A:K,10,FALSE) + IF(I240="Sí",VLOOKUP(D240,TARIFAS!A:K,11,FALSE),0)
      )
   )
)
</f>
        <v>0</v>
      </c>
      <c r="U240" s="45">
        <f>IF(R240="",0,MAX(0,R240 - TARIFAS!G$2) * TARIFAS!F$2)
</f>
        <v>0</v>
      </c>
      <c r="V240" s="45">
        <f>+T240*TARIFAS!$K$2</f>
        <v>0</v>
      </c>
      <c r="W240" s="45">
        <f t="shared" si="2"/>
        <v>0</v>
      </c>
      <c r="X240" s="45">
        <f t="shared" si="3"/>
        <v>0</v>
      </c>
      <c r="Y240" s="45">
        <f t="shared" si="4"/>
        <v>0</v>
      </c>
      <c r="Z240" s="42" t="str">
        <f>CONFERENCIAS!AB240</f>
        <v/>
      </c>
      <c r="AA240" s="42" t="str">
        <f>CONFERENCIAS!AC240</f>
        <v/>
      </c>
      <c r="AB240" s="47" t="str">
        <f t="shared" si="5"/>
        <v/>
      </c>
      <c r="AC240" s="9" t="str">
        <f t="shared" si="6"/>
        <v/>
      </c>
    </row>
    <row r="241">
      <c r="A241" s="42" t="str">
        <f>CONFERENCIAS!A241</f>
        <v/>
      </c>
      <c r="D241" s="42" t="str">
        <f>CONFERENCIAS!C241</f>
        <v/>
      </c>
      <c r="E241" s="42" t="str">
        <f>CONFERENCIAS!K241</f>
        <v/>
      </c>
      <c r="F241" s="49" t="str">
        <f>CONFERENCIAS!J241</f>
        <v/>
      </c>
      <c r="G241" s="42" t="str">
        <f>CONFERENCIAS!O241</f>
        <v/>
      </c>
      <c r="H241" s="42" t="str">
        <f>CONFERENCIAS!X241</f>
        <v/>
      </c>
      <c r="I241" s="42" t="str">
        <f>CONFERENCIAS!AA241</f>
        <v/>
      </c>
      <c r="J241" s="44" t="str">
        <f>CONFERENCIAS!P241</f>
        <v/>
      </c>
      <c r="K241" s="45" t="str">
        <f>CONFERENCIAS!R241</f>
        <v/>
      </c>
      <c r="L241" s="45">
        <f>IF(D241="",0,
 IF(E241=1,
   IF(H241="Presencial",
      VLOOKUP(D241,TARIFAS!A:K,3,FALSE) + IF(I241="Sí",VLOOKUP(D241,TARIFAS!A:K,5,FALSE),0),
      VLOOKUP(D241,TARIFAS!A:K,4,FALSE) + IF(I241="Sí",VLOOKUP(D241,TARIFAS!A:K,5,FALSE),0)
   ),
   IF(H241="Presencial",
      VLOOKUP(D241,TARIFAS!A:K,9,FALSE) + IF(I241="Sí",VLOOKUP(D241,TARIFAS!A:K,11,FALSE),0),
      VLOOKUP(D241,TARIFAS!A:K,10,FALSE) + IF(I241="Sí",VLOOKUP(D241,TARIFAS!A:K,11,FALSE),0)
   )
 )
)
</f>
        <v>0</v>
      </c>
      <c r="M241" s="45">
        <f>IF(J241="",0,MAX(0,J241 - TARIFAS!G$2) * TARIFAS!F$2)
</f>
        <v>0</v>
      </c>
      <c r="N241" s="45">
        <f>+L241*TARIFAS!$K$2</f>
        <v>0</v>
      </c>
      <c r="O241" s="45">
        <f t="shared" si="1"/>
        <v>0</v>
      </c>
      <c r="P241" s="45">
        <f>+M241+O241+K241+(+I241-(I241*TARIFAS!$K$2))</f>
        <v>0</v>
      </c>
      <c r="Q241" s="42" t="str">
        <f>CONFERENCIAS!T241</f>
        <v/>
      </c>
      <c r="R241" s="45" t="str">
        <f>CONFERENCIAS!U241</f>
        <v/>
      </c>
      <c r="S241" s="45" t="str">
        <f>CONFERENCIAS!W241</f>
        <v/>
      </c>
      <c r="T241" s="48">
        <f>IF(Q241="",0,
   IF(E241=1,
      IF(H241="Presencial",
         VLOOKUP(D241,TARIFAS!A:K,3,FALSE) + IF(I241="Sí",VLOOKUP(D241,TARIFAS!A:K,5,FALSE),0),
         VLOOKUP(D241,TARIFAS!A:K,4,FALSE) + IF(I241="Sí",VLOOKUP(D241,TARIFAS!A:K,5,FALSE),0)
      ),
      IF(H241="Presencial",
         VLOOKUP(D241,TARIFAS!A:K,9,FALSE) + IF(I241="Sí",VLOOKUP(D241,TARIFAS!A:K,11,FALSE),0),
         VLOOKUP(D241,TARIFAS!A:K,10,FALSE) + IF(I241="Sí",VLOOKUP(D241,TARIFAS!A:K,11,FALSE),0)
      )
   )
)
</f>
        <v>0</v>
      </c>
      <c r="U241" s="45">
        <f>IF(R241="",0,MAX(0,R241 - TARIFAS!G$2) * TARIFAS!F$2)
</f>
        <v>0</v>
      </c>
      <c r="V241" s="45">
        <f>+T241*TARIFAS!$K$2</f>
        <v>0</v>
      </c>
      <c r="W241" s="45">
        <f t="shared" si="2"/>
        <v>0</v>
      </c>
      <c r="X241" s="45">
        <f t="shared" si="3"/>
        <v>0</v>
      </c>
      <c r="Y241" s="45">
        <f t="shared" si="4"/>
        <v>0</v>
      </c>
      <c r="Z241" s="42" t="str">
        <f>CONFERENCIAS!AB241</f>
        <v/>
      </c>
      <c r="AA241" s="42" t="str">
        <f>CONFERENCIAS!AC241</f>
        <v/>
      </c>
      <c r="AB241" s="47" t="str">
        <f t="shared" si="5"/>
        <v/>
      </c>
      <c r="AC241" s="9" t="str">
        <f t="shared" si="6"/>
        <v/>
      </c>
    </row>
    <row r="242">
      <c r="A242" s="42" t="str">
        <f>CONFERENCIAS!A242</f>
        <v/>
      </c>
      <c r="D242" s="42" t="str">
        <f>CONFERENCIAS!C242</f>
        <v/>
      </c>
      <c r="E242" s="42" t="str">
        <f>CONFERENCIAS!K242</f>
        <v/>
      </c>
      <c r="F242" s="49" t="str">
        <f>CONFERENCIAS!J242</f>
        <v/>
      </c>
      <c r="G242" s="42" t="str">
        <f>CONFERENCIAS!O242</f>
        <v/>
      </c>
      <c r="H242" s="42" t="str">
        <f>CONFERENCIAS!X242</f>
        <v/>
      </c>
      <c r="I242" s="42" t="str">
        <f>CONFERENCIAS!AA242</f>
        <v/>
      </c>
      <c r="J242" s="44" t="str">
        <f>CONFERENCIAS!P242</f>
        <v/>
      </c>
      <c r="K242" s="45" t="str">
        <f>CONFERENCIAS!R242</f>
        <v/>
      </c>
      <c r="L242" s="45">
        <f>IF(D242="",0,
 IF(E242=1,
   IF(H242="Presencial",
      VLOOKUP(D242,TARIFAS!A:K,3,FALSE) + IF(I242="Sí",VLOOKUP(D242,TARIFAS!A:K,5,FALSE),0),
      VLOOKUP(D242,TARIFAS!A:K,4,FALSE) + IF(I242="Sí",VLOOKUP(D242,TARIFAS!A:K,5,FALSE),0)
   ),
   IF(H242="Presencial",
      VLOOKUP(D242,TARIFAS!A:K,9,FALSE) + IF(I242="Sí",VLOOKUP(D242,TARIFAS!A:K,11,FALSE),0),
      VLOOKUP(D242,TARIFAS!A:K,10,FALSE) + IF(I242="Sí",VLOOKUP(D242,TARIFAS!A:K,11,FALSE),0)
   )
 )
)
</f>
        <v>0</v>
      </c>
      <c r="M242" s="45">
        <f>IF(J242="",0,MAX(0,J242 - TARIFAS!G$2) * TARIFAS!F$2)
</f>
        <v>0</v>
      </c>
      <c r="N242" s="45">
        <f>+L242*TARIFAS!$K$2</f>
        <v>0</v>
      </c>
      <c r="O242" s="45">
        <f t="shared" si="1"/>
        <v>0</v>
      </c>
      <c r="P242" s="45">
        <f>+M242+O242+K242+(+I242-(I242*TARIFAS!$K$2))</f>
        <v>0</v>
      </c>
      <c r="Q242" s="42" t="str">
        <f>CONFERENCIAS!T242</f>
        <v/>
      </c>
      <c r="R242" s="45" t="str">
        <f>CONFERENCIAS!U242</f>
        <v/>
      </c>
      <c r="S242" s="45" t="str">
        <f>CONFERENCIAS!W242</f>
        <v/>
      </c>
      <c r="T242" s="48">
        <f>IF(Q242="",0,
   IF(E242=1,
      IF(H242="Presencial",
         VLOOKUP(D242,TARIFAS!A:K,3,FALSE) + IF(I242="Sí",VLOOKUP(D242,TARIFAS!A:K,5,FALSE),0),
         VLOOKUP(D242,TARIFAS!A:K,4,FALSE) + IF(I242="Sí",VLOOKUP(D242,TARIFAS!A:K,5,FALSE),0)
      ),
      IF(H242="Presencial",
         VLOOKUP(D242,TARIFAS!A:K,9,FALSE) + IF(I242="Sí",VLOOKUP(D242,TARIFAS!A:K,11,FALSE),0),
         VLOOKUP(D242,TARIFAS!A:K,10,FALSE) + IF(I242="Sí",VLOOKUP(D242,TARIFAS!A:K,11,FALSE),0)
      )
   )
)
</f>
        <v>0</v>
      </c>
      <c r="U242" s="45">
        <f>IF(R242="",0,MAX(0,R242 - TARIFAS!G$2) * TARIFAS!F$2)
</f>
        <v>0</v>
      </c>
      <c r="V242" s="45">
        <f>+T242*TARIFAS!$K$2</f>
        <v>0</v>
      </c>
      <c r="W242" s="45">
        <f t="shared" si="2"/>
        <v>0</v>
      </c>
      <c r="X242" s="45">
        <f t="shared" si="3"/>
        <v>0</v>
      </c>
      <c r="Y242" s="45">
        <f t="shared" si="4"/>
        <v>0</v>
      </c>
      <c r="Z242" s="42" t="str">
        <f>CONFERENCIAS!AB242</f>
        <v/>
      </c>
      <c r="AA242" s="42" t="str">
        <f>CONFERENCIAS!AC242</f>
        <v/>
      </c>
      <c r="AB242" s="47" t="str">
        <f t="shared" si="5"/>
        <v/>
      </c>
      <c r="AC242" s="9" t="str">
        <f t="shared" si="6"/>
        <v/>
      </c>
    </row>
    <row r="243">
      <c r="A243" s="42" t="str">
        <f>CONFERENCIAS!A243</f>
        <v/>
      </c>
      <c r="D243" s="42" t="str">
        <f>CONFERENCIAS!C243</f>
        <v/>
      </c>
      <c r="E243" s="42" t="str">
        <f>CONFERENCIAS!K243</f>
        <v/>
      </c>
      <c r="F243" s="49" t="str">
        <f>CONFERENCIAS!J243</f>
        <v/>
      </c>
      <c r="G243" s="42" t="str">
        <f>CONFERENCIAS!O243</f>
        <v/>
      </c>
      <c r="H243" s="42" t="str">
        <f>CONFERENCIAS!X243</f>
        <v/>
      </c>
      <c r="I243" s="42" t="str">
        <f>CONFERENCIAS!AA243</f>
        <v/>
      </c>
      <c r="J243" s="44" t="str">
        <f>CONFERENCIAS!P243</f>
        <v/>
      </c>
      <c r="K243" s="45" t="str">
        <f>CONFERENCIAS!R243</f>
        <v/>
      </c>
      <c r="L243" s="45">
        <f>IF(D243="",0,
 IF(E243=1,
   IF(H243="Presencial",
      VLOOKUP(D243,TARIFAS!A:K,3,FALSE) + IF(I243="Sí",VLOOKUP(D243,TARIFAS!A:K,5,FALSE),0),
      VLOOKUP(D243,TARIFAS!A:K,4,FALSE) + IF(I243="Sí",VLOOKUP(D243,TARIFAS!A:K,5,FALSE),0)
   ),
   IF(H243="Presencial",
      VLOOKUP(D243,TARIFAS!A:K,9,FALSE) + IF(I243="Sí",VLOOKUP(D243,TARIFAS!A:K,11,FALSE),0),
      VLOOKUP(D243,TARIFAS!A:K,10,FALSE) + IF(I243="Sí",VLOOKUP(D243,TARIFAS!A:K,11,FALSE),0)
   )
 )
)
</f>
        <v>0</v>
      </c>
      <c r="M243" s="45">
        <f>IF(J243="",0,MAX(0,J243 - TARIFAS!G$2) * TARIFAS!F$2)
</f>
        <v>0</v>
      </c>
      <c r="N243" s="45">
        <f>+L243*TARIFAS!$K$2</f>
        <v>0</v>
      </c>
      <c r="O243" s="45">
        <f t="shared" si="1"/>
        <v>0</v>
      </c>
      <c r="P243" s="45">
        <f>+M243+O243+K243+(+I243-(I243*TARIFAS!$K$2))</f>
        <v>0</v>
      </c>
      <c r="Q243" s="42" t="str">
        <f>CONFERENCIAS!T243</f>
        <v/>
      </c>
      <c r="R243" s="45" t="str">
        <f>CONFERENCIAS!U243</f>
        <v/>
      </c>
      <c r="S243" s="45" t="str">
        <f>CONFERENCIAS!W243</f>
        <v/>
      </c>
      <c r="T243" s="48">
        <f>IF(Q243="",0,
   IF(E243=1,
      IF(H243="Presencial",
         VLOOKUP(D243,TARIFAS!A:K,3,FALSE) + IF(I243="Sí",VLOOKUP(D243,TARIFAS!A:K,5,FALSE),0),
         VLOOKUP(D243,TARIFAS!A:K,4,FALSE) + IF(I243="Sí",VLOOKUP(D243,TARIFAS!A:K,5,FALSE),0)
      ),
      IF(H243="Presencial",
         VLOOKUP(D243,TARIFAS!A:K,9,FALSE) + IF(I243="Sí",VLOOKUP(D243,TARIFAS!A:K,11,FALSE),0),
         VLOOKUP(D243,TARIFAS!A:K,10,FALSE) + IF(I243="Sí",VLOOKUP(D243,TARIFAS!A:K,11,FALSE),0)
      )
   )
)
</f>
        <v>0</v>
      </c>
      <c r="U243" s="45">
        <f>IF(R243="",0,MAX(0,R243 - TARIFAS!G$2) * TARIFAS!F$2)
</f>
        <v>0</v>
      </c>
      <c r="V243" s="45">
        <f>+T243*TARIFAS!$K$2</f>
        <v>0</v>
      </c>
      <c r="W243" s="45">
        <f t="shared" si="2"/>
        <v>0</v>
      </c>
      <c r="X243" s="45">
        <f t="shared" si="3"/>
        <v>0</v>
      </c>
      <c r="Y243" s="45">
        <f t="shared" si="4"/>
        <v>0</v>
      </c>
      <c r="Z243" s="42" t="str">
        <f>CONFERENCIAS!AB243</f>
        <v/>
      </c>
      <c r="AA243" s="42" t="str">
        <f>CONFERENCIAS!AC243</f>
        <v/>
      </c>
      <c r="AB243" s="47" t="str">
        <f t="shared" si="5"/>
        <v/>
      </c>
      <c r="AC243" s="9" t="str">
        <f t="shared" si="6"/>
        <v/>
      </c>
    </row>
    <row r="244">
      <c r="A244" s="42" t="str">
        <f>CONFERENCIAS!A244</f>
        <v/>
      </c>
      <c r="D244" s="42" t="str">
        <f>CONFERENCIAS!C244</f>
        <v/>
      </c>
      <c r="E244" s="42" t="str">
        <f>CONFERENCIAS!K244</f>
        <v/>
      </c>
      <c r="F244" s="49" t="str">
        <f>CONFERENCIAS!J244</f>
        <v/>
      </c>
      <c r="G244" s="42" t="str">
        <f>CONFERENCIAS!O244</f>
        <v/>
      </c>
      <c r="H244" s="42" t="str">
        <f>CONFERENCIAS!X244</f>
        <v/>
      </c>
      <c r="I244" s="42" t="str">
        <f>CONFERENCIAS!AA244</f>
        <v/>
      </c>
      <c r="J244" s="44" t="str">
        <f>CONFERENCIAS!P244</f>
        <v/>
      </c>
      <c r="K244" s="45" t="str">
        <f>CONFERENCIAS!R244</f>
        <v/>
      </c>
      <c r="L244" s="45">
        <f>IF(D244="",0,
 IF(E244=1,
   IF(H244="Presencial",
      VLOOKUP(D244,TARIFAS!A:K,3,FALSE) + IF(I244="Sí",VLOOKUP(D244,TARIFAS!A:K,5,FALSE),0),
      VLOOKUP(D244,TARIFAS!A:K,4,FALSE) + IF(I244="Sí",VLOOKUP(D244,TARIFAS!A:K,5,FALSE),0)
   ),
   IF(H244="Presencial",
      VLOOKUP(D244,TARIFAS!A:K,9,FALSE) + IF(I244="Sí",VLOOKUP(D244,TARIFAS!A:K,11,FALSE),0),
      VLOOKUP(D244,TARIFAS!A:K,10,FALSE) + IF(I244="Sí",VLOOKUP(D244,TARIFAS!A:K,11,FALSE),0)
   )
 )
)
</f>
        <v>0</v>
      </c>
      <c r="M244" s="45">
        <f>IF(J244="",0,MAX(0,J244 - TARIFAS!G$2) * TARIFAS!F$2)
</f>
        <v>0</v>
      </c>
      <c r="N244" s="45">
        <f>+L244*TARIFAS!$K$2</f>
        <v>0</v>
      </c>
      <c r="O244" s="45">
        <f t="shared" si="1"/>
        <v>0</v>
      </c>
      <c r="P244" s="45">
        <f>+M244+O244+K244+(+I244-(I244*TARIFAS!$K$2))</f>
        <v>0</v>
      </c>
      <c r="Q244" s="42" t="str">
        <f>CONFERENCIAS!T244</f>
        <v/>
      </c>
      <c r="R244" s="45" t="str">
        <f>CONFERENCIAS!U244</f>
        <v/>
      </c>
      <c r="S244" s="45" t="str">
        <f>CONFERENCIAS!W244</f>
        <v/>
      </c>
      <c r="T244" s="48">
        <f>IF(Q244="",0,
   IF(E244=1,
      IF(H244="Presencial",
         VLOOKUP(D244,TARIFAS!A:K,3,FALSE) + IF(I244="Sí",VLOOKUP(D244,TARIFAS!A:K,5,FALSE),0),
         VLOOKUP(D244,TARIFAS!A:K,4,FALSE) + IF(I244="Sí",VLOOKUP(D244,TARIFAS!A:K,5,FALSE),0)
      ),
      IF(H244="Presencial",
         VLOOKUP(D244,TARIFAS!A:K,9,FALSE) + IF(I244="Sí",VLOOKUP(D244,TARIFAS!A:K,11,FALSE),0),
         VLOOKUP(D244,TARIFAS!A:K,10,FALSE) + IF(I244="Sí",VLOOKUP(D244,TARIFAS!A:K,11,FALSE),0)
      )
   )
)
</f>
        <v>0</v>
      </c>
      <c r="U244" s="45">
        <f>IF(R244="",0,MAX(0,R244 - TARIFAS!G$2) * TARIFAS!F$2)
</f>
        <v>0</v>
      </c>
      <c r="V244" s="45">
        <f>+T244*TARIFAS!$K$2</f>
        <v>0</v>
      </c>
      <c r="W244" s="45">
        <f t="shared" si="2"/>
        <v>0</v>
      </c>
      <c r="X244" s="45">
        <f t="shared" si="3"/>
        <v>0</v>
      </c>
      <c r="Y244" s="45">
        <f t="shared" si="4"/>
        <v>0</v>
      </c>
      <c r="Z244" s="42" t="str">
        <f>CONFERENCIAS!AB244</f>
        <v/>
      </c>
      <c r="AA244" s="42" t="str">
        <f>CONFERENCIAS!AC244</f>
        <v/>
      </c>
      <c r="AB244" s="47" t="str">
        <f t="shared" si="5"/>
        <v/>
      </c>
      <c r="AC244" s="9" t="str">
        <f t="shared" si="6"/>
        <v/>
      </c>
    </row>
    <row r="245">
      <c r="A245" s="42" t="str">
        <f>CONFERENCIAS!A245</f>
        <v/>
      </c>
      <c r="D245" s="42" t="str">
        <f>CONFERENCIAS!C245</f>
        <v/>
      </c>
      <c r="E245" s="42" t="str">
        <f>CONFERENCIAS!K245</f>
        <v/>
      </c>
      <c r="F245" s="49" t="str">
        <f>CONFERENCIAS!J245</f>
        <v/>
      </c>
      <c r="G245" s="42" t="str">
        <f>CONFERENCIAS!O245</f>
        <v/>
      </c>
      <c r="H245" s="42" t="str">
        <f>CONFERENCIAS!X245</f>
        <v/>
      </c>
      <c r="I245" s="42" t="str">
        <f>CONFERENCIAS!AA245</f>
        <v/>
      </c>
      <c r="J245" s="44" t="str">
        <f>CONFERENCIAS!P245</f>
        <v/>
      </c>
      <c r="K245" s="45" t="str">
        <f>CONFERENCIAS!R245</f>
        <v/>
      </c>
      <c r="L245" s="45">
        <f>IF(D245="",0,
 IF(E245=1,
   IF(H245="Presencial",
      VLOOKUP(D245,TARIFAS!A:K,3,FALSE) + IF(I245="Sí",VLOOKUP(D245,TARIFAS!A:K,5,FALSE),0),
      VLOOKUP(D245,TARIFAS!A:K,4,FALSE) + IF(I245="Sí",VLOOKUP(D245,TARIFAS!A:K,5,FALSE),0)
   ),
   IF(H245="Presencial",
      VLOOKUP(D245,TARIFAS!A:K,9,FALSE) + IF(I245="Sí",VLOOKUP(D245,TARIFAS!A:K,11,FALSE),0),
      VLOOKUP(D245,TARIFAS!A:K,10,FALSE) + IF(I245="Sí",VLOOKUP(D245,TARIFAS!A:K,11,FALSE),0)
   )
 )
)
</f>
        <v>0</v>
      </c>
      <c r="M245" s="45">
        <f>IF(J245="",0,MAX(0,J245 - TARIFAS!G$2) * TARIFAS!F$2)
</f>
        <v>0</v>
      </c>
      <c r="N245" s="45">
        <f>+L245*TARIFAS!$K$2</f>
        <v>0</v>
      </c>
      <c r="O245" s="45">
        <f t="shared" si="1"/>
        <v>0</v>
      </c>
      <c r="P245" s="45">
        <f>+M245+O245+K245+(+I245-(I245*TARIFAS!$K$2))</f>
        <v>0</v>
      </c>
      <c r="Q245" s="42" t="str">
        <f>CONFERENCIAS!T245</f>
        <v/>
      </c>
      <c r="R245" s="45" t="str">
        <f>CONFERENCIAS!U245</f>
        <v/>
      </c>
      <c r="S245" s="45" t="str">
        <f>CONFERENCIAS!W245</f>
        <v/>
      </c>
      <c r="T245" s="48">
        <f>IF(Q245="",0,
   IF(E245=1,
      IF(H245="Presencial",
         VLOOKUP(D245,TARIFAS!A:K,3,FALSE) + IF(I245="Sí",VLOOKUP(D245,TARIFAS!A:K,5,FALSE),0),
         VLOOKUP(D245,TARIFAS!A:K,4,FALSE) + IF(I245="Sí",VLOOKUP(D245,TARIFAS!A:K,5,FALSE),0)
      ),
      IF(H245="Presencial",
         VLOOKUP(D245,TARIFAS!A:K,9,FALSE) + IF(I245="Sí",VLOOKUP(D245,TARIFAS!A:K,11,FALSE),0),
         VLOOKUP(D245,TARIFAS!A:K,10,FALSE) + IF(I245="Sí",VLOOKUP(D245,TARIFAS!A:K,11,FALSE),0)
      )
   )
)
</f>
        <v>0</v>
      </c>
      <c r="U245" s="45">
        <f>IF(R245="",0,MAX(0,R245 - TARIFAS!G$2) * TARIFAS!F$2)
</f>
        <v>0</v>
      </c>
      <c r="V245" s="45">
        <f>+T245*TARIFAS!$K$2</f>
        <v>0</v>
      </c>
      <c r="W245" s="45">
        <f t="shared" si="2"/>
        <v>0</v>
      </c>
      <c r="X245" s="45">
        <f t="shared" si="3"/>
        <v>0</v>
      </c>
      <c r="Y245" s="45">
        <f t="shared" si="4"/>
        <v>0</v>
      </c>
      <c r="Z245" s="42" t="str">
        <f>CONFERENCIAS!AB245</f>
        <v/>
      </c>
      <c r="AA245" s="42" t="str">
        <f>CONFERENCIAS!AC245</f>
        <v/>
      </c>
      <c r="AB245" s="47" t="str">
        <f t="shared" si="5"/>
        <v/>
      </c>
      <c r="AC245" s="9" t="str">
        <f t="shared" si="6"/>
        <v/>
      </c>
    </row>
    <row r="246">
      <c r="A246" s="42" t="str">
        <f>CONFERENCIAS!A246</f>
        <v/>
      </c>
      <c r="D246" s="42" t="str">
        <f>CONFERENCIAS!C246</f>
        <v/>
      </c>
      <c r="E246" s="42" t="str">
        <f>CONFERENCIAS!K246</f>
        <v/>
      </c>
      <c r="F246" s="49" t="str">
        <f>CONFERENCIAS!J246</f>
        <v/>
      </c>
      <c r="G246" s="42" t="str">
        <f>CONFERENCIAS!O246</f>
        <v/>
      </c>
      <c r="H246" s="42" t="str">
        <f>CONFERENCIAS!X246</f>
        <v/>
      </c>
      <c r="I246" s="42" t="str">
        <f>CONFERENCIAS!AA246</f>
        <v/>
      </c>
      <c r="J246" s="44" t="str">
        <f>CONFERENCIAS!P246</f>
        <v/>
      </c>
      <c r="K246" s="45" t="str">
        <f>CONFERENCIAS!R246</f>
        <v/>
      </c>
      <c r="L246" s="45">
        <f>IF(D246="",0,
 IF(E246=1,
   IF(H246="Presencial",
      VLOOKUP(D246,TARIFAS!A:K,3,FALSE) + IF(I246="Sí",VLOOKUP(D246,TARIFAS!A:K,5,FALSE),0),
      VLOOKUP(D246,TARIFAS!A:K,4,FALSE) + IF(I246="Sí",VLOOKUP(D246,TARIFAS!A:K,5,FALSE),0)
   ),
   IF(H246="Presencial",
      VLOOKUP(D246,TARIFAS!A:K,9,FALSE) + IF(I246="Sí",VLOOKUP(D246,TARIFAS!A:K,11,FALSE),0),
      VLOOKUP(D246,TARIFAS!A:K,10,FALSE) + IF(I246="Sí",VLOOKUP(D246,TARIFAS!A:K,11,FALSE),0)
   )
 )
)
</f>
        <v>0</v>
      </c>
      <c r="M246" s="45">
        <f>IF(J246="",0,MAX(0,J246 - TARIFAS!G$2) * TARIFAS!F$2)
</f>
        <v>0</v>
      </c>
      <c r="N246" s="45">
        <f>+L246*TARIFAS!$K$2</f>
        <v>0</v>
      </c>
      <c r="O246" s="45">
        <f t="shared" si="1"/>
        <v>0</v>
      </c>
      <c r="P246" s="45">
        <f>+M246+O246+K246+(+I246-(I246*TARIFAS!$K$2))</f>
        <v>0</v>
      </c>
      <c r="Q246" s="42" t="str">
        <f>CONFERENCIAS!T246</f>
        <v/>
      </c>
      <c r="R246" s="45" t="str">
        <f>CONFERENCIAS!U246</f>
        <v/>
      </c>
      <c r="S246" s="45" t="str">
        <f>CONFERENCIAS!W246</f>
        <v/>
      </c>
      <c r="T246" s="48">
        <f>IF(Q246="",0,
   IF(E246=1,
      IF(H246="Presencial",
         VLOOKUP(D246,TARIFAS!A:K,3,FALSE) + IF(I246="Sí",VLOOKUP(D246,TARIFAS!A:K,5,FALSE),0),
         VLOOKUP(D246,TARIFAS!A:K,4,FALSE) + IF(I246="Sí",VLOOKUP(D246,TARIFAS!A:K,5,FALSE),0)
      ),
      IF(H246="Presencial",
         VLOOKUP(D246,TARIFAS!A:K,9,FALSE) + IF(I246="Sí",VLOOKUP(D246,TARIFAS!A:K,11,FALSE),0),
         VLOOKUP(D246,TARIFAS!A:K,10,FALSE) + IF(I246="Sí",VLOOKUP(D246,TARIFAS!A:K,11,FALSE),0)
      )
   )
)
</f>
        <v>0</v>
      </c>
      <c r="U246" s="45">
        <f>IF(R246="",0,MAX(0,R246 - TARIFAS!G$2) * TARIFAS!F$2)
</f>
        <v>0</v>
      </c>
      <c r="V246" s="45">
        <f>+T246*TARIFAS!$K$2</f>
        <v>0</v>
      </c>
      <c r="W246" s="45">
        <f t="shared" si="2"/>
        <v>0</v>
      </c>
      <c r="X246" s="45">
        <f t="shared" si="3"/>
        <v>0</v>
      </c>
      <c r="Y246" s="45">
        <f t="shared" si="4"/>
        <v>0</v>
      </c>
      <c r="Z246" s="42" t="str">
        <f>CONFERENCIAS!AB246</f>
        <v/>
      </c>
      <c r="AA246" s="42" t="str">
        <f>CONFERENCIAS!AC246</f>
        <v/>
      </c>
      <c r="AB246" s="47" t="str">
        <f t="shared" si="5"/>
        <v/>
      </c>
      <c r="AC246" s="9" t="str">
        <f t="shared" si="6"/>
        <v/>
      </c>
    </row>
    <row r="247">
      <c r="A247" s="42" t="str">
        <f>CONFERENCIAS!A247</f>
        <v/>
      </c>
      <c r="D247" s="42" t="str">
        <f>CONFERENCIAS!C247</f>
        <v/>
      </c>
      <c r="E247" s="42" t="str">
        <f>CONFERENCIAS!K247</f>
        <v/>
      </c>
      <c r="F247" s="49" t="str">
        <f>CONFERENCIAS!J247</f>
        <v/>
      </c>
      <c r="G247" s="42" t="str">
        <f>CONFERENCIAS!O247</f>
        <v/>
      </c>
      <c r="H247" s="42" t="str">
        <f>CONFERENCIAS!X247</f>
        <v/>
      </c>
      <c r="I247" s="42" t="str">
        <f>CONFERENCIAS!AA247</f>
        <v/>
      </c>
      <c r="J247" s="44" t="str">
        <f>CONFERENCIAS!P247</f>
        <v/>
      </c>
      <c r="K247" s="45" t="str">
        <f>CONFERENCIAS!R247</f>
        <v/>
      </c>
      <c r="L247" s="45">
        <f>IF(D247="",0,
 IF(E247=1,
   IF(H247="Presencial",
      VLOOKUP(D247,TARIFAS!A:K,3,FALSE) + IF(I247="Sí",VLOOKUP(D247,TARIFAS!A:K,5,FALSE),0),
      VLOOKUP(D247,TARIFAS!A:K,4,FALSE) + IF(I247="Sí",VLOOKUP(D247,TARIFAS!A:K,5,FALSE),0)
   ),
   IF(H247="Presencial",
      VLOOKUP(D247,TARIFAS!A:K,9,FALSE) + IF(I247="Sí",VLOOKUP(D247,TARIFAS!A:K,11,FALSE),0),
      VLOOKUP(D247,TARIFAS!A:K,10,FALSE) + IF(I247="Sí",VLOOKUP(D247,TARIFAS!A:K,11,FALSE),0)
   )
 )
)
</f>
        <v>0</v>
      </c>
      <c r="M247" s="45">
        <f>IF(J247="",0,MAX(0,J247 - TARIFAS!G$2) * TARIFAS!F$2)
</f>
        <v>0</v>
      </c>
      <c r="N247" s="45">
        <f>+L247*TARIFAS!$K$2</f>
        <v>0</v>
      </c>
      <c r="O247" s="45">
        <f t="shared" si="1"/>
        <v>0</v>
      </c>
      <c r="P247" s="45">
        <f>+M247+O247+K247+(+I247-(I247*TARIFAS!$K$2))</f>
        <v>0</v>
      </c>
      <c r="Q247" s="42" t="str">
        <f>CONFERENCIAS!T247</f>
        <v/>
      </c>
      <c r="R247" s="45" t="str">
        <f>CONFERENCIAS!U247</f>
        <v/>
      </c>
      <c r="S247" s="45" t="str">
        <f>CONFERENCIAS!W247</f>
        <v/>
      </c>
      <c r="T247" s="48">
        <f>IF(Q247="",0,
   IF(E247=1,
      IF(H247="Presencial",
         VLOOKUP(D247,TARIFAS!A:K,3,FALSE) + IF(I247="Sí",VLOOKUP(D247,TARIFAS!A:K,5,FALSE),0),
         VLOOKUP(D247,TARIFAS!A:K,4,FALSE) + IF(I247="Sí",VLOOKUP(D247,TARIFAS!A:K,5,FALSE),0)
      ),
      IF(H247="Presencial",
         VLOOKUP(D247,TARIFAS!A:K,9,FALSE) + IF(I247="Sí",VLOOKUP(D247,TARIFAS!A:K,11,FALSE),0),
         VLOOKUP(D247,TARIFAS!A:K,10,FALSE) + IF(I247="Sí",VLOOKUP(D247,TARIFAS!A:K,11,FALSE),0)
      )
   )
)
</f>
        <v>0</v>
      </c>
      <c r="U247" s="45">
        <f>IF(R247="",0,MAX(0,R247 - TARIFAS!G$2) * TARIFAS!F$2)
</f>
        <v>0</v>
      </c>
      <c r="V247" s="45">
        <f>+T247*TARIFAS!$K$2</f>
        <v>0</v>
      </c>
      <c r="W247" s="45">
        <f t="shared" si="2"/>
        <v>0</v>
      </c>
      <c r="X247" s="45">
        <f t="shared" si="3"/>
        <v>0</v>
      </c>
      <c r="Y247" s="45">
        <f t="shared" si="4"/>
        <v>0</v>
      </c>
      <c r="Z247" s="42" t="str">
        <f>CONFERENCIAS!AB247</f>
        <v/>
      </c>
      <c r="AA247" s="42" t="str">
        <f>CONFERENCIAS!AC247</f>
        <v/>
      </c>
      <c r="AB247" s="47" t="str">
        <f t="shared" si="5"/>
        <v/>
      </c>
      <c r="AC247" s="9" t="str">
        <f t="shared" si="6"/>
        <v/>
      </c>
    </row>
    <row r="248">
      <c r="A248" s="42" t="str">
        <f>CONFERENCIAS!A248</f>
        <v/>
      </c>
      <c r="D248" s="42" t="str">
        <f>CONFERENCIAS!C248</f>
        <v/>
      </c>
      <c r="E248" s="42" t="str">
        <f>CONFERENCIAS!K248</f>
        <v/>
      </c>
      <c r="F248" s="49" t="str">
        <f>CONFERENCIAS!J248</f>
        <v/>
      </c>
      <c r="G248" s="42" t="str">
        <f>CONFERENCIAS!O248</f>
        <v/>
      </c>
      <c r="H248" s="42" t="str">
        <f>CONFERENCIAS!X248</f>
        <v/>
      </c>
      <c r="I248" s="42" t="str">
        <f>CONFERENCIAS!AA248</f>
        <v/>
      </c>
      <c r="J248" s="44" t="str">
        <f>CONFERENCIAS!P248</f>
        <v/>
      </c>
      <c r="K248" s="45" t="str">
        <f>CONFERENCIAS!R248</f>
        <v/>
      </c>
      <c r="L248" s="45">
        <f>IF(D248="",0,
 IF(E248=1,
   IF(H248="Presencial",
      VLOOKUP(D248,TARIFAS!A:K,3,FALSE) + IF(I248="Sí",VLOOKUP(D248,TARIFAS!A:K,5,FALSE),0),
      VLOOKUP(D248,TARIFAS!A:K,4,FALSE) + IF(I248="Sí",VLOOKUP(D248,TARIFAS!A:K,5,FALSE),0)
   ),
   IF(H248="Presencial",
      VLOOKUP(D248,TARIFAS!A:K,9,FALSE) + IF(I248="Sí",VLOOKUP(D248,TARIFAS!A:K,11,FALSE),0),
      VLOOKUP(D248,TARIFAS!A:K,10,FALSE) + IF(I248="Sí",VLOOKUP(D248,TARIFAS!A:K,11,FALSE),0)
   )
 )
)
</f>
        <v>0</v>
      </c>
      <c r="M248" s="45">
        <f>IF(J248="",0,MAX(0,J248 - TARIFAS!G$2) * TARIFAS!F$2)
</f>
        <v>0</v>
      </c>
      <c r="N248" s="45">
        <f>+L248*TARIFAS!$K$2</f>
        <v>0</v>
      </c>
      <c r="O248" s="45">
        <f t="shared" si="1"/>
        <v>0</v>
      </c>
      <c r="P248" s="45">
        <f>+M248+O248+K248+(+I248-(I248*TARIFAS!$K$2))</f>
        <v>0</v>
      </c>
      <c r="Q248" s="42" t="str">
        <f>CONFERENCIAS!T248</f>
        <v/>
      </c>
      <c r="R248" s="45" t="str">
        <f>CONFERENCIAS!U248</f>
        <v/>
      </c>
      <c r="S248" s="45" t="str">
        <f>CONFERENCIAS!W248</f>
        <v/>
      </c>
      <c r="T248" s="48">
        <f>IF(Q248="",0,
   IF(E248=1,
      IF(H248="Presencial",
         VLOOKUP(D248,TARIFAS!A:K,3,FALSE) + IF(I248="Sí",VLOOKUP(D248,TARIFAS!A:K,5,FALSE),0),
         VLOOKUP(D248,TARIFAS!A:K,4,FALSE) + IF(I248="Sí",VLOOKUP(D248,TARIFAS!A:K,5,FALSE),0)
      ),
      IF(H248="Presencial",
         VLOOKUP(D248,TARIFAS!A:K,9,FALSE) + IF(I248="Sí",VLOOKUP(D248,TARIFAS!A:K,11,FALSE),0),
         VLOOKUP(D248,TARIFAS!A:K,10,FALSE) + IF(I248="Sí",VLOOKUP(D248,TARIFAS!A:K,11,FALSE),0)
      )
   )
)
</f>
        <v>0</v>
      </c>
      <c r="U248" s="45">
        <f>IF(R248="",0,MAX(0,R248 - TARIFAS!G$2) * TARIFAS!F$2)
</f>
        <v>0</v>
      </c>
      <c r="V248" s="45">
        <f>+T248*TARIFAS!$K$2</f>
        <v>0</v>
      </c>
      <c r="W248" s="45">
        <f t="shared" si="2"/>
        <v>0</v>
      </c>
      <c r="X248" s="45">
        <f t="shared" si="3"/>
        <v>0</v>
      </c>
      <c r="Y248" s="45">
        <f t="shared" si="4"/>
        <v>0</v>
      </c>
      <c r="Z248" s="42" t="str">
        <f>CONFERENCIAS!AB248</f>
        <v/>
      </c>
      <c r="AA248" s="42" t="str">
        <f>CONFERENCIAS!AC248</f>
        <v/>
      </c>
      <c r="AB248" s="47" t="str">
        <f t="shared" si="5"/>
        <v/>
      </c>
      <c r="AC248" s="9" t="str">
        <f t="shared" si="6"/>
        <v/>
      </c>
    </row>
    <row r="249">
      <c r="A249" s="42" t="str">
        <f>CONFERENCIAS!A249</f>
        <v/>
      </c>
      <c r="D249" s="42" t="str">
        <f>CONFERENCIAS!C249</f>
        <v/>
      </c>
      <c r="E249" s="42" t="str">
        <f>CONFERENCIAS!K249</f>
        <v/>
      </c>
      <c r="F249" s="49" t="str">
        <f>CONFERENCIAS!J249</f>
        <v/>
      </c>
      <c r="G249" s="42" t="str">
        <f>CONFERENCIAS!O249</f>
        <v/>
      </c>
      <c r="H249" s="42" t="str">
        <f>CONFERENCIAS!X249</f>
        <v/>
      </c>
      <c r="I249" s="42" t="str">
        <f>CONFERENCIAS!AA249</f>
        <v/>
      </c>
      <c r="J249" s="44" t="str">
        <f>CONFERENCIAS!P249</f>
        <v/>
      </c>
      <c r="K249" s="45" t="str">
        <f>CONFERENCIAS!R249</f>
        <v/>
      </c>
      <c r="L249" s="45">
        <f>IF(D249="",0,
 IF(E249=1,
   IF(H249="Presencial",
      VLOOKUP(D249,TARIFAS!A:K,3,FALSE) + IF(I249="Sí",VLOOKUP(D249,TARIFAS!A:K,5,FALSE),0),
      VLOOKUP(D249,TARIFAS!A:K,4,FALSE) + IF(I249="Sí",VLOOKUP(D249,TARIFAS!A:K,5,FALSE),0)
   ),
   IF(H249="Presencial",
      VLOOKUP(D249,TARIFAS!A:K,9,FALSE) + IF(I249="Sí",VLOOKUP(D249,TARIFAS!A:K,11,FALSE),0),
      VLOOKUP(D249,TARIFAS!A:K,10,FALSE) + IF(I249="Sí",VLOOKUP(D249,TARIFAS!A:K,11,FALSE),0)
   )
 )
)
</f>
        <v>0</v>
      </c>
      <c r="M249" s="45">
        <f>IF(J249="",0,MAX(0,J249 - TARIFAS!G$2) * TARIFAS!F$2)
</f>
        <v>0</v>
      </c>
      <c r="N249" s="45">
        <f>+L249*TARIFAS!$K$2</f>
        <v>0</v>
      </c>
      <c r="O249" s="45">
        <f t="shared" si="1"/>
        <v>0</v>
      </c>
      <c r="P249" s="45">
        <f>+M249+O249+K249+(+I249-(I249*TARIFAS!$K$2))</f>
        <v>0</v>
      </c>
      <c r="Q249" s="42" t="str">
        <f>CONFERENCIAS!T249</f>
        <v/>
      </c>
      <c r="R249" s="45" t="str">
        <f>CONFERENCIAS!U249</f>
        <v/>
      </c>
      <c r="S249" s="45" t="str">
        <f>CONFERENCIAS!W249</f>
        <v/>
      </c>
      <c r="T249" s="48">
        <f>IF(Q249="",0,
   IF(E249=1,
      IF(H249="Presencial",
         VLOOKUP(D249,TARIFAS!A:K,3,FALSE) + IF(I249="Sí",VLOOKUP(D249,TARIFAS!A:K,5,FALSE),0),
         VLOOKUP(D249,TARIFAS!A:K,4,FALSE) + IF(I249="Sí",VLOOKUP(D249,TARIFAS!A:K,5,FALSE),0)
      ),
      IF(H249="Presencial",
         VLOOKUP(D249,TARIFAS!A:K,9,FALSE) + IF(I249="Sí",VLOOKUP(D249,TARIFAS!A:K,11,FALSE),0),
         VLOOKUP(D249,TARIFAS!A:K,10,FALSE) + IF(I249="Sí",VLOOKUP(D249,TARIFAS!A:K,11,FALSE),0)
      )
   )
)
</f>
        <v>0</v>
      </c>
      <c r="U249" s="45">
        <f>IF(R249="",0,MAX(0,R249 - TARIFAS!G$2) * TARIFAS!F$2)
</f>
        <v>0</v>
      </c>
      <c r="V249" s="45">
        <f>+T249*TARIFAS!$K$2</f>
        <v>0</v>
      </c>
      <c r="W249" s="45">
        <f t="shared" si="2"/>
        <v>0</v>
      </c>
      <c r="X249" s="45">
        <f t="shared" si="3"/>
        <v>0</v>
      </c>
      <c r="Y249" s="45">
        <f t="shared" si="4"/>
        <v>0</v>
      </c>
      <c r="Z249" s="42" t="str">
        <f>CONFERENCIAS!AB249</f>
        <v/>
      </c>
      <c r="AA249" s="42" t="str">
        <f>CONFERENCIAS!AC249</f>
        <v/>
      </c>
      <c r="AB249" s="47" t="str">
        <f t="shared" si="5"/>
        <v/>
      </c>
      <c r="AC249" s="9" t="str">
        <f t="shared" si="6"/>
        <v/>
      </c>
    </row>
    <row r="250">
      <c r="A250" s="42" t="str">
        <f>CONFERENCIAS!A250</f>
        <v/>
      </c>
      <c r="D250" s="42" t="str">
        <f>CONFERENCIAS!C250</f>
        <v/>
      </c>
      <c r="E250" s="42" t="str">
        <f>CONFERENCIAS!K250</f>
        <v/>
      </c>
      <c r="F250" s="49" t="str">
        <f>CONFERENCIAS!J250</f>
        <v/>
      </c>
      <c r="G250" s="42" t="str">
        <f>CONFERENCIAS!O250</f>
        <v/>
      </c>
      <c r="H250" s="42" t="str">
        <f>CONFERENCIAS!X250</f>
        <v/>
      </c>
      <c r="I250" s="42" t="str">
        <f>CONFERENCIAS!AA250</f>
        <v/>
      </c>
      <c r="J250" s="44" t="str">
        <f>CONFERENCIAS!P250</f>
        <v/>
      </c>
      <c r="K250" s="45" t="str">
        <f>CONFERENCIAS!R250</f>
        <v/>
      </c>
      <c r="L250" s="45">
        <f>IF(D250="",0,
 IF(E250=1,
   IF(H250="Presencial",
      VLOOKUP(D250,TARIFAS!A:K,3,FALSE) + IF(I250="Sí",VLOOKUP(D250,TARIFAS!A:K,5,FALSE),0),
      VLOOKUP(D250,TARIFAS!A:K,4,FALSE) + IF(I250="Sí",VLOOKUP(D250,TARIFAS!A:K,5,FALSE),0)
   ),
   IF(H250="Presencial",
      VLOOKUP(D250,TARIFAS!A:K,9,FALSE) + IF(I250="Sí",VLOOKUP(D250,TARIFAS!A:K,11,FALSE),0),
      VLOOKUP(D250,TARIFAS!A:K,10,FALSE) + IF(I250="Sí",VLOOKUP(D250,TARIFAS!A:K,11,FALSE),0)
   )
 )
)
</f>
        <v>0</v>
      </c>
      <c r="M250" s="45">
        <f>IF(J250="",0,MAX(0,J250 - TARIFAS!G$2) * TARIFAS!F$2)
</f>
        <v>0</v>
      </c>
      <c r="N250" s="45">
        <f>+L250*TARIFAS!$K$2</f>
        <v>0</v>
      </c>
      <c r="O250" s="45">
        <f t="shared" si="1"/>
        <v>0</v>
      </c>
      <c r="P250" s="45">
        <f>+M250+O250+K250+(+I250-(I250*TARIFAS!$K$2))</f>
        <v>0</v>
      </c>
      <c r="Q250" s="42" t="str">
        <f>CONFERENCIAS!T250</f>
        <v/>
      </c>
      <c r="R250" s="45" t="str">
        <f>CONFERENCIAS!U250</f>
        <v/>
      </c>
      <c r="S250" s="45" t="str">
        <f>CONFERENCIAS!W250</f>
        <v/>
      </c>
      <c r="T250" s="48">
        <f>IF(Q250="",0,
   IF(E250=1,
      IF(H250="Presencial",
         VLOOKUP(D250,TARIFAS!A:K,3,FALSE) + IF(I250="Sí",VLOOKUP(D250,TARIFAS!A:K,5,FALSE),0),
         VLOOKUP(D250,TARIFAS!A:K,4,FALSE) + IF(I250="Sí",VLOOKUP(D250,TARIFAS!A:K,5,FALSE),0)
      ),
      IF(H250="Presencial",
         VLOOKUP(D250,TARIFAS!A:K,9,FALSE) + IF(I250="Sí",VLOOKUP(D250,TARIFAS!A:K,11,FALSE),0),
         VLOOKUP(D250,TARIFAS!A:K,10,FALSE) + IF(I250="Sí",VLOOKUP(D250,TARIFAS!A:K,11,FALSE),0)
      )
   )
)
</f>
        <v>0</v>
      </c>
      <c r="U250" s="45">
        <f>IF(R250="",0,MAX(0,R250 - TARIFAS!G$2) * TARIFAS!F$2)
</f>
        <v>0</v>
      </c>
      <c r="V250" s="45">
        <f>+T250*TARIFAS!$K$2</f>
        <v>0</v>
      </c>
      <c r="W250" s="45">
        <f t="shared" si="2"/>
        <v>0</v>
      </c>
      <c r="X250" s="45">
        <f t="shared" si="3"/>
        <v>0</v>
      </c>
      <c r="Y250" s="45">
        <f t="shared" si="4"/>
        <v>0</v>
      </c>
      <c r="Z250" s="42" t="str">
        <f>CONFERENCIAS!AB250</f>
        <v/>
      </c>
      <c r="AA250" s="42" t="str">
        <f>CONFERENCIAS!AC250</f>
        <v/>
      </c>
      <c r="AB250" s="47" t="str">
        <f t="shared" si="5"/>
        <v/>
      </c>
      <c r="AC250" s="9" t="str">
        <f t="shared" si="6"/>
        <v/>
      </c>
    </row>
    <row r="251">
      <c r="A251" s="42" t="str">
        <f>CONFERENCIAS!A251</f>
        <v/>
      </c>
      <c r="D251" s="42" t="str">
        <f>CONFERENCIAS!C251</f>
        <v/>
      </c>
      <c r="E251" s="42" t="str">
        <f>CONFERENCIAS!K251</f>
        <v/>
      </c>
      <c r="F251" s="49" t="str">
        <f>CONFERENCIAS!J251</f>
        <v/>
      </c>
      <c r="G251" s="42" t="str">
        <f>CONFERENCIAS!O251</f>
        <v/>
      </c>
      <c r="H251" s="42" t="str">
        <f>CONFERENCIAS!X251</f>
        <v/>
      </c>
      <c r="I251" s="42" t="str">
        <f>CONFERENCIAS!AA251</f>
        <v/>
      </c>
      <c r="J251" s="44" t="str">
        <f>CONFERENCIAS!P251</f>
        <v/>
      </c>
      <c r="K251" s="45" t="str">
        <f>CONFERENCIAS!R251</f>
        <v/>
      </c>
      <c r="L251" s="45">
        <f>IF(D251="",0,
 IF(E251=1,
   IF(H251="Presencial",
      VLOOKUP(D251,TARIFAS!A:K,3,FALSE) + IF(I251="Sí",VLOOKUP(D251,TARIFAS!A:K,5,FALSE),0),
      VLOOKUP(D251,TARIFAS!A:K,4,FALSE) + IF(I251="Sí",VLOOKUP(D251,TARIFAS!A:K,5,FALSE),0)
   ),
   IF(H251="Presencial",
      VLOOKUP(D251,TARIFAS!A:K,9,FALSE) + IF(I251="Sí",VLOOKUP(D251,TARIFAS!A:K,11,FALSE),0),
      VLOOKUP(D251,TARIFAS!A:K,10,FALSE) + IF(I251="Sí",VLOOKUP(D251,TARIFAS!A:K,11,FALSE),0)
   )
 )
)
</f>
        <v>0</v>
      </c>
      <c r="M251" s="45">
        <f>IF(J251="",0,MAX(0,J251 - TARIFAS!G$2) * TARIFAS!F$2)
</f>
        <v>0</v>
      </c>
      <c r="N251" s="45">
        <f>+L251*TARIFAS!$K$2</f>
        <v>0</v>
      </c>
      <c r="O251" s="45">
        <f t="shared" si="1"/>
        <v>0</v>
      </c>
      <c r="P251" s="45">
        <f>+M251+O251+K251+(+I251-(I251*TARIFAS!$K$2))</f>
        <v>0</v>
      </c>
      <c r="Q251" s="42" t="str">
        <f>CONFERENCIAS!T251</f>
        <v/>
      </c>
      <c r="R251" s="45" t="str">
        <f>CONFERENCIAS!U251</f>
        <v/>
      </c>
      <c r="S251" s="45" t="str">
        <f>CONFERENCIAS!W251</f>
        <v/>
      </c>
      <c r="T251" s="48">
        <f>IF(Q251="",0,
   IF(E251=1,
      IF(H251="Presencial",
         VLOOKUP(D251,TARIFAS!A:K,3,FALSE) + IF(I251="Sí",VLOOKUP(D251,TARIFAS!A:K,5,FALSE),0),
         VLOOKUP(D251,TARIFAS!A:K,4,FALSE) + IF(I251="Sí",VLOOKUP(D251,TARIFAS!A:K,5,FALSE),0)
      ),
      IF(H251="Presencial",
         VLOOKUP(D251,TARIFAS!A:K,9,FALSE) + IF(I251="Sí",VLOOKUP(D251,TARIFAS!A:K,11,FALSE),0),
         VLOOKUP(D251,TARIFAS!A:K,10,FALSE) + IF(I251="Sí",VLOOKUP(D251,TARIFAS!A:K,11,FALSE),0)
      )
   )
)
</f>
        <v>0</v>
      </c>
      <c r="U251" s="45">
        <f>IF(R251="",0,MAX(0,R251 - TARIFAS!G$2) * TARIFAS!F$2)
</f>
        <v>0</v>
      </c>
      <c r="V251" s="45">
        <f>+T251*TARIFAS!$K$2</f>
        <v>0</v>
      </c>
      <c r="W251" s="45">
        <f t="shared" si="2"/>
        <v>0</v>
      </c>
      <c r="X251" s="45">
        <f t="shared" si="3"/>
        <v>0</v>
      </c>
      <c r="Y251" s="45">
        <f t="shared" si="4"/>
        <v>0</v>
      </c>
      <c r="Z251" s="42" t="str">
        <f>CONFERENCIAS!AB251</f>
        <v/>
      </c>
      <c r="AA251" s="42" t="str">
        <f>CONFERENCIAS!AC251</f>
        <v/>
      </c>
      <c r="AB251" s="47" t="str">
        <f t="shared" si="5"/>
        <v/>
      </c>
      <c r="AC251" s="9" t="str">
        <f t="shared" si="6"/>
        <v/>
      </c>
    </row>
    <row r="252">
      <c r="A252" s="42" t="str">
        <f>CONFERENCIAS!A252</f>
        <v/>
      </c>
      <c r="D252" s="42" t="str">
        <f>CONFERENCIAS!C252</f>
        <v/>
      </c>
      <c r="E252" s="42" t="str">
        <f>CONFERENCIAS!K252</f>
        <v/>
      </c>
      <c r="F252" s="49" t="str">
        <f>CONFERENCIAS!J252</f>
        <v/>
      </c>
      <c r="G252" s="42" t="str">
        <f>CONFERENCIAS!O252</f>
        <v/>
      </c>
      <c r="H252" s="42" t="str">
        <f>CONFERENCIAS!X252</f>
        <v/>
      </c>
      <c r="I252" s="42" t="str">
        <f>CONFERENCIAS!AA252</f>
        <v/>
      </c>
      <c r="J252" s="44" t="str">
        <f>CONFERENCIAS!P252</f>
        <v/>
      </c>
      <c r="K252" s="45" t="str">
        <f>CONFERENCIAS!R252</f>
        <v/>
      </c>
      <c r="L252" s="45">
        <f>IF(D252="",0,
 IF(E252=1,
   IF(H252="Presencial",
      VLOOKUP(D252,TARIFAS!A:K,3,FALSE) + IF(I252="Sí",VLOOKUP(D252,TARIFAS!A:K,5,FALSE),0),
      VLOOKUP(D252,TARIFAS!A:K,4,FALSE) + IF(I252="Sí",VLOOKUP(D252,TARIFAS!A:K,5,FALSE),0)
   ),
   IF(H252="Presencial",
      VLOOKUP(D252,TARIFAS!A:K,9,FALSE) + IF(I252="Sí",VLOOKUP(D252,TARIFAS!A:K,11,FALSE),0),
      VLOOKUP(D252,TARIFAS!A:K,10,FALSE) + IF(I252="Sí",VLOOKUP(D252,TARIFAS!A:K,11,FALSE),0)
   )
 )
)
</f>
        <v>0</v>
      </c>
      <c r="M252" s="45">
        <f>IF(J252="",0,MAX(0,J252 - TARIFAS!G$2) * TARIFAS!F$2)
</f>
        <v>0</v>
      </c>
      <c r="N252" s="45">
        <f>+L252*TARIFAS!$K$2</f>
        <v>0</v>
      </c>
      <c r="O252" s="45">
        <f t="shared" si="1"/>
        <v>0</v>
      </c>
      <c r="P252" s="45">
        <f>+M252+O252+K252+(+I252-(I252*TARIFAS!$K$2))</f>
        <v>0</v>
      </c>
      <c r="Q252" s="42" t="str">
        <f>CONFERENCIAS!T252</f>
        <v/>
      </c>
      <c r="R252" s="45" t="str">
        <f>CONFERENCIAS!U252</f>
        <v/>
      </c>
      <c r="S252" s="45" t="str">
        <f>CONFERENCIAS!W252</f>
        <v/>
      </c>
      <c r="T252" s="48">
        <f>IF(Q252="",0,
   IF(E252=1,
      IF(H252="Presencial",
         VLOOKUP(D252,TARIFAS!A:K,3,FALSE) + IF(I252="Sí",VLOOKUP(D252,TARIFAS!A:K,5,FALSE),0),
         VLOOKUP(D252,TARIFAS!A:K,4,FALSE) + IF(I252="Sí",VLOOKUP(D252,TARIFAS!A:K,5,FALSE),0)
      ),
      IF(H252="Presencial",
         VLOOKUP(D252,TARIFAS!A:K,9,FALSE) + IF(I252="Sí",VLOOKUP(D252,TARIFAS!A:K,11,FALSE),0),
         VLOOKUP(D252,TARIFAS!A:K,10,FALSE) + IF(I252="Sí",VLOOKUP(D252,TARIFAS!A:K,11,FALSE),0)
      )
   )
)
</f>
        <v>0</v>
      </c>
      <c r="U252" s="45">
        <f>IF(R252="",0,MAX(0,R252 - TARIFAS!G$2) * TARIFAS!F$2)
</f>
        <v>0</v>
      </c>
      <c r="V252" s="45">
        <f>+T252*TARIFAS!$K$2</f>
        <v>0</v>
      </c>
      <c r="W252" s="45">
        <f t="shared" si="2"/>
        <v>0</v>
      </c>
      <c r="X252" s="45">
        <f t="shared" si="3"/>
        <v>0</v>
      </c>
      <c r="Y252" s="45">
        <f t="shared" si="4"/>
        <v>0</v>
      </c>
      <c r="Z252" s="42" t="str">
        <f>CONFERENCIAS!AB252</f>
        <v/>
      </c>
      <c r="AA252" s="42" t="str">
        <f>CONFERENCIAS!AC252</f>
        <v/>
      </c>
      <c r="AB252" s="47" t="str">
        <f t="shared" si="5"/>
        <v/>
      </c>
      <c r="AC252" s="9" t="str">
        <f t="shared" si="6"/>
        <v/>
      </c>
    </row>
    <row r="253">
      <c r="A253" s="42" t="str">
        <f>CONFERENCIAS!A253</f>
        <v/>
      </c>
      <c r="D253" s="42" t="str">
        <f>CONFERENCIAS!C253</f>
        <v/>
      </c>
      <c r="E253" s="42" t="str">
        <f>CONFERENCIAS!K253</f>
        <v/>
      </c>
      <c r="F253" s="49" t="str">
        <f>CONFERENCIAS!J253</f>
        <v/>
      </c>
      <c r="G253" s="42" t="str">
        <f>CONFERENCIAS!O253</f>
        <v/>
      </c>
      <c r="H253" s="42" t="str">
        <f>CONFERENCIAS!X253</f>
        <v/>
      </c>
      <c r="I253" s="42" t="str">
        <f>CONFERENCIAS!AA253</f>
        <v/>
      </c>
      <c r="J253" s="44" t="str">
        <f>CONFERENCIAS!P253</f>
        <v/>
      </c>
      <c r="K253" s="45" t="str">
        <f>CONFERENCIAS!R253</f>
        <v/>
      </c>
      <c r="L253" s="45">
        <f>IF(D253="",0,
 IF(E253=1,
   IF(H253="Presencial",
      VLOOKUP(D253,TARIFAS!A:K,3,FALSE) + IF(I253="Sí",VLOOKUP(D253,TARIFAS!A:K,5,FALSE),0),
      VLOOKUP(D253,TARIFAS!A:K,4,FALSE) + IF(I253="Sí",VLOOKUP(D253,TARIFAS!A:K,5,FALSE),0)
   ),
   IF(H253="Presencial",
      VLOOKUP(D253,TARIFAS!A:K,9,FALSE) + IF(I253="Sí",VLOOKUP(D253,TARIFAS!A:K,11,FALSE),0),
      VLOOKUP(D253,TARIFAS!A:K,10,FALSE) + IF(I253="Sí",VLOOKUP(D253,TARIFAS!A:K,11,FALSE),0)
   )
 )
)
</f>
        <v>0</v>
      </c>
      <c r="M253" s="45">
        <f>IF(J253="",0,MAX(0,J253 - TARIFAS!G$2) * TARIFAS!F$2)
</f>
        <v>0</v>
      </c>
      <c r="N253" s="45">
        <f>+L253*TARIFAS!$K$2</f>
        <v>0</v>
      </c>
      <c r="O253" s="45">
        <f t="shared" si="1"/>
        <v>0</v>
      </c>
      <c r="P253" s="45">
        <f>+M253+O253+K253+(+I253-(I253*TARIFAS!$K$2))</f>
        <v>0</v>
      </c>
      <c r="Q253" s="42" t="str">
        <f>CONFERENCIAS!T253</f>
        <v/>
      </c>
      <c r="R253" s="45" t="str">
        <f>CONFERENCIAS!U253</f>
        <v/>
      </c>
      <c r="S253" s="45" t="str">
        <f>CONFERENCIAS!W253</f>
        <v/>
      </c>
      <c r="T253" s="48">
        <f>IF(Q253="",0,
   IF(E253=1,
      IF(H253="Presencial",
         VLOOKUP(D253,TARIFAS!A:K,3,FALSE) + IF(I253="Sí",VLOOKUP(D253,TARIFAS!A:K,5,FALSE),0),
         VLOOKUP(D253,TARIFAS!A:K,4,FALSE) + IF(I253="Sí",VLOOKUP(D253,TARIFAS!A:K,5,FALSE),0)
      ),
      IF(H253="Presencial",
         VLOOKUP(D253,TARIFAS!A:K,9,FALSE) + IF(I253="Sí",VLOOKUP(D253,TARIFAS!A:K,11,FALSE),0),
         VLOOKUP(D253,TARIFAS!A:K,10,FALSE) + IF(I253="Sí",VLOOKUP(D253,TARIFAS!A:K,11,FALSE),0)
      )
   )
)
</f>
        <v>0</v>
      </c>
      <c r="U253" s="45">
        <f>IF(R253="",0,MAX(0,R253 - TARIFAS!G$2) * TARIFAS!F$2)
</f>
        <v>0</v>
      </c>
      <c r="V253" s="45">
        <f>+T253*TARIFAS!$K$2</f>
        <v>0</v>
      </c>
      <c r="W253" s="45">
        <f t="shared" si="2"/>
        <v>0</v>
      </c>
      <c r="X253" s="45">
        <f t="shared" si="3"/>
        <v>0</v>
      </c>
      <c r="Y253" s="45">
        <f t="shared" si="4"/>
        <v>0</v>
      </c>
      <c r="Z253" s="42" t="str">
        <f>CONFERENCIAS!AB253</f>
        <v/>
      </c>
      <c r="AA253" s="42" t="str">
        <f>CONFERENCIAS!AC253</f>
        <v/>
      </c>
      <c r="AB253" s="47" t="str">
        <f t="shared" si="5"/>
        <v/>
      </c>
      <c r="AC253" s="9" t="str">
        <f t="shared" si="6"/>
        <v/>
      </c>
    </row>
    <row r="254">
      <c r="A254" s="42" t="str">
        <f>CONFERENCIAS!A254</f>
        <v/>
      </c>
      <c r="D254" s="42" t="str">
        <f>CONFERENCIAS!C254</f>
        <v/>
      </c>
      <c r="E254" s="42" t="str">
        <f>CONFERENCIAS!K254</f>
        <v/>
      </c>
      <c r="F254" s="49" t="str">
        <f>CONFERENCIAS!J254</f>
        <v/>
      </c>
      <c r="G254" s="42" t="str">
        <f>CONFERENCIAS!O254</f>
        <v/>
      </c>
      <c r="H254" s="42" t="str">
        <f>CONFERENCIAS!X254</f>
        <v/>
      </c>
      <c r="I254" s="42" t="str">
        <f>CONFERENCIAS!AA254</f>
        <v/>
      </c>
      <c r="J254" s="44" t="str">
        <f>CONFERENCIAS!P254</f>
        <v/>
      </c>
      <c r="K254" s="45" t="str">
        <f>CONFERENCIAS!R254</f>
        <v/>
      </c>
      <c r="L254" s="45">
        <f>IF(D254="",0,
 IF(E254=1,
   IF(H254="Presencial",
      VLOOKUP(D254,TARIFAS!A:K,3,FALSE) + IF(I254="Sí",VLOOKUP(D254,TARIFAS!A:K,5,FALSE),0),
      VLOOKUP(D254,TARIFAS!A:K,4,FALSE) + IF(I254="Sí",VLOOKUP(D254,TARIFAS!A:K,5,FALSE),0)
   ),
   IF(H254="Presencial",
      VLOOKUP(D254,TARIFAS!A:K,9,FALSE) + IF(I254="Sí",VLOOKUP(D254,TARIFAS!A:K,11,FALSE),0),
      VLOOKUP(D254,TARIFAS!A:K,10,FALSE) + IF(I254="Sí",VLOOKUP(D254,TARIFAS!A:K,11,FALSE),0)
   )
 )
)
</f>
        <v>0</v>
      </c>
      <c r="M254" s="45">
        <f>IF(J254="",0,MAX(0,J254 - TARIFAS!G$2) * TARIFAS!F$2)
</f>
        <v>0</v>
      </c>
      <c r="N254" s="45">
        <f>+L254*TARIFAS!$K$2</f>
        <v>0</v>
      </c>
      <c r="O254" s="45">
        <f t="shared" si="1"/>
        <v>0</v>
      </c>
      <c r="P254" s="45">
        <f>+M254+O254+K254+(+I254-(I254*TARIFAS!$K$2))</f>
        <v>0</v>
      </c>
      <c r="Q254" s="42" t="str">
        <f>CONFERENCIAS!T254</f>
        <v/>
      </c>
      <c r="R254" s="45" t="str">
        <f>CONFERENCIAS!U254</f>
        <v/>
      </c>
      <c r="S254" s="45" t="str">
        <f>CONFERENCIAS!W254</f>
        <v/>
      </c>
      <c r="T254" s="48">
        <f>IF(Q254="",0,
   IF(E254=1,
      IF(H254="Presencial",
         VLOOKUP(D254,TARIFAS!A:K,3,FALSE) + IF(I254="Sí",VLOOKUP(D254,TARIFAS!A:K,5,FALSE),0),
         VLOOKUP(D254,TARIFAS!A:K,4,FALSE) + IF(I254="Sí",VLOOKUP(D254,TARIFAS!A:K,5,FALSE),0)
      ),
      IF(H254="Presencial",
         VLOOKUP(D254,TARIFAS!A:K,9,FALSE) + IF(I254="Sí",VLOOKUP(D254,TARIFAS!A:K,11,FALSE),0),
         VLOOKUP(D254,TARIFAS!A:K,10,FALSE) + IF(I254="Sí",VLOOKUP(D254,TARIFAS!A:K,11,FALSE),0)
      )
   )
)
</f>
        <v>0</v>
      </c>
      <c r="U254" s="45">
        <f>IF(R254="",0,MAX(0,R254 - TARIFAS!G$2) * TARIFAS!F$2)
</f>
        <v>0</v>
      </c>
      <c r="V254" s="45">
        <f>+T254*TARIFAS!$K$2</f>
        <v>0</v>
      </c>
      <c r="W254" s="45">
        <f t="shared" si="2"/>
        <v>0</v>
      </c>
      <c r="X254" s="45">
        <f t="shared" si="3"/>
        <v>0</v>
      </c>
      <c r="Y254" s="45">
        <f t="shared" si="4"/>
        <v>0</v>
      </c>
      <c r="Z254" s="42" t="str">
        <f>CONFERENCIAS!AB254</f>
        <v/>
      </c>
      <c r="AA254" s="42" t="str">
        <f>CONFERENCIAS!AC254</f>
        <v/>
      </c>
      <c r="AB254" s="47" t="str">
        <f t="shared" si="5"/>
        <v/>
      </c>
      <c r="AC254" s="9" t="str">
        <f t="shared" si="6"/>
        <v/>
      </c>
    </row>
    <row r="255">
      <c r="A255" s="42" t="str">
        <f>CONFERENCIAS!A255</f>
        <v/>
      </c>
      <c r="D255" s="42" t="str">
        <f>CONFERENCIAS!C255</f>
        <v/>
      </c>
      <c r="E255" s="42" t="str">
        <f>CONFERENCIAS!K255</f>
        <v/>
      </c>
      <c r="F255" s="49" t="str">
        <f>CONFERENCIAS!J255</f>
        <v/>
      </c>
      <c r="G255" s="42" t="str">
        <f>CONFERENCIAS!O255</f>
        <v/>
      </c>
      <c r="H255" s="42" t="str">
        <f>CONFERENCIAS!X255</f>
        <v/>
      </c>
      <c r="I255" s="42" t="str">
        <f>CONFERENCIAS!AA255</f>
        <v/>
      </c>
      <c r="J255" s="44" t="str">
        <f>CONFERENCIAS!P255</f>
        <v/>
      </c>
      <c r="K255" s="45" t="str">
        <f>CONFERENCIAS!R255</f>
        <v/>
      </c>
      <c r="L255" s="45">
        <f>IF(D255="",0,
 IF(E255=1,
   IF(H255="Presencial",
      VLOOKUP(D255,TARIFAS!A:K,3,FALSE) + IF(I255="Sí",VLOOKUP(D255,TARIFAS!A:K,5,FALSE),0),
      VLOOKUP(D255,TARIFAS!A:K,4,FALSE) + IF(I255="Sí",VLOOKUP(D255,TARIFAS!A:K,5,FALSE),0)
   ),
   IF(H255="Presencial",
      VLOOKUP(D255,TARIFAS!A:K,9,FALSE) + IF(I255="Sí",VLOOKUP(D255,TARIFAS!A:K,11,FALSE),0),
      VLOOKUP(D255,TARIFAS!A:K,10,FALSE) + IF(I255="Sí",VLOOKUP(D255,TARIFAS!A:K,11,FALSE),0)
   )
 )
)
</f>
        <v>0</v>
      </c>
      <c r="M255" s="45">
        <f>IF(J255="",0,MAX(0,J255 - TARIFAS!G$2) * TARIFAS!F$2)
</f>
        <v>0</v>
      </c>
      <c r="N255" s="45">
        <f>+L255*TARIFAS!$K$2</f>
        <v>0</v>
      </c>
      <c r="O255" s="45">
        <f t="shared" si="1"/>
        <v>0</v>
      </c>
      <c r="P255" s="45">
        <f>+M255+O255+K255+(+I255-(I255*TARIFAS!$K$2))</f>
        <v>0</v>
      </c>
      <c r="Q255" s="42" t="str">
        <f>CONFERENCIAS!T255</f>
        <v/>
      </c>
      <c r="R255" s="45" t="str">
        <f>CONFERENCIAS!U255</f>
        <v/>
      </c>
      <c r="S255" s="45" t="str">
        <f>CONFERENCIAS!W255</f>
        <v/>
      </c>
      <c r="T255" s="48">
        <f>IF(Q255="",0,
   IF(E255=1,
      IF(H255="Presencial",
         VLOOKUP(D255,TARIFAS!A:K,3,FALSE) + IF(I255="Sí",VLOOKUP(D255,TARIFAS!A:K,5,FALSE),0),
         VLOOKUP(D255,TARIFAS!A:K,4,FALSE) + IF(I255="Sí",VLOOKUP(D255,TARIFAS!A:K,5,FALSE),0)
      ),
      IF(H255="Presencial",
         VLOOKUP(D255,TARIFAS!A:K,9,FALSE) + IF(I255="Sí",VLOOKUP(D255,TARIFAS!A:K,11,FALSE),0),
         VLOOKUP(D255,TARIFAS!A:K,10,FALSE) + IF(I255="Sí",VLOOKUP(D255,TARIFAS!A:K,11,FALSE),0)
      )
   )
)
</f>
        <v>0</v>
      </c>
      <c r="U255" s="45">
        <f>IF(R255="",0,MAX(0,R255 - TARIFAS!G$2) * TARIFAS!F$2)
</f>
        <v>0</v>
      </c>
      <c r="V255" s="45">
        <f>+T255*TARIFAS!$K$2</f>
        <v>0</v>
      </c>
      <c r="W255" s="45">
        <f t="shared" si="2"/>
        <v>0</v>
      </c>
      <c r="X255" s="45">
        <f t="shared" si="3"/>
        <v>0</v>
      </c>
      <c r="Y255" s="45">
        <f t="shared" si="4"/>
        <v>0</v>
      </c>
      <c r="Z255" s="42" t="str">
        <f>CONFERENCIAS!AB255</f>
        <v/>
      </c>
      <c r="AA255" s="42" t="str">
        <f>CONFERENCIAS!AC255</f>
        <v/>
      </c>
      <c r="AB255" s="47" t="str">
        <f t="shared" si="5"/>
        <v/>
      </c>
      <c r="AC255" s="9" t="str">
        <f t="shared" si="6"/>
        <v/>
      </c>
    </row>
    <row r="256">
      <c r="A256" s="42" t="str">
        <f>CONFERENCIAS!A256</f>
        <v/>
      </c>
      <c r="D256" s="42" t="str">
        <f>CONFERENCIAS!C256</f>
        <v/>
      </c>
      <c r="E256" s="42" t="str">
        <f>CONFERENCIAS!K256</f>
        <v/>
      </c>
      <c r="F256" s="49" t="str">
        <f>CONFERENCIAS!J256</f>
        <v/>
      </c>
      <c r="G256" s="42" t="str">
        <f>CONFERENCIAS!O256</f>
        <v/>
      </c>
      <c r="H256" s="42" t="str">
        <f>CONFERENCIAS!X256</f>
        <v/>
      </c>
      <c r="I256" s="42" t="str">
        <f>CONFERENCIAS!AA256</f>
        <v/>
      </c>
      <c r="J256" s="44" t="str">
        <f>CONFERENCIAS!P256</f>
        <v/>
      </c>
      <c r="K256" s="45" t="str">
        <f>CONFERENCIAS!R256</f>
        <v/>
      </c>
      <c r="L256" s="45">
        <f>IF(D256="",0,
 IF(E256=1,
   IF(H256="Presencial",
      VLOOKUP(D256,TARIFAS!A:K,3,FALSE) + IF(I256="Sí",VLOOKUP(D256,TARIFAS!A:K,5,FALSE),0),
      VLOOKUP(D256,TARIFAS!A:K,4,FALSE) + IF(I256="Sí",VLOOKUP(D256,TARIFAS!A:K,5,FALSE),0)
   ),
   IF(H256="Presencial",
      VLOOKUP(D256,TARIFAS!A:K,9,FALSE) + IF(I256="Sí",VLOOKUP(D256,TARIFAS!A:K,11,FALSE),0),
      VLOOKUP(D256,TARIFAS!A:K,10,FALSE) + IF(I256="Sí",VLOOKUP(D256,TARIFAS!A:K,11,FALSE),0)
   )
 )
)
</f>
        <v>0</v>
      </c>
      <c r="M256" s="45">
        <f>IF(J256="",0,MAX(0,J256 - TARIFAS!G$2) * TARIFAS!F$2)
</f>
        <v>0</v>
      </c>
      <c r="N256" s="45">
        <f>+L256*TARIFAS!$K$2</f>
        <v>0</v>
      </c>
      <c r="O256" s="45">
        <f t="shared" si="1"/>
        <v>0</v>
      </c>
      <c r="P256" s="45">
        <f>+M256+O256+K256+(+I256-(I256*TARIFAS!$K$2))</f>
        <v>0</v>
      </c>
      <c r="Q256" s="42" t="str">
        <f>CONFERENCIAS!T256</f>
        <v/>
      </c>
      <c r="R256" s="45" t="str">
        <f>CONFERENCIAS!U256</f>
        <v/>
      </c>
      <c r="S256" s="45" t="str">
        <f>CONFERENCIAS!W256</f>
        <v/>
      </c>
      <c r="T256" s="48">
        <f>IF(Q256="",0,
   IF(E256=1,
      IF(H256="Presencial",
         VLOOKUP(D256,TARIFAS!A:K,3,FALSE) + IF(I256="Sí",VLOOKUP(D256,TARIFAS!A:K,5,FALSE),0),
         VLOOKUP(D256,TARIFAS!A:K,4,FALSE) + IF(I256="Sí",VLOOKUP(D256,TARIFAS!A:K,5,FALSE),0)
      ),
      IF(H256="Presencial",
         VLOOKUP(D256,TARIFAS!A:K,9,FALSE) + IF(I256="Sí",VLOOKUP(D256,TARIFAS!A:K,11,FALSE),0),
         VLOOKUP(D256,TARIFAS!A:K,10,FALSE) + IF(I256="Sí",VLOOKUP(D256,TARIFAS!A:K,11,FALSE),0)
      )
   )
)
</f>
        <v>0</v>
      </c>
      <c r="U256" s="45">
        <f>IF(R256="",0,MAX(0,R256 - TARIFAS!G$2) * TARIFAS!F$2)
</f>
        <v>0</v>
      </c>
      <c r="V256" s="45">
        <f>+T256*TARIFAS!$K$2</f>
        <v>0</v>
      </c>
      <c r="W256" s="45">
        <f t="shared" si="2"/>
        <v>0</v>
      </c>
      <c r="X256" s="45">
        <f t="shared" si="3"/>
        <v>0</v>
      </c>
      <c r="Y256" s="45">
        <f t="shared" si="4"/>
        <v>0</v>
      </c>
      <c r="Z256" s="42" t="str">
        <f>CONFERENCIAS!AB256</f>
        <v/>
      </c>
      <c r="AA256" s="42" t="str">
        <f>CONFERENCIAS!AC256</f>
        <v/>
      </c>
      <c r="AB256" s="47" t="str">
        <f t="shared" si="5"/>
        <v/>
      </c>
      <c r="AC256" s="9" t="str">
        <f t="shared" si="6"/>
        <v/>
      </c>
    </row>
    <row r="257">
      <c r="A257" s="42" t="str">
        <f>CONFERENCIAS!A257</f>
        <v/>
      </c>
      <c r="D257" s="42" t="str">
        <f>CONFERENCIAS!C257</f>
        <v/>
      </c>
      <c r="E257" s="42" t="str">
        <f>CONFERENCIAS!K257</f>
        <v/>
      </c>
      <c r="F257" s="49" t="str">
        <f>CONFERENCIAS!J257</f>
        <v/>
      </c>
      <c r="G257" s="42" t="str">
        <f>CONFERENCIAS!O257</f>
        <v/>
      </c>
      <c r="H257" s="42" t="str">
        <f>CONFERENCIAS!X257</f>
        <v/>
      </c>
      <c r="I257" s="42" t="str">
        <f>CONFERENCIAS!AA257</f>
        <v/>
      </c>
      <c r="J257" s="44" t="str">
        <f>CONFERENCIAS!P257</f>
        <v/>
      </c>
      <c r="K257" s="45" t="str">
        <f>CONFERENCIAS!R257</f>
        <v/>
      </c>
      <c r="L257" s="45">
        <f>IF(D257="",0,
 IF(E257=1,
   IF(H257="Presencial",
      VLOOKUP(D257,TARIFAS!A:K,3,FALSE) + IF(I257="Sí",VLOOKUP(D257,TARIFAS!A:K,5,FALSE),0),
      VLOOKUP(D257,TARIFAS!A:K,4,FALSE) + IF(I257="Sí",VLOOKUP(D257,TARIFAS!A:K,5,FALSE),0)
   ),
   IF(H257="Presencial",
      VLOOKUP(D257,TARIFAS!A:K,9,FALSE) + IF(I257="Sí",VLOOKUP(D257,TARIFAS!A:K,11,FALSE),0),
      VLOOKUP(D257,TARIFAS!A:K,10,FALSE) + IF(I257="Sí",VLOOKUP(D257,TARIFAS!A:K,11,FALSE),0)
   )
 )
)
</f>
        <v>0</v>
      </c>
      <c r="M257" s="45">
        <f>IF(J257="",0,MAX(0,J257 - TARIFAS!G$2) * TARIFAS!F$2)
</f>
        <v>0</v>
      </c>
      <c r="N257" s="45">
        <f>+L257*TARIFAS!$K$2</f>
        <v>0</v>
      </c>
      <c r="O257" s="45">
        <f t="shared" si="1"/>
        <v>0</v>
      </c>
      <c r="P257" s="45">
        <f>+M257+O257+K257+(+I257-(I257*TARIFAS!$K$2))</f>
        <v>0</v>
      </c>
      <c r="Q257" s="42" t="str">
        <f>CONFERENCIAS!T257</f>
        <v/>
      </c>
      <c r="R257" s="45" t="str">
        <f>CONFERENCIAS!U257</f>
        <v/>
      </c>
      <c r="S257" s="45" t="str">
        <f>CONFERENCIAS!W257</f>
        <v/>
      </c>
      <c r="T257" s="48">
        <f>IF(Q257="",0,
   IF(E257=1,
      IF(H257="Presencial",
         VLOOKUP(D257,TARIFAS!A:K,3,FALSE) + IF(I257="Sí",VLOOKUP(D257,TARIFAS!A:K,5,FALSE),0),
         VLOOKUP(D257,TARIFAS!A:K,4,FALSE) + IF(I257="Sí",VLOOKUP(D257,TARIFAS!A:K,5,FALSE),0)
      ),
      IF(H257="Presencial",
         VLOOKUP(D257,TARIFAS!A:K,9,FALSE) + IF(I257="Sí",VLOOKUP(D257,TARIFAS!A:K,11,FALSE),0),
         VLOOKUP(D257,TARIFAS!A:K,10,FALSE) + IF(I257="Sí",VLOOKUP(D257,TARIFAS!A:K,11,FALSE),0)
      )
   )
)
</f>
        <v>0</v>
      </c>
      <c r="U257" s="45">
        <f>IF(R257="",0,MAX(0,R257 - TARIFAS!G$2) * TARIFAS!F$2)
</f>
        <v>0</v>
      </c>
      <c r="V257" s="45">
        <f>+T257*TARIFAS!$K$2</f>
        <v>0</v>
      </c>
      <c r="W257" s="45">
        <f t="shared" si="2"/>
        <v>0</v>
      </c>
      <c r="X257" s="45">
        <f t="shared" si="3"/>
        <v>0</v>
      </c>
      <c r="Y257" s="45">
        <f t="shared" si="4"/>
        <v>0</v>
      </c>
      <c r="Z257" s="42" t="str">
        <f>CONFERENCIAS!AB257</f>
        <v/>
      </c>
      <c r="AA257" s="42" t="str">
        <f>CONFERENCIAS!AC257</f>
        <v/>
      </c>
      <c r="AB257" s="47" t="str">
        <f t="shared" si="5"/>
        <v/>
      </c>
      <c r="AC257" s="9" t="str">
        <f t="shared" si="6"/>
        <v/>
      </c>
    </row>
    <row r="258">
      <c r="A258" s="42" t="str">
        <f>CONFERENCIAS!A258</f>
        <v/>
      </c>
      <c r="D258" s="42" t="str">
        <f>CONFERENCIAS!C258</f>
        <v/>
      </c>
      <c r="E258" s="42" t="str">
        <f>CONFERENCIAS!K258</f>
        <v/>
      </c>
      <c r="F258" s="49" t="str">
        <f>CONFERENCIAS!J258</f>
        <v/>
      </c>
      <c r="G258" s="42" t="str">
        <f>CONFERENCIAS!O258</f>
        <v/>
      </c>
      <c r="H258" s="42" t="str">
        <f>CONFERENCIAS!X258</f>
        <v/>
      </c>
      <c r="I258" s="42" t="str">
        <f>CONFERENCIAS!AA258</f>
        <v/>
      </c>
      <c r="J258" s="44" t="str">
        <f>CONFERENCIAS!P258</f>
        <v/>
      </c>
      <c r="K258" s="45" t="str">
        <f>CONFERENCIAS!R258</f>
        <v/>
      </c>
      <c r="L258" s="45">
        <f>IF(D258="",0,
 IF(E258=1,
   IF(H258="Presencial",
      VLOOKUP(D258,TARIFAS!A:K,3,FALSE) + IF(I258="Sí",VLOOKUP(D258,TARIFAS!A:K,5,FALSE),0),
      VLOOKUP(D258,TARIFAS!A:K,4,FALSE) + IF(I258="Sí",VLOOKUP(D258,TARIFAS!A:K,5,FALSE),0)
   ),
   IF(H258="Presencial",
      VLOOKUP(D258,TARIFAS!A:K,9,FALSE) + IF(I258="Sí",VLOOKUP(D258,TARIFAS!A:K,11,FALSE),0),
      VLOOKUP(D258,TARIFAS!A:K,10,FALSE) + IF(I258="Sí",VLOOKUP(D258,TARIFAS!A:K,11,FALSE),0)
   )
 )
)
</f>
        <v>0</v>
      </c>
      <c r="M258" s="45">
        <f>IF(J258="",0,MAX(0,J258 - TARIFAS!G$2) * TARIFAS!F$2)
</f>
        <v>0</v>
      </c>
      <c r="N258" s="45">
        <f>+L258*TARIFAS!$K$2</f>
        <v>0</v>
      </c>
      <c r="O258" s="45">
        <f t="shared" si="1"/>
        <v>0</v>
      </c>
      <c r="P258" s="45">
        <f>+M258+O258+K258+(+I258-(I258*TARIFAS!$K$2))</f>
        <v>0</v>
      </c>
      <c r="Q258" s="42" t="str">
        <f>CONFERENCIAS!T258</f>
        <v/>
      </c>
      <c r="R258" s="45" t="str">
        <f>CONFERENCIAS!U258</f>
        <v/>
      </c>
      <c r="S258" s="45" t="str">
        <f>CONFERENCIAS!W258</f>
        <v/>
      </c>
      <c r="T258" s="48">
        <f>IF(Q258="",0,
   IF(E258=1,
      IF(H258="Presencial",
         VLOOKUP(D258,TARIFAS!A:K,3,FALSE) + IF(I258="Sí",VLOOKUP(D258,TARIFAS!A:K,5,FALSE),0),
         VLOOKUP(D258,TARIFAS!A:K,4,FALSE) + IF(I258="Sí",VLOOKUP(D258,TARIFAS!A:K,5,FALSE),0)
      ),
      IF(H258="Presencial",
         VLOOKUP(D258,TARIFAS!A:K,9,FALSE) + IF(I258="Sí",VLOOKUP(D258,TARIFAS!A:K,11,FALSE),0),
         VLOOKUP(D258,TARIFAS!A:K,10,FALSE) + IF(I258="Sí",VLOOKUP(D258,TARIFAS!A:K,11,FALSE),0)
      )
   )
)
</f>
        <v>0</v>
      </c>
      <c r="U258" s="45">
        <f>IF(R258="",0,MAX(0,R258 - TARIFAS!G$2) * TARIFAS!F$2)
</f>
        <v>0</v>
      </c>
      <c r="V258" s="45">
        <f>+T258*TARIFAS!$K$2</f>
        <v>0</v>
      </c>
      <c r="W258" s="45">
        <f t="shared" si="2"/>
        <v>0</v>
      </c>
      <c r="X258" s="45">
        <f t="shared" si="3"/>
        <v>0</v>
      </c>
      <c r="Y258" s="45">
        <f t="shared" si="4"/>
        <v>0</v>
      </c>
      <c r="Z258" s="42" t="str">
        <f>CONFERENCIAS!AB258</f>
        <v/>
      </c>
      <c r="AA258" s="42" t="str">
        <f>CONFERENCIAS!AC258</f>
        <v/>
      </c>
      <c r="AB258" s="47" t="str">
        <f t="shared" si="5"/>
        <v/>
      </c>
      <c r="AC258" s="9" t="str">
        <f t="shared" si="6"/>
        <v/>
      </c>
    </row>
    <row r="259">
      <c r="A259" s="42" t="str">
        <f>CONFERENCIAS!A259</f>
        <v/>
      </c>
      <c r="D259" s="42" t="str">
        <f>CONFERENCIAS!C259</f>
        <v/>
      </c>
      <c r="E259" s="42" t="str">
        <f>CONFERENCIAS!K259</f>
        <v/>
      </c>
      <c r="F259" s="49" t="str">
        <f>CONFERENCIAS!J259</f>
        <v/>
      </c>
      <c r="G259" s="42" t="str">
        <f>CONFERENCIAS!O259</f>
        <v/>
      </c>
      <c r="H259" s="42" t="str">
        <f>CONFERENCIAS!X259</f>
        <v/>
      </c>
      <c r="I259" s="42" t="str">
        <f>CONFERENCIAS!AA259</f>
        <v/>
      </c>
      <c r="J259" s="44" t="str">
        <f>CONFERENCIAS!P259</f>
        <v/>
      </c>
      <c r="K259" s="45" t="str">
        <f>CONFERENCIAS!R259</f>
        <v/>
      </c>
      <c r="L259" s="45">
        <f>IF(D259="",0,
 IF(E259=1,
   IF(H259="Presencial",
      VLOOKUP(D259,TARIFAS!A:K,3,FALSE) + IF(I259="Sí",VLOOKUP(D259,TARIFAS!A:K,5,FALSE),0),
      VLOOKUP(D259,TARIFAS!A:K,4,FALSE) + IF(I259="Sí",VLOOKUP(D259,TARIFAS!A:K,5,FALSE),0)
   ),
   IF(H259="Presencial",
      VLOOKUP(D259,TARIFAS!A:K,9,FALSE) + IF(I259="Sí",VLOOKUP(D259,TARIFAS!A:K,11,FALSE),0),
      VLOOKUP(D259,TARIFAS!A:K,10,FALSE) + IF(I259="Sí",VLOOKUP(D259,TARIFAS!A:K,11,FALSE),0)
   )
 )
)
</f>
        <v>0</v>
      </c>
      <c r="M259" s="45">
        <f>IF(J259="",0,MAX(0,J259 - TARIFAS!G$2) * TARIFAS!F$2)
</f>
        <v>0</v>
      </c>
      <c r="N259" s="45">
        <f>+L259*TARIFAS!$K$2</f>
        <v>0</v>
      </c>
      <c r="O259" s="45">
        <f t="shared" si="1"/>
        <v>0</v>
      </c>
      <c r="P259" s="45">
        <f>+M259+O259+K259+(+I259-(I259*TARIFAS!$K$2))</f>
        <v>0</v>
      </c>
      <c r="Q259" s="42" t="str">
        <f>CONFERENCIAS!T259</f>
        <v/>
      </c>
      <c r="R259" s="45" t="str">
        <f>CONFERENCIAS!U259</f>
        <v/>
      </c>
      <c r="S259" s="45" t="str">
        <f>CONFERENCIAS!W259</f>
        <v/>
      </c>
      <c r="T259" s="48">
        <f>IF(Q259="",0,
   IF(E259=1,
      IF(H259="Presencial",
         VLOOKUP(D259,TARIFAS!A:K,3,FALSE) + IF(I259="Sí",VLOOKUP(D259,TARIFAS!A:K,5,FALSE),0),
         VLOOKUP(D259,TARIFAS!A:K,4,FALSE) + IF(I259="Sí",VLOOKUP(D259,TARIFAS!A:K,5,FALSE),0)
      ),
      IF(H259="Presencial",
         VLOOKUP(D259,TARIFAS!A:K,9,FALSE) + IF(I259="Sí",VLOOKUP(D259,TARIFAS!A:K,11,FALSE),0),
         VLOOKUP(D259,TARIFAS!A:K,10,FALSE) + IF(I259="Sí",VLOOKUP(D259,TARIFAS!A:K,11,FALSE),0)
      )
   )
)
</f>
        <v>0</v>
      </c>
      <c r="U259" s="45">
        <f>IF(R259="",0,MAX(0,R259 - TARIFAS!G$2) * TARIFAS!F$2)
</f>
        <v>0</v>
      </c>
      <c r="V259" s="45">
        <f>+T259*TARIFAS!$K$2</f>
        <v>0</v>
      </c>
      <c r="W259" s="45">
        <f t="shared" si="2"/>
        <v>0</v>
      </c>
      <c r="X259" s="45">
        <f t="shared" si="3"/>
        <v>0</v>
      </c>
      <c r="Y259" s="45">
        <f t="shared" si="4"/>
        <v>0</v>
      </c>
      <c r="Z259" s="42" t="str">
        <f>CONFERENCIAS!AB259</f>
        <v/>
      </c>
      <c r="AA259" s="42" t="str">
        <f>CONFERENCIAS!AC259</f>
        <v/>
      </c>
      <c r="AB259" s="47" t="str">
        <f t="shared" si="5"/>
        <v/>
      </c>
      <c r="AC259" s="9" t="str">
        <f t="shared" si="6"/>
        <v/>
      </c>
    </row>
    <row r="260">
      <c r="A260" s="42" t="str">
        <f>CONFERENCIAS!A260</f>
        <v/>
      </c>
      <c r="D260" s="42" t="str">
        <f>CONFERENCIAS!C260</f>
        <v/>
      </c>
      <c r="E260" s="42" t="str">
        <f>CONFERENCIAS!K260</f>
        <v/>
      </c>
      <c r="F260" s="49" t="str">
        <f>CONFERENCIAS!J260</f>
        <v/>
      </c>
      <c r="G260" s="42" t="str">
        <f>CONFERENCIAS!O260</f>
        <v/>
      </c>
      <c r="H260" s="42" t="str">
        <f>CONFERENCIAS!X260</f>
        <v/>
      </c>
      <c r="I260" s="42" t="str">
        <f>CONFERENCIAS!AA260</f>
        <v/>
      </c>
      <c r="J260" s="44" t="str">
        <f>CONFERENCIAS!P260</f>
        <v/>
      </c>
      <c r="K260" s="45" t="str">
        <f>CONFERENCIAS!R260</f>
        <v/>
      </c>
      <c r="L260" s="45">
        <f>IF(D260="",0,
 IF(E260=1,
   IF(H260="Presencial",
      VLOOKUP(D260,TARIFAS!A:K,3,FALSE) + IF(I260="Sí",VLOOKUP(D260,TARIFAS!A:K,5,FALSE),0),
      VLOOKUP(D260,TARIFAS!A:K,4,FALSE) + IF(I260="Sí",VLOOKUP(D260,TARIFAS!A:K,5,FALSE),0)
   ),
   IF(H260="Presencial",
      VLOOKUP(D260,TARIFAS!A:K,9,FALSE) + IF(I260="Sí",VLOOKUP(D260,TARIFAS!A:K,11,FALSE),0),
      VLOOKUP(D260,TARIFAS!A:K,10,FALSE) + IF(I260="Sí",VLOOKUP(D260,TARIFAS!A:K,11,FALSE),0)
   )
 )
)
</f>
        <v>0</v>
      </c>
      <c r="M260" s="45">
        <f>IF(J260="",0,MAX(0,J260 - TARIFAS!G$2) * TARIFAS!F$2)
</f>
        <v>0</v>
      </c>
      <c r="N260" s="45">
        <f>+L260*TARIFAS!$K$2</f>
        <v>0</v>
      </c>
      <c r="O260" s="45">
        <f t="shared" si="1"/>
        <v>0</v>
      </c>
      <c r="P260" s="45">
        <f>+M260+O260+K260+(+I260-(I260*TARIFAS!$K$2))</f>
        <v>0</v>
      </c>
      <c r="Q260" s="42" t="str">
        <f>CONFERENCIAS!T260</f>
        <v/>
      </c>
      <c r="R260" s="45" t="str">
        <f>CONFERENCIAS!U260</f>
        <v/>
      </c>
      <c r="S260" s="45" t="str">
        <f>CONFERENCIAS!W260</f>
        <v/>
      </c>
      <c r="T260" s="48">
        <f>IF(Q260="",0,
   IF(E260=1,
      IF(H260="Presencial",
         VLOOKUP(D260,TARIFAS!A:K,3,FALSE) + IF(I260="Sí",VLOOKUP(D260,TARIFAS!A:K,5,FALSE),0),
         VLOOKUP(D260,TARIFAS!A:K,4,FALSE) + IF(I260="Sí",VLOOKUP(D260,TARIFAS!A:K,5,FALSE),0)
      ),
      IF(H260="Presencial",
         VLOOKUP(D260,TARIFAS!A:K,9,FALSE) + IF(I260="Sí",VLOOKUP(D260,TARIFAS!A:K,11,FALSE),0),
         VLOOKUP(D260,TARIFAS!A:K,10,FALSE) + IF(I260="Sí",VLOOKUP(D260,TARIFAS!A:K,11,FALSE),0)
      )
   )
)
</f>
        <v>0</v>
      </c>
      <c r="U260" s="45">
        <f>IF(R260="",0,MAX(0,R260 - TARIFAS!G$2) * TARIFAS!F$2)
</f>
        <v>0</v>
      </c>
      <c r="V260" s="45">
        <f>+T260*TARIFAS!$K$2</f>
        <v>0</v>
      </c>
      <c r="W260" s="45">
        <f t="shared" si="2"/>
        <v>0</v>
      </c>
      <c r="X260" s="45">
        <f t="shared" si="3"/>
        <v>0</v>
      </c>
      <c r="Y260" s="45">
        <f t="shared" si="4"/>
        <v>0</v>
      </c>
      <c r="Z260" s="42" t="str">
        <f>CONFERENCIAS!AB260</f>
        <v/>
      </c>
      <c r="AA260" s="42" t="str">
        <f>CONFERENCIAS!AC260</f>
        <v/>
      </c>
      <c r="AB260" s="47" t="str">
        <f t="shared" si="5"/>
        <v/>
      </c>
      <c r="AC260" s="9" t="str">
        <f t="shared" si="6"/>
        <v/>
      </c>
    </row>
    <row r="261">
      <c r="A261" s="42" t="str">
        <f>CONFERENCIAS!A261</f>
        <v/>
      </c>
      <c r="D261" s="42" t="str">
        <f>CONFERENCIAS!C261</f>
        <v/>
      </c>
      <c r="E261" s="42" t="str">
        <f>CONFERENCIAS!K261</f>
        <v/>
      </c>
      <c r="F261" s="49" t="str">
        <f>CONFERENCIAS!J261</f>
        <v/>
      </c>
      <c r="G261" s="42" t="str">
        <f>CONFERENCIAS!O261</f>
        <v/>
      </c>
      <c r="H261" s="42" t="str">
        <f>CONFERENCIAS!X261</f>
        <v/>
      </c>
      <c r="I261" s="42" t="str">
        <f>CONFERENCIAS!AA261</f>
        <v/>
      </c>
      <c r="J261" s="44" t="str">
        <f>CONFERENCIAS!P261</f>
        <v/>
      </c>
      <c r="K261" s="45" t="str">
        <f>CONFERENCIAS!R261</f>
        <v/>
      </c>
      <c r="L261" s="45">
        <f>IF(D261="",0,
 IF(E261=1,
   IF(H261="Presencial",
      VLOOKUP(D261,TARIFAS!A:K,3,FALSE) + IF(I261="Sí",VLOOKUP(D261,TARIFAS!A:K,5,FALSE),0),
      VLOOKUP(D261,TARIFAS!A:K,4,FALSE) + IF(I261="Sí",VLOOKUP(D261,TARIFAS!A:K,5,FALSE),0)
   ),
   IF(H261="Presencial",
      VLOOKUP(D261,TARIFAS!A:K,9,FALSE) + IF(I261="Sí",VLOOKUP(D261,TARIFAS!A:K,11,FALSE),0),
      VLOOKUP(D261,TARIFAS!A:K,10,FALSE) + IF(I261="Sí",VLOOKUP(D261,TARIFAS!A:K,11,FALSE),0)
   )
 )
)
</f>
        <v>0</v>
      </c>
      <c r="M261" s="45">
        <f>IF(J261="",0,MAX(0,J261 - TARIFAS!G$2) * TARIFAS!F$2)
</f>
        <v>0</v>
      </c>
      <c r="N261" s="45">
        <f>+L261*TARIFAS!$K$2</f>
        <v>0</v>
      </c>
      <c r="O261" s="45">
        <f t="shared" si="1"/>
        <v>0</v>
      </c>
      <c r="P261" s="45">
        <f>+M261+O261+K261+(+I261-(I261*TARIFAS!$K$2))</f>
        <v>0</v>
      </c>
      <c r="Q261" s="42" t="str">
        <f>CONFERENCIAS!T261</f>
        <v/>
      </c>
      <c r="R261" s="45" t="str">
        <f>CONFERENCIAS!U261</f>
        <v/>
      </c>
      <c r="S261" s="45" t="str">
        <f>CONFERENCIAS!W261</f>
        <v/>
      </c>
      <c r="T261" s="48">
        <f>IF(Q261="",0,
   IF(E261=1,
      IF(H261="Presencial",
         VLOOKUP(D261,TARIFAS!A:K,3,FALSE) + IF(I261="Sí",VLOOKUP(D261,TARIFAS!A:K,5,FALSE),0),
         VLOOKUP(D261,TARIFAS!A:K,4,FALSE) + IF(I261="Sí",VLOOKUP(D261,TARIFAS!A:K,5,FALSE),0)
      ),
      IF(H261="Presencial",
         VLOOKUP(D261,TARIFAS!A:K,9,FALSE) + IF(I261="Sí",VLOOKUP(D261,TARIFAS!A:K,11,FALSE),0),
         VLOOKUP(D261,TARIFAS!A:K,10,FALSE) + IF(I261="Sí",VLOOKUP(D261,TARIFAS!A:K,11,FALSE),0)
      )
   )
)
</f>
        <v>0</v>
      </c>
      <c r="U261" s="45">
        <f>IF(R261="",0,MAX(0,R261 - TARIFAS!G$2) * TARIFAS!F$2)
</f>
        <v>0</v>
      </c>
      <c r="V261" s="45">
        <f>+T261*TARIFAS!$K$2</f>
        <v>0</v>
      </c>
      <c r="W261" s="45">
        <f t="shared" si="2"/>
        <v>0</v>
      </c>
      <c r="X261" s="45">
        <f t="shared" si="3"/>
        <v>0</v>
      </c>
      <c r="Y261" s="45">
        <f t="shared" si="4"/>
        <v>0</v>
      </c>
      <c r="Z261" s="42" t="str">
        <f>CONFERENCIAS!AB261</f>
        <v/>
      </c>
      <c r="AA261" s="42" t="str">
        <f>CONFERENCIAS!AC261</f>
        <v/>
      </c>
      <c r="AB261" s="47" t="str">
        <f t="shared" si="5"/>
        <v/>
      </c>
      <c r="AC261" s="9" t="str">
        <f t="shared" si="6"/>
        <v/>
      </c>
    </row>
    <row r="262">
      <c r="A262" s="42" t="str">
        <f>CONFERENCIAS!A262</f>
        <v/>
      </c>
      <c r="D262" s="42" t="str">
        <f>CONFERENCIAS!C262</f>
        <v/>
      </c>
      <c r="E262" s="42" t="str">
        <f>CONFERENCIAS!K262</f>
        <v/>
      </c>
      <c r="F262" s="49" t="str">
        <f>CONFERENCIAS!J262</f>
        <v/>
      </c>
      <c r="G262" s="42" t="str">
        <f>CONFERENCIAS!O262</f>
        <v/>
      </c>
      <c r="H262" s="42" t="str">
        <f>CONFERENCIAS!X262</f>
        <v/>
      </c>
      <c r="I262" s="42" t="str">
        <f>CONFERENCIAS!AA262</f>
        <v/>
      </c>
      <c r="J262" s="44" t="str">
        <f>CONFERENCIAS!P262</f>
        <v/>
      </c>
      <c r="K262" s="45" t="str">
        <f>CONFERENCIAS!R262</f>
        <v/>
      </c>
      <c r="L262" s="45">
        <f>IF(D262="",0,
 IF(E262=1,
   IF(H262="Presencial",
      VLOOKUP(D262,TARIFAS!A:K,3,FALSE) + IF(I262="Sí",VLOOKUP(D262,TARIFAS!A:K,5,FALSE),0),
      VLOOKUP(D262,TARIFAS!A:K,4,FALSE) + IF(I262="Sí",VLOOKUP(D262,TARIFAS!A:K,5,FALSE),0)
   ),
   IF(H262="Presencial",
      VLOOKUP(D262,TARIFAS!A:K,9,FALSE) + IF(I262="Sí",VLOOKUP(D262,TARIFAS!A:K,11,FALSE),0),
      VLOOKUP(D262,TARIFAS!A:K,10,FALSE) + IF(I262="Sí",VLOOKUP(D262,TARIFAS!A:K,11,FALSE),0)
   )
 )
)
</f>
        <v>0</v>
      </c>
      <c r="M262" s="45">
        <f>IF(J262="",0,MAX(0,J262 - TARIFAS!G$2) * TARIFAS!F$2)
</f>
        <v>0</v>
      </c>
      <c r="N262" s="45">
        <f>+L262*TARIFAS!$K$2</f>
        <v>0</v>
      </c>
      <c r="O262" s="45">
        <f t="shared" si="1"/>
        <v>0</v>
      </c>
      <c r="P262" s="45">
        <f>+M262+O262+K262+(+I262-(I262*TARIFAS!$K$2))</f>
        <v>0</v>
      </c>
      <c r="Q262" s="42" t="str">
        <f>CONFERENCIAS!T262</f>
        <v/>
      </c>
      <c r="R262" s="45" t="str">
        <f>CONFERENCIAS!U262</f>
        <v/>
      </c>
      <c r="S262" s="45" t="str">
        <f>CONFERENCIAS!W262</f>
        <v/>
      </c>
      <c r="T262" s="48">
        <f>IF(Q262="",0,
   IF(E262=1,
      IF(H262="Presencial",
         VLOOKUP(D262,TARIFAS!A:K,3,FALSE) + IF(I262="Sí",VLOOKUP(D262,TARIFAS!A:K,5,FALSE),0),
         VLOOKUP(D262,TARIFAS!A:K,4,FALSE) + IF(I262="Sí",VLOOKUP(D262,TARIFAS!A:K,5,FALSE),0)
      ),
      IF(H262="Presencial",
         VLOOKUP(D262,TARIFAS!A:K,9,FALSE) + IF(I262="Sí",VLOOKUP(D262,TARIFAS!A:K,11,FALSE),0),
         VLOOKUP(D262,TARIFAS!A:K,10,FALSE) + IF(I262="Sí",VLOOKUP(D262,TARIFAS!A:K,11,FALSE),0)
      )
   )
)
</f>
        <v>0</v>
      </c>
      <c r="U262" s="45">
        <f>IF(R262="",0,MAX(0,R262 - TARIFAS!G$2) * TARIFAS!F$2)
</f>
        <v>0</v>
      </c>
      <c r="V262" s="45">
        <f>+T262*TARIFAS!$K$2</f>
        <v>0</v>
      </c>
      <c r="W262" s="45">
        <f t="shared" si="2"/>
        <v>0</v>
      </c>
      <c r="X262" s="45">
        <f t="shared" si="3"/>
        <v>0</v>
      </c>
      <c r="Y262" s="45">
        <f t="shared" si="4"/>
        <v>0</v>
      </c>
      <c r="Z262" s="42" t="str">
        <f>CONFERENCIAS!AB262</f>
        <v/>
      </c>
      <c r="AA262" s="42" t="str">
        <f>CONFERENCIAS!AC262</f>
        <v/>
      </c>
      <c r="AB262" s="47" t="str">
        <f t="shared" si="5"/>
        <v/>
      </c>
      <c r="AC262" s="9" t="str">
        <f t="shared" si="6"/>
        <v/>
      </c>
    </row>
    <row r="263">
      <c r="A263" s="42" t="str">
        <f>CONFERENCIAS!A263</f>
        <v/>
      </c>
      <c r="D263" s="42" t="str">
        <f>CONFERENCIAS!C263</f>
        <v/>
      </c>
      <c r="E263" s="42" t="str">
        <f>CONFERENCIAS!K263</f>
        <v/>
      </c>
      <c r="F263" s="49" t="str">
        <f>CONFERENCIAS!J263</f>
        <v/>
      </c>
      <c r="G263" s="42" t="str">
        <f>CONFERENCIAS!O263</f>
        <v/>
      </c>
      <c r="H263" s="42" t="str">
        <f>CONFERENCIAS!X263</f>
        <v/>
      </c>
      <c r="I263" s="42" t="str">
        <f>CONFERENCIAS!AA263</f>
        <v/>
      </c>
      <c r="J263" s="44" t="str">
        <f>CONFERENCIAS!P263</f>
        <v/>
      </c>
      <c r="K263" s="45" t="str">
        <f>CONFERENCIAS!R263</f>
        <v/>
      </c>
      <c r="L263" s="45">
        <f>IF(D263="",0,
 IF(E263=1,
   IF(H263="Presencial",
      VLOOKUP(D263,TARIFAS!A:K,3,FALSE) + IF(I263="Sí",VLOOKUP(D263,TARIFAS!A:K,5,FALSE),0),
      VLOOKUP(D263,TARIFAS!A:K,4,FALSE) + IF(I263="Sí",VLOOKUP(D263,TARIFAS!A:K,5,FALSE),0)
   ),
   IF(H263="Presencial",
      VLOOKUP(D263,TARIFAS!A:K,9,FALSE) + IF(I263="Sí",VLOOKUP(D263,TARIFAS!A:K,11,FALSE),0),
      VLOOKUP(D263,TARIFAS!A:K,10,FALSE) + IF(I263="Sí",VLOOKUP(D263,TARIFAS!A:K,11,FALSE),0)
   )
 )
)
</f>
        <v>0</v>
      </c>
      <c r="M263" s="45">
        <f>IF(J263="",0,MAX(0,J263 - TARIFAS!G$2) * TARIFAS!F$2)
</f>
        <v>0</v>
      </c>
      <c r="N263" s="45">
        <f>+L263*TARIFAS!$K$2</f>
        <v>0</v>
      </c>
      <c r="O263" s="45">
        <f t="shared" si="1"/>
        <v>0</v>
      </c>
      <c r="P263" s="45">
        <f>+M263+O263+K263+(+I263-(I263*TARIFAS!$K$2))</f>
        <v>0</v>
      </c>
      <c r="Q263" s="42" t="str">
        <f>CONFERENCIAS!T263</f>
        <v/>
      </c>
      <c r="R263" s="45" t="str">
        <f>CONFERENCIAS!U263</f>
        <v/>
      </c>
      <c r="S263" s="45" t="str">
        <f>CONFERENCIAS!W263</f>
        <v/>
      </c>
      <c r="T263" s="48">
        <f>IF(Q263="",0,
   IF(E263=1,
      IF(H263="Presencial",
         VLOOKUP(D263,TARIFAS!A:K,3,FALSE) + IF(I263="Sí",VLOOKUP(D263,TARIFAS!A:K,5,FALSE),0),
         VLOOKUP(D263,TARIFAS!A:K,4,FALSE) + IF(I263="Sí",VLOOKUP(D263,TARIFAS!A:K,5,FALSE),0)
      ),
      IF(H263="Presencial",
         VLOOKUP(D263,TARIFAS!A:K,9,FALSE) + IF(I263="Sí",VLOOKUP(D263,TARIFAS!A:K,11,FALSE),0),
         VLOOKUP(D263,TARIFAS!A:K,10,FALSE) + IF(I263="Sí",VLOOKUP(D263,TARIFAS!A:K,11,FALSE),0)
      )
   )
)
</f>
        <v>0</v>
      </c>
      <c r="U263" s="45">
        <f>IF(R263="",0,MAX(0,R263 - TARIFAS!G$2) * TARIFAS!F$2)
</f>
        <v>0</v>
      </c>
      <c r="V263" s="45">
        <f>+T263*TARIFAS!$K$2</f>
        <v>0</v>
      </c>
      <c r="W263" s="45">
        <f t="shared" si="2"/>
        <v>0</v>
      </c>
      <c r="X263" s="45">
        <f t="shared" si="3"/>
        <v>0</v>
      </c>
      <c r="Y263" s="45">
        <f t="shared" si="4"/>
        <v>0</v>
      </c>
      <c r="Z263" s="42" t="str">
        <f>CONFERENCIAS!AB263</f>
        <v/>
      </c>
      <c r="AA263" s="42" t="str">
        <f>CONFERENCIAS!AC263</f>
        <v/>
      </c>
      <c r="AB263" s="47" t="str">
        <f t="shared" si="5"/>
        <v/>
      </c>
      <c r="AC263" s="9" t="str">
        <f t="shared" si="6"/>
        <v/>
      </c>
    </row>
    <row r="264">
      <c r="A264" s="42" t="str">
        <f>CONFERENCIAS!A264</f>
        <v/>
      </c>
      <c r="D264" s="42" t="str">
        <f>CONFERENCIAS!C264</f>
        <v/>
      </c>
      <c r="E264" s="42" t="str">
        <f>CONFERENCIAS!K264</f>
        <v/>
      </c>
      <c r="F264" s="49" t="str">
        <f>CONFERENCIAS!J264</f>
        <v/>
      </c>
      <c r="G264" s="42" t="str">
        <f>CONFERENCIAS!O264</f>
        <v/>
      </c>
      <c r="H264" s="42" t="str">
        <f>CONFERENCIAS!X264</f>
        <v/>
      </c>
      <c r="I264" s="42" t="str">
        <f>CONFERENCIAS!AA264</f>
        <v/>
      </c>
      <c r="J264" s="44" t="str">
        <f>CONFERENCIAS!P264</f>
        <v/>
      </c>
      <c r="K264" s="45" t="str">
        <f>CONFERENCIAS!R264</f>
        <v/>
      </c>
      <c r="L264" s="45">
        <f>IF(D264="",0,
 IF(E264=1,
   IF(H264="Presencial",
      VLOOKUP(D264,TARIFAS!A:K,3,FALSE) + IF(I264="Sí",VLOOKUP(D264,TARIFAS!A:K,5,FALSE),0),
      VLOOKUP(D264,TARIFAS!A:K,4,FALSE) + IF(I264="Sí",VLOOKUP(D264,TARIFAS!A:K,5,FALSE),0)
   ),
   IF(H264="Presencial",
      VLOOKUP(D264,TARIFAS!A:K,9,FALSE) + IF(I264="Sí",VLOOKUP(D264,TARIFAS!A:K,11,FALSE),0),
      VLOOKUP(D264,TARIFAS!A:K,10,FALSE) + IF(I264="Sí",VLOOKUP(D264,TARIFAS!A:K,11,FALSE),0)
   )
 )
)
</f>
        <v>0</v>
      </c>
      <c r="M264" s="45">
        <f>IF(J264="",0,MAX(0,J264 - TARIFAS!G$2) * TARIFAS!F$2)
</f>
        <v>0</v>
      </c>
      <c r="N264" s="45">
        <f>+L264*TARIFAS!$K$2</f>
        <v>0</v>
      </c>
      <c r="O264" s="45">
        <f t="shared" si="1"/>
        <v>0</v>
      </c>
      <c r="P264" s="45">
        <f>+M264+O264+K264+(+I264-(I264*TARIFAS!$K$2))</f>
        <v>0</v>
      </c>
      <c r="Q264" s="42" t="str">
        <f>CONFERENCIAS!T264</f>
        <v/>
      </c>
      <c r="R264" s="45" t="str">
        <f>CONFERENCIAS!U264</f>
        <v/>
      </c>
      <c r="S264" s="45" t="str">
        <f>CONFERENCIAS!W264</f>
        <v/>
      </c>
      <c r="T264" s="48">
        <f>IF(Q264="",0,
   IF(E264=1,
      IF(H264="Presencial",
         VLOOKUP(D264,TARIFAS!A:K,3,FALSE) + IF(I264="Sí",VLOOKUP(D264,TARIFAS!A:K,5,FALSE),0),
         VLOOKUP(D264,TARIFAS!A:K,4,FALSE) + IF(I264="Sí",VLOOKUP(D264,TARIFAS!A:K,5,FALSE),0)
      ),
      IF(H264="Presencial",
         VLOOKUP(D264,TARIFAS!A:K,9,FALSE) + IF(I264="Sí",VLOOKUP(D264,TARIFAS!A:K,11,FALSE),0),
         VLOOKUP(D264,TARIFAS!A:K,10,FALSE) + IF(I264="Sí",VLOOKUP(D264,TARIFAS!A:K,11,FALSE),0)
      )
   )
)
</f>
        <v>0</v>
      </c>
      <c r="U264" s="45">
        <f>IF(R264="",0,MAX(0,R264 - TARIFAS!G$2) * TARIFAS!F$2)
</f>
        <v>0</v>
      </c>
      <c r="V264" s="45">
        <f>+T264*TARIFAS!$K$2</f>
        <v>0</v>
      </c>
      <c r="W264" s="45">
        <f t="shared" si="2"/>
        <v>0</v>
      </c>
      <c r="X264" s="45">
        <f t="shared" si="3"/>
        <v>0</v>
      </c>
      <c r="Y264" s="45">
        <f t="shared" si="4"/>
        <v>0</v>
      </c>
      <c r="Z264" s="42" t="str">
        <f>CONFERENCIAS!AB264</f>
        <v/>
      </c>
      <c r="AA264" s="42" t="str">
        <f>CONFERENCIAS!AC264</f>
        <v/>
      </c>
      <c r="AB264" s="47" t="str">
        <f t="shared" si="5"/>
        <v/>
      </c>
      <c r="AC264" s="9" t="str">
        <f t="shared" si="6"/>
        <v/>
      </c>
    </row>
    <row r="265">
      <c r="A265" s="42" t="str">
        <f>CONFERENCIAS!A265</f>
        <v/>
      </c>
      <c r="D265" s="42" t="str">
        <f>CONFERENCIAS!C265</f>
        <v/>
      </c>
      <c r="E265" s="42" t="str">
        <f>CONFERENCIAS!K265</f>
        <v/>
      </c>
      <c r="F265" s="49" t="str">
        <f>CONFERENCIAS!J265</f>
        <v/>
      </c>
      <c r="G265" s="42" t="str">
        <f>CONFERENCIAS!O265</f>
        <v/>
      </c>
      <c r="H265" s="42" t="str">
        <f>CONFERENCIAS!X265</f>
        <v/>
      </c>
      <c r="I265" s="42" t="str">
        <f>CONFERENCIAS!AA265</f>
        <v/>
      </c>
      <c r="J265" s="44" t="str">
        <f>CONFERENCIAS!P265</f>
        <v/>
      </c>
      <c r="K265" s="45" t="str">
        <f>CONFERENCIAS!R265</f>
        <v/>
      </c>
      <c r="L265" s="45">
        <f>IF(D265="",0,
 IF(E265=1,
   IF(H265="Presencial",
      VLOOKUP(D265,TARIFAS!A:K,3,FALSE) + IF(I265="Sí",VLOOKUP(D265,TARIFAS!A:K,5,FALSE),0),
      VLOOKUP(D265,TARIFAS!A:K,4,FALSE) + IF(I265="Sí",VLOOKUP(D265,TARIFAS!A:K,5,FALSE),0)
   ),
   IF(H265="Presencial",
      VLOOKUP(D265,TARIFAS!A:K,9,FALSE) + IF(I265="Sí",VLOOKUP(D265,TARIFAS!A:K,11,FALSE),0),
      VLOOKUP(D265,TARIFAS!A:K,10,FALSE) + IF(I265="Sí",VLOOKUP(D265,TARIFAS!A:K,11,FALSE),0)
   )
 )
)
</f>
        <v>0</v>
      </c>
      <c r="M265" s="45">
        <f>IF(J265="",0,MAX(0,J265 - TARIFAS!G$2) * TARIFAS!F$2)
</f>
        <v>0</v>
      </c>
      <c r="N265" s="45">
        <f>+L265*TARIFAS!$K$2</f>
        <v>0</v>
      </c>
      <c r="O265" s="45">
        <f t="shared" si="1"/>
        <v>0</v>
      </c>
      <c r="P265" s="45">
        <f>+M265+O265+K265+(+I265-(I265*TARIFAS!$K$2))</f>
        <v>0</v>
      </c>
      <c r="Q265" s="42" t="str">
        <f>CONFERENCIAS!T265</f>
        <v/>
      </c>
      <c r="R265" s="45" t="str">
        <f>CONFERENCIAS!U265</f>
        <v/>
      </c>
      <c r="S265" s="45" t="str">
        <f>CONFERENCIAS!W265</f>
        <v/>
      </c>
      <c r="T265" s="48">
        <f>IF(Q265="",0,
   IF(E265=1,
      IF(H265="Presencial",
         VLOOKUP(D265,TARIFAS!A:K,3,FALSE) + IF(I265="Sí",VLOOKUP(D265,TARIFAS!A:K,5,FALSE),0),
         VLOOKUP(D265,TARIFAS!A:K,4,FALSE) + IF(I265="Sí",VLOOKUP(D265,TARIFAS!A:K,5,FALSE),0)
      ),
      IF(H265="Presencial",
         VLOOKUP(D265,TARIFAS!A:K,9,FALSE) + IF(I265="Sí",VLOOKUP(D265,TARIFAS!A:K,11,FALSE),0),
         VLOOKUP(D265,TARIFAS!A:K,10,FALSE) + IF(I265="Sí",VLOOKUP(D265,TARIFAS!A:K,11,FALSE),0)
      )
   )
)
</f>
        <v>0</v>
      </c>
      <c r="U265" s="45">
        <f>IF(R265="",0,MAX(0,R265 - TARIFAS!G$2) * TARIFAS!F$2)
</f>
        <v>0</v>
      </c>
      <c r="V265" s="45">
        <f>+T265*TARIFAS!$K$2</f>
        <v>0</v>
      </c>
      <c r="W265" s="45">
        <f t="shared" si="2"/>
        <v>0</v>
      </c>
      <c r="X265" s="45">
        <f t="shared" si="3"/>
        <v>0</v>
      </c>
      <c r="Y265" s="45">
        <f t="shared" si="4"/>
        <v>0</v>
      </c>
      <c r="Z265" s="42" t="str">
        <f>CONFERENCIAS!AB265</f>
        <v/>
      </c>
      <c r="AA265" s="42" t="str">
        <f>CONFERENCIAS!AC265</f>
        <v/>
      </c>
      <c r="AB265" s="47" t="str">
        <f t="shared" si="5"/>
        <v/>
      </c>
      <c r="AC265" s="9" t="str">
        <f t="shared" si="6"/>
        <v/>
      </c>
    </row>
    <row r="266">
      <c r="A266" s="42" t="str">
        <f>CONFERENCIAS!A266</f>
        <v/>
      </c>
      <c r="D266" s="42" t="str">
        <f>CONFERENCIAS!C266</f>
        <v/>
      </c>
      <c r="E266" s="42" t="str">
        <f>CONFERENCIAS!K266</f>
        <v/>
      </c>
      <c r="F266" s="49" t="str">
        <f>CONFERENCIAS!J266</f>
        <v/>
      </c>
      <c r="G266" s="42" t="str">
        <f>CONFERENCIAS!O266</f>
        <v/>
      </c>
      <c r="H266" s="42" t="str">
        <f>CONFERENCIAS!X266</f>
        <v/>
      </c>
      <c r="I266" s="42" t="str">
        <f>CONFERENCIAS!AA266</f>
        <v/>
      </c>
      <c r="J266" s="44" t="str">
        <f>CONFERENCIAS!P266</f>
        <v/>
      </c>
      <c r="K266" s="45" t="str">
        <f>CONFERENCIAS!R266</f>
        <v/>
      </c>
      <c r="L266" s="45">
        <f>IF(D266="",0,
 IF(E266=1,
   IF(H266="Presencial",
      VLOOKUP(D266,TARIFAS!A:K,3,FALSE) + IF(I266="Sí",VLOOKUP(D266,TARIFAS!A:K,5,FALSE),0),
      VLOOKUP(D266,TARIFAS!A:K,4,FALSE) + IF(I266="Sí",VLOOKUP(D266,TARIFAS!A:K,5,FALSE),0)
   ),
   IF(H266="Presencial",
      VLOOKUP(D266,TARIFAS!A:K,9,FALSE) + IF(I266="Sí",VLOOKUP(D266,TARIFAS!A:K,11,FALSE),0),
      VLOOKUP(D266,TARIFAS!A:K,10,FALSE) + IF(I266="Sí",VLOOKUP(D266,TARIFAS!A:K,11,FALSE),0)
   )
 )
)
</f>
        <v>0</v>
      </c>
      <c r="M266" s="45">
        <f>IF(J266="",0,MAX(0,J266 - TARIFAS!G$2) * TARIFAS!F$2)
</f>
        <v>0</v>
      </c>
      <c r="N266" s="45">
        <f>+L266*TARIFAS!$K$2</f>
        <v>0</v>
      </c>
      <c r="O266" s="45">
        <f t="shared" si="1"/>
        <v>0</v>
      </c>
      <c r="P266" s="45">
        <f>+M266+O266+K266+(+I266-(I266*TARIFAS!$K$2))</f>
        <v>0</v>
      </c>
      <c r="Q266" s="42" t="str">
        <f>CONFERENCIAS!T266</f>
        <v/>
      </c>
      <c r="R266" s="45" t="str">
        <f>CONFERENCIAS!U266</f>
        <v/>
      </c>
      <c r="S266" s="45" t="str">
        <f>CONFERENCIAS!W266</f>
        <v/>
      </c>
      <c r="T266" s="48">
        <f>IF(Q266="",0,
   IF(E266=1,
      IF(H266="Presencial",
         VLOOKUP(D266,TARIFAS!A:K,3,FALSE) + IF(I266="Sí",VLOOKUP(D266,TARIFAS!A:K,5,FALSE),0),
         VLOOKUP(D266,TARIFAS!A:K,4,FALSE) + IF(I266="Sí",VLOOKUP(D266,TARIFAS!A:K,5,FALSE),0)
      ),
      IF(H266="Presencial",
         VLOOKUP(D266,TARIFAS!A:K,9,FALSE) + IF(I266="Sí",VLOOKUP(D266,TARIFAS!A:K,11,FALSE),0),
         VLOOKUP(D266,TARIFAS!A:K,10,FALSE) + IF(I266="Sí",VLOOKUP(D266,TARIFAS!A:K,11,FALSE),0)
      )
   )
)
</f>
        <v>0</v>
      </c>
      <c r="U266" s="45">
        <f>IF(R266="",0,MAX(0,R266 - TARIFAS!G$2) * TARIFAS!F$2)
</f>
        <v>0</v>
      </c>
      <c r="V266" s="45">
        <f>+T266*TARIFAS!$K$2</f>
        <v>0</v>
      </c>
      <c r="W266" s="45">
        <f t="shared" si="2"/>
        <v>0</v>
      </c>
      <c r="X266" s="45">
        <f t="shared" si="3"/>
        <v>0</v>
      </c>
      <c r="Y266" s="45">
        <f t="shared" si="4"/>
        <v>0</v>
      </c>
      <c r="Z266" s="42" t="str">
        <f>CONFERENCIAS!AB266</f>
        <v/>
      </c>
      <c r="AA266" s="42" t="str">
        <f>CONFERENCIAS!AC266</f>
        <v/>
      </c>
      <c r="AB266" s="47" t="str">
        <f t="shared" si="5"/>
        <v/>
      </c>
      <c r="AC266" s="9" t="str">
        <f t="shared" si="6"/>
        <v/>
      </c>
    </row>
    <row r="267">
      <c r="A267" s="42" t="str">
        <f>CONFERENCIAS!A267</f>
        <v/>
      </c>
      <c r="D267" s="42" t="str">
        <f>CONFERENCIAS!C267</f>
        <v/>
      </c>
      <c r="E267" s="42" t="str">
        <f>CONFERENCIAS!K267</f>
        <v/>
      </c>
      <c r="F267" s="49" t="str">
        <f>CONFERENCIAS!J267</f>
        <v/>
      </c>
      <c r="G267" s="42" t="str">
        <f>CONFERENCIAS!O267</f>
        <v/>
      </c>
      <c r="H267" s="42" t="str">
        <f>CONFERENCIAS!X267</f>
        <v/>
      </c>
      <c r="I267" s="42" t="str">
        <f>CONFERENCIAS!AA267</f>
        <v/>
      </c>
      <c r="J267" s="44" t="str">
        <f>CONFERENCIAS!P267</f>
        <v/>
      </c>
      <c r="K267" s="45" t="str">
        <f>CONFERENCIAS!R267</f>
        <v/>
      </c>
      <c r="L267" s="45">
        <f>IF(D267="",0,
 IF(E267=1,
   IF(H267="Presencial",
      VLOOKUP(D267,TARIFAS!A:K,3,FALSE) + IF(I267="Sí",VLOOKUP(D267,TARIFAS!A:K,5,FALSE),0),
      VLOOKUP(D267,TARIFAS!A:K,4,FALSE) + IF(I267="Sí",VLOOKUP(D267,TARIFAS!A:K,5,FALSE),0)
   ),
   IF(H267="Presencial",
      VLOOKUP(D267,TARIFAS!A:K,9,FALSE) + IF(I267="Sí",VLOOKUP(D267,TARIFAS!A:K,11,FALSE),0),
      VLOOKUP(D267,TARIFAS!A:K,10,FALSE) + IF(I267="Sí",VLOOKUP(D267,TARIFAS!A:K,11,FALSE),0)
   )
 )
)
</f>
        <v>0</v>
      </c>
      <c r="M267" s="45">
        <f>IF(J267="",0,MAX(0,J267 - TARIFAS!G$2) * TARIFAS!F$2)
</f>
        <v>0</v>
      </c>
      <c r="N267" s="45">
        <f>+L267*TARIFAS!$K$2</f>
        <v>0</v>
      </c>
      <c r="O267" s="45">
        <f t="shared" si="1"/>
        <v>0</v>
      </c>
      <c r="P267" s="45">
        <f>+M267+O267+K267+(+I267-(I267*TARIFAS!$K$2))</f>
        <v>0</v>
      </c>
      <c r="Q267" s="42" t="str">
        <f>CONFERENCIAS!T267</f>
        <v/>
      </c>
      <c r="R267" s="45" t="str">
        <f>CONFERENCIAS!U267</f>
        <v/>
      </c>
      <c r="S267" s="45" t="str">
        <f>CONFERENCIAS!W267</f>
        <v/>
      </c>
      <c r="T267" s="48">
        <f>IF(Q267="",0,
   IF(E267=1,
      IF(H267="Presencial",
         VLOOKUP(D267,TARIFAS!A:K,3,FALSE) + IF(I267="Sí",VLOOKUP(D267,TARIFAS!A:K,5,FALSE),0),
         VLOOKUP(D267,TARIFAS!A:K,4,FALSE) + IF(I267="Sí",VLOOKUP(D267,TARIFAS!A:K,5,FALSE),0)
      ),
      IF(H267="Presencial",
         VLOOKUP(D267,TARIFAS!A:K,9,FALSE) + IF(I267="Sí",VLOOKUP(D267,TARIFAS!A:K,11,FALSE),0),
         VLOOKUP(D267,TARIFAS!A:K,10,FALSE) + IF(I267="Sí",VLOOKUP(D267,TARIFAS!A:K,11,FALSE),0)
      )
   )
)
</f>
        <v>0</v>
      </c>
      <c r="U267" s="45">
        <f>IF(R267="",0,MAX(0,R267 - TARIFAS!G$2) * TARIFAS!F$2)
</f>
        <v>0</v>
      </c>
      <c r="V267" s="45">
        <f>+T267*TARIFAS!$K$2</f>
        <v>0</v>
      </c>
      <c r="W267" s="45">
        <f t="shared" si="2"/>
        <v>0</v>
      </c>
      <c r="X267" s="45">
        <f t="shared" si="3"/>
        <v>0</v>
      </c>
      <c r="Y267" s="45">
        <f t="shared" si="4"/>
        <v>0</v>
      </c>
      <c r="Z267" s="42" t="str">
        <f>CONFERENCIAS!AB267</f>
        <v/>
      </c>
      <c r="AA267" s="42" t="str">
        <f>CONFERENCIAS!AC267</f>
        <v/>
      </c>
      <c r="AB267" s="47" t="str">
        <f t="shared" si="5"/>
        <v/>
      </c>
      <c r="AC267" s="9" t="str">
        <f t="shared" si="6"/>
        <v/>
      </c>
    </row>
    <row r="268">
      <c r="A268" s="42" t="str">
        <f>CONFERENCIAS!A268</f>
        <v/>
      </c>
      <c r="D268" s="42" t="str">
        <f>CONFERENCIAS!C268</f>
        <v/>
      </c>
      <c r="E268" s="42" t="str">
        <f>CONFERENCIAS!K268</f>
        <v/>
      </c>
      <c r="F268" s="49" t="str">
        <f>CONFERENCIAS!J268</f>
        <v/>
      </c>
      <c r="G268" s="42" t="str">
        <f>CONFERENCIAS!O268</f>
        <v/>
      </c>
      <c r="H268" s="42" t="str">
        <f>CONFERENCIAS!X268</f>
        <v/>
      </c>
      <c r="I268" s="42" t="str">
        <f>CONFERENCIAS!AA268</f>
        <v/>
      </c>
      <c r="J268" s="44" t="str">
        <f>CONFERENCIAS!P268</f>
        <v/>
      </c>
      <c r="K268" s="45" t="str">
        <f>CONFERENCIAS!R268</f>
        <v/>
      </c>
      <c r="L268" s="45">
        <f>IF(D268="",0,
 IF(E268=1,
   IF(H268="Presencial",
      VLOOKUP(D268,TARIFAS!A:K,3,FALSE) + IF(I268="Sí",VLOOKUP(D268,TARIFAS!A:K,5,FALSE),0),
      VLOOKUP(D268,TARIFAS!A:K,4,FALSE) + IF(I268="Sí",VLOOKUP(D268,TARIFAS!A:K,5,FALSE),0)
   ),
   IF(H268="Presencial",
      VLOOKUP(D268,TARIFAS!A:K,9,FALSE) + IF(I268="Sí",VLOOKUP(D268,TARIFAS!A:K,11,FALSE),0),
      VLOOKUP(D268,TARIFAS!A:K,10,FALSE) + IF(I268="Sí",VLOOKUP(D268,TARIFAS!A:K,11,FALSE),0)
   )
 )
)
</f>
        <v>0</v>
      </c>
      <c r="M268" s="45">
        <f>IF(J268="",0,MAX(0,J268 - TARIFAS!G$2) * TARIFAS!F$2)
</f>
        <v>0</v>
      </c>
      <c r="N268" s="45">
        <f>+L268*TARIFAS!$K$2</f>
        <v>0</v>
      </c>
      <c r="O268" s="45">
        <f t="shared" si="1"/>
        <v>0</v>
      </c>
      <c r="P268" s="45">
        <f>+M268+O268+K268+(+I268-(I268*TARIFAS!$K$2))</f>
        <v>0</v>
      </c>
      <c r="Q268" s="42" t="str">
        <f>CONFERENCIAS!T268</f>
        <v/>
      </c>
      <c r="R268" s="45" t="str">
        <f>CONFERENCIAS!U268</f>
        <v/>
      </c>
      <c r="S268" s="45" t="str">
        <f>CONFERENCIAS!W268</f>
        <v/>
      </c>
      <c r="T268" s="48">
        <f>IF(Q268="",0,
   IF(E268=1,
      IF(H268="Presencial",
         VLOOKUP(D268,TARIFAS!A:K,3,FALSE) + IF(I268="Sí",VLOOKUP(D268,TARIFAS!A:K,5,FALSE),0),
         VLOOKUP(D268,TARIFAS!A:K,4,FALSE) + IF(I268="Sí",VLOOKUP(D268,TARIFAS!A:K,5,FALSE),0)
      ),
      IF(H268="Presencial",
         VLOOKUP(D268,TARIFAS!A:K,9,FALSE) + IF(I268="Sí",VLOOKUP(D268,TARIFAS!A:K,11,FALSE),0),
         VLOOKUP(D268,TARIFAS!A:K,10,FALSE) + IF(I268="Sí",VLOOKUP(D268,TARIFAS!A:K,11,FALSE),0)
      )
   )
)
</f>
        <v>0</v>
      </c>
      <c r="U268" s="45">
        <f>IF(R268="",0,MAX(0,R268 - TARIFAS!G$2) * TARIFAS!F$2)
</f>
        <v>0</v>
      </c>
      <c r="V268" s="45">
        <f>+T268*TARIFAS!$K$2</f>
        <v>0</v>
      </c>
      <c r="W268" s="45">
        <f t="shared" si="2"/>
        <v>0</v>
      </c>
      <c r="X268" s="45">
        <f t="shared" si="3"/>
        <v>0</v>
      </c>
      <c r="Y268" s="45">
        <f t="shared" si="4"/>
        <v>0</v>
      </c>
      <c r="Z268" s="42" t="str">
        <f>CONFERENCIAS!AB268</f>
        <v/>
      </c>
      <c r="AA268" s="42" t="str">
        <f>CONFERENCIAS!AC268</f>
        <v/>
      </c>
      <c r="AB268" s="47" t="str">
        <f t="shared" si="5"/>
        <v/>
      </c>
      <c r="AC268" s="9" t="str">
        <f t="shared" si="6"/>
        <v/>
      </c>
    </row>
    <row r="269">
      <c r="A269" s="42" t="str">
        <f>CONFERENCIAS!A269</f>
        <v/>
      </c>
      <c r="D269" s="42" t="str">
        <f>CONFERENCIAS!C269</f>
        <v/>
      </c>
      <c r="E269" s="42" t="str">
        <f>CONFERENCIAS!K269</f>
        <v/>
      </c>
      <c r="F269" s="49" t="str">
        <f>CONFERENCIAS!J269</f>
        <v/>
      </c>
      <c r="G269" s="42" t="str">
        <f>CONFERENCIAS!O269</f>
        <v/>
      </c>
      <c r="H269" s="42" t="str">
        <f>CONFERENCIAS!X269</f>
        <v/>
      </c>
      <c r="I269" s="42" t="str">
        <f>CONFERENCIAS!AA269</f>
        <v/>
      </c>
      <c r="J269" s="44" t="str">
        <f>CONFERENCIAS!P269</f>
        <v/>
      </c>
      <c r="K269" s="45" t="str">
        <f>CONFERENCIAS!R269</f>
        <v/>
      </c>
      <c r="L269" s="45">
        <f>IF(D269="",0,
 IF(E269=1,
   IF(H269="Presencial",
      VLOOKUP(D269,TARIFAS!A:K,3,FALSE) + IF(I269="Sí",VLOOKUP(D269,TARIFAS!A:K,5,FALSE),0),
      VLOOKUP(D269,TARIFAS!A:K,4,FALSE) + IF(I269="Sí",VLOOKUP(D269,TARIFAS!A:K,5,FALSE),0)
   ),
   IF(H269="Presencial",
      VLOOKUP(D269,TARIFAS!A:K,9,FALSE) + IF(I269="Sí",VLOOKUP(D269,TARIFAS!A:K,11,FALSE),0),
      VLOOKUP(D269,TARIFAS!A:K,10,FALSE) + IF(I269="Sí",VLOOKUP(D269,TARIFAS!A:K,11,FALSE),0)
   )
 )
)
</f>
        <v>0</v>
      </c>
      <c r="M269" s="45">
        <f>IF(J269="",0,MAX(0,J269 - TARIFAS!G$2) * TARIFAS!F$2)
</f>
        <v>0</v>
      </c>
      <c r="N269" s="45">
        <f>+L269*TARIFAS!$K$2</f>
        <v>0</v>
      </c>
      <c r="O269" s="45">
        <f t="shared" si="1"/>
        <v>0</v>
      </c>
      <c r="P269" s="45">
        <f>+M269+O269+K269+(+I269-(I269*TARIFAS!$K$2))</f>
        <v>0</v>
      </c>
      <c r="Q269" s="42" t="str">
        <f>CONFERENCIAS!T269</f>
        <v/>
      </c>
      <c r="R269" s="45" t="str">
        <f>CONFERENCIAS!U269</f>
        <v/>
      </c>
      <c r="S269" s="45" t="str">
        <f>CONFERENCIAS!W269</f>
        <v/>
      </c>
      <c r="T269" s="48">
        <f>IF(Q269="",0,
   IF(E269=1,
      IF(H269="Presencial",
         VLOOKUP(D269,TARIFAS!A:K,3,FALSE) + IF(I269="Sí",VLOOKUP(D269,TARIFAS!A:K,5,FALSE),0),
         VLOOKUP(D269,TARIFAS!A:K,4,FALSE) + IF(I269="Sí",VLOOKUP(D269,TARIFAS!A:K,5,FALSE),0)
      ),
      IF(H269="Presencial",
         VLOOKUP(D269,TARIFAS!A:K,9,FALSE) + IF(I269="Sí",VLOOKUP(D269,TARIFAS!A:K,11,FALSE),0),
         VLOOKUP(D269,TARIFAS!A:K,10,FALSE) + IF(I269="Sí",VLOOKUP(D269,TARIFAS!A:K,11,FALSE),0)
      )
   )
)
</f>
        <v>0</v>
      </c>
      <c r="U269" s="45">
        <f>IF(R269="",0,MAX(0,R269 - TARIFAS!G$2) * TARIFAS!F$2)
</f>
        <v>0</v>
      </c>
      <c r="V269" s="45">
        <f>+T269*TARIFAS!$K$2</f>
        <v>0</v>
      </c>
      <c r="W269" s="45">
        <f t="shared" si="2"/>
        <v>0</v>
      </c>
      <c r="X269" s="45">
        <f t="shared" si="3"/>
        <v>0</v>
      </c>
      <c r="Y269" s="45">
        <f t="shared" si="4"/>
        <v>0</v>
      </c>
      <c r="Z269" s="42" t="str">
        <f>CONFERENCIAS!AB269</f>
        <v/>
      </c>
      <c r="AA269" s="42" t="str">
        <f>CONFERENCIAS!AC269</f>
        <v/>
      </c>
      <c r="AB269" s="47" t="str">
        <f t="shared" si="5"/>
        <v/>
      </c>
      <c r="AC269" s="9" t="str">
        <f t="shared" si="6"/>
        <v/>
      </c>
    </row>
    <row r="270">
      <c r="A270" s="42" t="str">
        <f>CONFERENCIAS!A270</f>
        <v/>
      </c>
      <c r="D270" s="42" t="str">
        <f>CONFERENCIAS!C270</f>
        <v/>
      </c>
      <c r="E270" s="42" t="str">
        <f>CONFERENCIAS!K270</f>
        <v/>
      </c>
      <c r="F270" s="49" t="str">
        <f>CONFERENCIAS!J270</f>
        <v/>
      </c>
      <c r="G270" s="42" t="str">
        <f>CONFERENCIAS!O270</f>
        <v/>
      </c>
      <c r="H270" s="42" t="str">
        <f>CONFERENCIAS!X270</f>
        <v/>
      </c>
      <c r="I270" s="42" t="str">
        <f>CONFERENCIAS!AA270</f>
        <v/>
      </c>
      <c r="J270" s="44" t="str">
        <f>CONFERENCIAS!P270</f>
        <v/>
      </c>
      <c r="K270" s="45" t="str">
        <f>CONFERENCIAS!R270</f>
        <v/>
      </c>
      <c r="L270" s="45">
        <f>IF(D270="",0,
 IF(E270=1,
   IF(H270="Presencial",
      VLOOKUP(D270,TARIFAS!A:K,3,FALSE) + IF(I270="Sí",VLOOKUP(D270,TARIFAS!A:K,5,FALSE),0),
      VLOOKUP(D270,TARIFAS!A:K,4,FALSE) + IF(I270="Sí",VLOOKUP(D270,TARIFAS!A:K,5,FALSE),0)
   ),
   IF(H270="Presencial",
      VLOOKUP(D270,TARIFAS!A:K,9,FALSE) + IF(I270="Sí",VLOOKUP(D270,TARIFAS!A:K,11,FALSE),0),
      VLOOKUP(D270,TARIFAS!A:K,10,FALSE) + IF(I270="Sí",VLOOKUP(D270,TARIFAS!A:K,11,FALSE),0)
   )
 )
)
</f>
        <v>0</v>
      </c>
      <c r="M270" s="45">
        <f>IF(J270="",0,MAX(0,J270 - TARIFAS!G$2) * TARIFAS!F$2)
</f>
        <v>0</v>
      </c>
      <c r="N270" s="45">
        <f>+L270*TARIFAS!$K$2</f>
        <v>0</v>
      </c>
      <c r="O270" s="45">
        <f t="shared" si="1"/>
        <v>0</v>
      </c>
      <c r="P270" s="45">
        <f>+M270+O270+K270+(+I270-(I270*TARIFAS!$K$2))</f>
        <v>0</v>
      </c>
      <c r="Q270" s="42" t="str">
        <f>CONFERENCIAS!T270</f>
        <v/>
      </c>
      <c r="R270" s="45" t="str">
        <f>CONFERENCIAS!U270</f>
        <v/>
      </c>
      <c r="S270" s="45" t="str">
        <f>CONFERENCIAS!W270</f>
        <v/>
      </c>
      <c r="T270" s="48">
        <f>IF(Q270="",0,
   IF(E270=1,
      IF(H270="Presencial",
         VLOOKUP(D270,TARIFAS!A:K,3,FALSE) + IF(I270="Sí",VLOOKUP(D270,TARIFAS!A:K,5,FALSE),0),
         VLOOKUP(D270,TARIFAS!A:K,4,FALSE) + IF(I270="Sí",VLOOKUP(D270,TARIFAS!A:K,5,FALSE),0)
      ),
      IF(H270="Presencial",
         VLOOKUP(D270,TARIFAS!A:K,9,FALSE) + IF(I270="Sí",VLOOKUP(D270,TARIFAS!A:K,11,FALSE),0),
         VLOOKUP(D270,TARIFAS!A:K,10,FALSE) + IF(I270="Sí",VLOOKUP(D270,TARIFAS!A:K,11,FALSE),0)
      )
   )
)
</f>
        <v>0</v>
      </c>
      <c r="U270" s="45">
        <f>IF(R270="",0,MAX(0,R270 - TARIFAS!G$2) * TARIFAS!F$2)
</f>
        <v>0</v>
      </c>
      <c r="V270" s="45">
        <f>+T270*TARIFAS!$K$2</f>
        <v>0</v>
      </c>
      <c r="W270" s="45">
        <f t="shared" si="2"/>
        <v>0</v>
      </c>
      <c r="X270" s="45">
        <f t="shared" si="3"/>
        <v>0</v>
      </c>
      <c r="Y270" s="45">
        <f t="shared" si="4"/>
        <v>0</v>
      </c>
      <c r="Z270" s="42" t="str">
        <f>CONFERENCIAS!AB270</f>
        <v/>
      </c>
      <c r="AA270" s="42" t="str">
        <f>CONFERENCIAS!AC270</f>
        <v/>
      </c>
      <c r="AB270" s="47" t="str">
        <f t="shared" si="5"/>
        <v/>
      </c>
      <c r="AC270" s="9" t="str">
        <f t="shared" si="6"/>
        <v/>
      </c>
    </row>
    <row r="271">
      <c r="A271" s="42" t="str">
        <f>CONFERENCIAS!A271</f>
        <v/>
      </c>
      <c r="D271" s="42" t="str">
        <f>CONFERENCIAS!C271</f>
        <v/>
      </c>
      <c r="E271" s="42" t="str">
        <f>CONFERENCIAS!K271</f>
        <v/>
      </c>
      <c r="F271" s="49" t="str">
        <f>CONFERENCIAS!J271</f>
        <v/>
      </c>
      <c r="G271" s="42" t="str">
        <f>CONFERENCIAS!O271</f>
        <v/>
      </c>
      <c r="H271" s="42" t="str">
        <f>CONFERENCIAS!X271</f>
        <v/>
      </c>
      <c r="I271" s="42" t="str">
        <f>CONFERENCIAS!AA271</f>
        <v/>
      </c>
      <c r="J271" s="44" t="str">
        <f>CONFERENCIAS!P271</f>
        <v/>
      </c>
      <c r="K271" s="45" t="str">
        <f>CONFERENCIAS!R271</f>
        <v/>
      </c>
      <c r="L271" s="45">
        <f>IF(D271="",0,
 IF(E271=1,
   IF(H271="Presencial",
      VLOOKUP(D271,TARIFAS!A:K,3,FALSE) + IF(I271="Sí",VLOOKUP(D271,TARIFAS!A:K,5,FALSE),0),
      VLOOKUP(D271,TARIFAS!A:K,4,FALSE) + IF(I271="Sí",VLOOKUP(D271,TARIFAS!A:K,5,FALSE),0)
   ),
   IF(H271="Presencial",
      VLOOKUP(D271,TARIFAS!A:K,9,FALSE) + IF(I271="Sí",VLOOKUP(D271,TARIFAS!A:K,11,FALSE),0),
      VLOOKUP(D271,TARIFAS!A:K,10,FALSE) + IF(I271="Sí",VLOOKUP(D271,TARIFAS!A:K,11,FALSE),0)
   )
 )
)
</f>
        <v>0</v>
      </c>
      <c r="M271" s="45">
        <f>IF(J271="",0,MAX(0,J271 - TARIFAS!G$2) * TARIFAS!F$2)
</f>
        <v>0</v>
      </c>
      <c r="N271" s="45">
        <f>+L271*TARIFAS!$K$2</f>
        <v>0</v>
      </c>
      <c r="O271" s="45">
        <f t="shared" si="1"/>
        <v>0</v>
      </c>
      <c r="P271" s="45">
        <f>+M271+O271+K271+(+I271-(I271*TARIFAS!$K$2))</f>
        <v>0</v>
      </c>
      <c r="Q271" s="42" t="str">
        <f>CONFERENCIAS!T271</f>
        <v/>
      </c>
      <c r="R271" s="45" t="str">
        <f>CONFERENCIAS!U271</f>
        <v/>
      </c>
      <c r="S271" s="45" t="str">
        <f>CONFERENCIAS!W271</f>
        <v/>
      </c>
      <c r="T271" s="48">
        <f>IF(Q271="",0,
   IF(E271=1,
      IF(H271="Presencial",
         VLOOKUP(D271,TARIFAS!A:K,3,FALSE) + IF(I271="Sí",VLOOKUP(D271,TARIFAS!A:K,5,FALSE),0),
         VLOOKUP(D271,TARIFAS!A:K,4,FALSE) + IF(I271="Sí",VLOOKUP(D271,TARIFAS!A:K,5,FALSE),0)
      ),
      IF(H271="Presencial",
         VLOOKUP(D271,TARIFAS!A:K,9,FALSE) + IF(I271="Sí",VLOOKUP(D271,TARIFAS!A:K,11,FALSE),0),
         VLOOKUP(D271,TARIFAS!A:K,10,FALSE) + IF(I271="Sí",VLOOKUP(D271,TARIFAS!A:K,11,FALSE),0)
      )
   )
)
</f>
        <v>0</v>
      </c>
      <c r="U271" s="45">
        <f>IF(R271="",0,MAX(0,R271 - TARIFAS!G$2) * TARIFAS!F$2)
</f>
        <v>0</v>
      </c>
      <c r="V271" s="45">
        <f>+T271*TARIFAS!$K$2</f>
        <v>0</v>
      </c>
      <c r="W271" s="45">
        <f t="shared" si="2"/>
        <v>0</v>
      </c>
      <c r="X271" s="45">
        <f t="shared" si="3"/>
        <v>0</v>
      </c>
      <c r="Y271" s="45">
        <f t="shared" si="4"/>
        <v>0</v>
      </c>
      <c r="Z271" s="42" t="str">
        <f>CONFERENCIAS!AB271</f>
        <v/>
      </c>
      <c r="AA271" s="42" t="str">
        <f>CONFERENCIAS!AC271</f>
        <v/>
      </c>
      <c r="AB271" s="47" t="str">
        <f t="shared" si="5"/>
        <v/>
      </c>
      <c r="AC271" s="9" t="str">
        <f t="shared" si="6"/>
        <v/>
      </c>
    </row>
    <row r="272">
      <c r="A272" s="42" t="str">
        <f>CONFERENCIAS!A272</f>
        <v/>
      </c>
      <c r="D272" s="42" t="str">
        <f>CONFERENCIAS!C272</f>
        <v/>
      </c>
      <c r="E272" s="42" t="str">
        <f>CONFERENCIAS!K272</f>
        <v/>
      </c>
      <c r="F272" s="49" t="str">
        <f>CONFERENCIAS!J272</f>
        <v/>
      </c>
      <c r="G272" s="42" t="str">
        <f>CONFERENCIAS!O272</f>
        <v/>
      </c>
      <c r="H272" s="42" t="str">
        <f>CONFERENCIAS!X272</f>
        <v/>
      </c>
      <c r="I272" s="42" t="str">
        <f>CONFERENCIAS!AA272</f>
        <v/>
      </c>
      <c r="J272" s="44" t="str">
        <f>CONFERENCIAS!P272</f>
        <v/>
      </c>
      <c r="K272" s="45" t="str">
        <f>CONFERENCIAS!R272</f>
        <v/>
      </c>
      <c r="L272" s="45">
        <f>IF(D272="",0,
 IF(E272=1,
   IF(H272="Presencial",
      VLOOKUP(D272,TARIFAS!A:K,3,FALSE) + IF(I272="Sí",VLOOKUP(D272,TARIFAS!A:K,5,FALSE),0),
      VLOOKUP(D272,TARIFAS!A:K,4,FALSE) + IF(I272="Sí",VLOOKUP(D272,TARIFAS!A:K,5,FALSE),0)
   ),
   IF(H272="Presencial",
      VLOOKUP(D272,TARIFAS!A:K,9,FALSE) + IF(I272="Sí",VLOOKUP(D272,TARIFAS!A:K,11,FALSE),0),
      VLOOKUP(D272,TARIFAS!A:K,10,FALSE) + IF(I272="Sí",VLOOKUP(D272,TARIFAS!A:K,11,FALSE),0)
   )
 )
)
</f>
        <v>0</v>
      </c>
      <c r="M272" s="45">
        <f>IF(J272="",0,MAX(0,J272 - TARIFAS!G$2) * TARIFAS!F$2)
</f>
        <v>0</v>
      </c>
      <c r="N272" s="45">
        <f>+L272*TARIFAS!$K$2</f>
        <v>0</v>
      </c>
      <c r="O272" s="45">
        <f t="shared" si="1"/>
        <v>0</v>
      </c>
      <c r="P272" s="45">
        <f>+M272+O272+K272+(+I272-(I272*TARIFAS!$K$2))</f>
        <v>0</v>
      </c>
      <c r="Q272" s="42" t="str">
        <f>CONFERENCIAS!T272</f>
        <v/>
      </c>
      <c r="R272" s="45" t="str">
        <f>CONFERENCIAS!U272</f>
        <v/>
      </c>
      <c r="S272" s="45" t="str">
        <f>CONFERENCIAS!W272</f>
        <v/>
      </c>
      <c r="T272" s="48">
        <f>IF(Q272="",0,
   IF(E272=1,
      IF(H272="Presencial",
         VLOOKUP(D272,TARIFAS!A:K,3,FALSE) + IF(I272="Sí",VLOOKUP(D272,TARIFAS!A:K,5,FALSE),0),
         VLOOKUP(D272,TARIFAS!A:K,4,FALSE) + IF(I272="Sí",VLOOKUP(D272,TARIFAS!A:K,5,FALSE),0)
      ),
      IF(H272="Presencial",
         VLOOKUP(D272,TARIFAS!A:K,9,FALSE) + IF(I272="Sí",VLOOKUP(D272,TARIFAS!A:K,11,FALSE),0),
         VLOOKUP(D272,TARIFAS!A:K,10,FALSE) + IF(I272="Sí",VLOOKUP(D272,TARIFAS!A:K,11,FALSE),0)
      )
   )
)
</f>
        <v>0</v>
      </c>
      <c r="U272" s="45">
        <f>IF(R272="",0,MAX(0,R272 - TARIFAS!G$2) * TARIFAS!F$2)
</f>
        <v>0</v>
      </c>
      <c r="V272" s="45">
        <f>+T272*TARIFAS!$K$2</f>
        <v>0</v>
      </c>
      <c r="W272" s="45">
        <f t="shared" si="2"/>
        <v>0</v>
      </c>
      <c r="X272" s="45">
        <f t="shared" si="3"/>
        <v>0</v>
      </c>
      <c r="Y272" s="45">
        <f t="shared" si="4"/>
        <v>0</v>
      </c>
      <c r="Z272" s="42" t="str">
        <f>CONFERENCIAS!AB272</f>
        <v/>
      </c>
      <c r="AA272" s="42" t="str">
        <f>CONFERENCIAS!AC272</f>
        <v/>
      </c>
      <c r="AB272" s="47" t="str">
        <f t="shared" si="5"/>
        <v/>
      </c>
      <c r="AC272" s="9" t="str">
        <f t="shared" si="6"/>
        <v/>
      </c>
    </row>
    <row r="273">
      <c r="A273" s="42" t="str">
        <f>CONFERENCIAS!A273</f>
        <v/>
      </c>
      <c r="D273" s="42" t="str">
        <f>CONFERENCIAS!C273</f>
        <v/>
      </c>
      <c r="E273" s="42" t="str">
        <f>CONFERENCIAS!K273</f>
        <v/>
      </c>
      <c r="F273" s="49" t="str">
        <f>CONFERENCIAS!J273</f>
        <v/>
      </c>
      <c r="G273" s="42" t="str">
        <f>CONFERENCIAS!O273</f>
        <v/>
      </c>
      <c r="H273" s="42" t="str">
        <f>CONFERENCIAS!X273</f>
        <v/>
      </c>
      <c r="I273" s="42" t="str">
        <f>CONFERENCIAS!AA273</f>
        <v/>
      </c>
      <c r="J273" s="44" t="str">
        <f>CONFERENCIAS!P273</f>
        <v/>
      </c>
      <c r="K273" s="45" t="str">
        <f>CONFERENCIAS!R273</f>
        <v/>
      </c>
      <c r="L273" s="45">
        <f>IF(D273="",0,
 IF(E273=1,
   IF(H273="Presencial",
      VLOOKUP(D273,TARIFAS!A:K,3,FALSE) + IF(I273="Sí",VLOOKUP(D273,TARIFAS!A:K,5,FALSE),0),
      VLOOKUP(D273,TARIFAS!A:K,4,FALSE) + IF(I273="Sí",VLOOKUP(D273,TARIFAS!A:K,5,FALSE),0)
   ),
   IF(H273="Presencial",
      VLOOKUP(D273,TARIFAS!A:K,9,FALSE) + IF(I273="Sí",VLOOKUP(D273,TARIFAS!A:K,11,FALSE),0),
      VLOOKUP(D273,TARIFAS!A:K,10,FALSE) + IF(I273="Sí",VLOOKUP(D273,TARIFAS!A:K,11,FALSE),0)
   )
 )
)
</f>
        <v>0</v>
      </c>
      <c r="M273" s="45">
        <f>IF(J273="",0,MAX(0,J273 - TARIFAS!G$2) * TARIFAS!F$2)
</f>
        <v>0</v>
      </c>
      <c r="N273" s="45">
        <f>+L273*TARIFAS!$K$2</f>
        <v>0</v>
      </c>
      <c r="O273" s="45">
        <f t="shared" si="1"/>
        <v>0</v>
      </c>
      <c r="P273" s="45">
        <f>+M273+O273+K273+(+I273-(I273*TARIFAS!$K$2))</f>
        <v>0</v>
      </c>
      <c r="Q273" s="42" t="str">
        <f>CONFERENCIAS!T273</f>
        <v/>
      </c>
      <c r="R273" s="45" t="str">
        <f>CONFERENCIAS!U273</f>
        <v/>
      </c>
      <c r="S273" s="45" t="str">
        <f>CONFERENCIAS!W273</f>
        <v/>
      </c>
      <c r="T273" s="48">
        <f>IF(Q273="",0,
   IF(E273=1,
      IF(H273="Presencial",
         VLOOKUP(D273,TARIFAS!A:K,3,FALSE) + IF(I273="Sí",VLOOKUP(D273,TARIFAS!A:K,5,FALSE),0),
         VLOOKUP(D273,TARIFAS!A:K,4,FALSE) + IF(I273="Sí",VLOOKUP(D273,TARIFAS!A:K,5,FALSE),0)
      ),
      IF(H273="Presencial",
         VLOOKUP(D273,TARIFAS!A:K,9,FALSE) + IF(I273="Sí",VLOOKUP(D273,TARIFAS!A:K,11,FALSE),0),
         VLOOKUP(D273,TARIFAS!A:K,10,FALSE) + IF(I273="Sí",VLOOKUP(D273,TARIFAS!A:K,11,FALSE),0)
      )
   )
)
</f>
        <v>0</v>
      </c>
      <c r="U273" s="45">
        <f>IF(R273="",0,MAX(0,R273 - TARIFAS!G$2) * TARIFAS!F$2)
</f>
        <v>0</v>
      </c>
      <c r="V273" s="45">
        <f>+T273*TARIFAS!$K$2</f>
        <v>0</v>
      </c>
      <c r="W273" s="45">
        <f t="shared" si="2"/>
        <v>0</v>
      </c>
      <c r="X273" s="45">
        <f t="shared" si="3"/>
        <v>0</v>
      </c>
      <c r="Y273" s="45">
        <f t="shared" si="4"/>
        <v>0</v>
      </c>
      <c r="Z273" s="42" t="str">
        <f>CONFERENCIAS!AB273</f>
        <v/>
      </c>
      <c r="AA273" s="42" t="str">
        <f>CONFERENCIAS!AC273</f>
        <v/>
      </c>
      <c r="AB273" s="47" t="str">
        <f t="shared" si="5"/>
        <v/>
      </c>
      <c r="AC273" s="9" t="str">
        <f t="shared" si="6"/>
        <v/>
      </c>
    </row>
    <row r="274">
      <c r="A274" s="42" t="str">
        <f>CONFERENCIAS!A274</f>
        <v/>
      </c>
      <c r="D274" s="42" t="str">
        <f>CONFERENCIAS!C274</f>
        <v/>
      </c>
      <c r="E274" s="42" t="str">
        <f>CONFERENCIAS!K274</f>
        <v/>
      </c>
      <c r="F274" s="49" t="str">
        <f>CONFERENCIAS!J274</f>
        <v/>
      </c>
      <c r="G274" s="42" t="str">
        <f>CONFERENCIAS!O274</f>
        <v/>
      </c>
      <c r="H274" s="42" t="str">
        <f>CONFERENCIAS!X274</f>
        <v/>
      </c>
      <c r="I274" s="42" t="str">
        <f>CONFERENCIAS!AA274</f>
        <v/>
      </c>
      <c r="J274" s="44" t="str">
        <f>CONFERENCIAS!P274</f>
        <v/>
      </c>
      <c r="K274" s="45" t="str">
        <f>CONFERENCIAS!R274</f>
        <v/>
      </c>
      <c r="L274" s="45">
        <f>IF(D274="",0,
 IF(E274=1,
   IF(H274="Presencial",
      VLOOKUP(D274,TARIFAS!A:K,3,FALSE) + IF(I274="Sí",VLOOKUP(D274,TARIFAS!A:K,5,FALSE),0),
      VLOOKUP(D274,TARIFAS!A:K,4,FALSE) + IF(I274="Sí",VLOOKUP(D274,TARIFAS!A:K,5,FALSE),0)
   ),
   IF(H274="Presencial",
      VLOOKUP(D274,TARIFAS!A:K,9,FALSE) + IF(I274="Sí",VLOOKUP(D274,TARIFAS!A:K,11,FALSE),0),
      VLOOKUP(D274,TARIFAS!A:K,10,FALSE) + IF(I274="Sí",VLOOKUP(D274,TARIFAS!A:K,11,FALSE),0)
   )
 )
)
</f>
        <v>0</v>
      </c>
      <c r="M274" s="45">
        <f>IF(J274="",0,MAX(0,J274 - TARIFAS!G$2) * TARIFAS!F$2)
</f>
        <v>0</v>
      </c>
      <c r="N274" s="45">
        <f>+L274*TARIFAS!$K$2</f>
        <v>0</v>
      </c>
      <c r="O274" s="45">
        <f t="shared" si="1"/>
        <v>0</v>
      </c>
      <c r="P274" s="45">
        <f>+M274+O274+K274+(+I274-(I274*TARIFAS!$K$2))</f>
        <v>0</v>
      </c>
      <c r="Q274" s="42" t="str">
        <f>CONFERENCIAS!T274</f>
        <v/>
      </c>
      <c r="R274" s="45" t="str">
        <f>CONFERENCIAS!U274</f>
        <v/>
      </c>
      <c r="S274" s="45" t="str">
        <f>CONFERENCIAS!W274</f>
        <v/>
      </c>
      <c r="T274" s="48">
        <f>IF(Q274="",0,
   IF(E274=1,
      IF(H274="Presencial",
         VLOOKUP(D274,TARIFAS!A:K,3,FALSE) + IF(I274="Sí",VLOOKUP(D274,TARIFAS!A:K,5,FALSE),0),
         VLOOKUP(D274,TARIFAS!A:K,4,FALSE) + IF(I274="Sí",VLOOKUP(D274,TARIFAS!A:K,5,FALSE),0)
      ),
      IF(H274="Presencial",
         VLOOKUP(D274,TARIFAS!A:K,9,FALSE) + IF(I274="Sí",VLOOKUP(D274,TARIFAS!A:K,11,FALSE),0),
         VLOOKUP(D274,TARIFAS!A:K,10,FALSE) + IF(I274="Sí",VLOOKUP(D274,TARIFAS!A:K,11,FALSE),0)
      )
   )
)
</f>
        <v>0</v>
      </c>
      <c r="U274" s="45">
        <f>IF(R274="",0,MAX(0,R274 - TARIFAS!G$2) * TARIFAS!F$2)
</f>
        <v>0</v>
      </c>
      <c r="V274" s="45">
        <f>+T274*TARIFAS!$K$2</f>
        <v>0</v>
      </c>
      <c r="W274" s="45">
        <f t="shared" si="2"/>
        <v>0</v>
      </c>
      <c r="X274" s="45">
        <f t="shared" si="3"/>
        <v>0</v>
      </c>
      <c r="Y274" s="45">
        <f t="shared" si="4"/>
        <v>0</v>
      </c>
      <c r="Z274" s="42" t="str">
        <f>CONFERENCIAS!AB274</f>
        <v/>
      </c>
      <c r="AA274" s="42" t="str">
        <f>CONFERENCIAS!AC274</f>
        <v/>
      </c>
      <c r="AB274" s="47" t="str">
        <f t="shared" si="5"/>
        <v/>
      </c>
      <c r="AC274" s="9" t="str">
        <f t="shared" si="6"/>
        <v/>
      </c>
    </row>
    <row r="275">
      <c r="A275" s="42" t="str">
        <f>CONFERENCIAS!A275</f>
        <v/>
      </c>
      <c r="D275" s="42" t="str">
        <f>CONFERENCIAS!C275</f>
        <v/>
      </c>
      <c r="E275" s="42" t="str">
        <f>CONFERENCIAS!K275</f>
        <v/>
      </c>
      <c r="F275" s="49" t="str">
        <f>CONFERENCIAS!J275</f>
        <v/>
      </c>
      <c r="G275" s="42" t="str">
        <f>CONFERENCIAS!O275</f>
        <v/>
      </c>
      <c r="H275" s="42" t="str">
        <f>CONFERENCIAS!X275</f>
        <v/>
      </c>
      <c r="I275" s="42" t="str">
        <f>CONFERENCIAS!AA275</f>
        <v/>
      </c>
      <c r="J275" s="44" t="str">
        <f>CONFERENCIAS!P275</f>
        <v/>
      </c>
      <c r="K275" s="45" t="str">
        <f>CONFERENCIAS!R275</f>
        <v/>
      </c>
      <c r="L275" s="45">
        <f>IF(D275="",0,
 IF(E275=1,
   IF(H275="Presencial",
      VLOOKUP(D275,TARIFAS!A:K,3,FALSE) + IF(I275="Sí",VLOOKUP(D275,TARIFAS!A:K,5,FALSE),0),
      VLOOKUP(D275,TARIFAS!A:K,4,FALSE) + IF(I275="Sí",VLOOKUP(D275,TARIFAS!A:K,5,FALSE),0)
   ),
   IF(H275="Presencial",
      VLOOKUP(D275,TARIFAS!A:K,9,FALSE) + IF(I275="Sí",VLOOKUP(D275,TARIFAS!A:K,11,FALSE),0),
      VLOOKUP(D275,TARIFAS!A:K,10,FALSE) + IF(I275="Sí",VLOOKUP(D275,TARIFAS!A:K,11,FALSE),0)
   )
 )
)
</f>
        <v>0</v>
      </c>
      <c r="M275" s="45">
        <f>IF(J275="",0,MAX(0,J275 - TARIFAS!G$2) * TARIFAS!F$2)
</f>
        <v>0</v>
      </c>
      <c r="N275" s="45">
        <f>+L275*TARIFAS!$K$2</f>
        <v>0</v>
      </c>
      <c r="O275" s="45">
        <f t="shared" si="1"/>
        <v>0</v>
      </c>
      <c r="P275" s="45">
        <f>+M275+O275+K275+(+I275-(I275*TARIFAS!$K$2))</f>
        <v>0</v>
      </c>
      <c r="Q275" s="42" t="str">
        <f>CONFERENCIAS!T275</f>
        <v/>
      </c>
      <c r="R275" s="45" t="str">
        <f>CONFERENCIAS!U275</f>
        <v/>
      </c>
      <c r="S275" s="45" t="str">
        <f>CONFERENCIAS!W275</f>
        <v/>
      </c>
      <c r="T275" s="48">
        <f>IF(Q275="",0,
   IF(E275=1,
      IF(H275="Presencial",
         VLOOKUP(D275,TARIFAS!A:K,3,FALSE) + IF(I275="Sí",VLOOKUP(D275,TARIFAS!A:K,5,FALSE),0),
         VLOOKUP(D275,TARIFAS!A:K,4,FALSE) + IF(I275="Sí",VLOOKUP(D275,TARIFAS!A:K,5,FALSE),0)
      ),
      IF(H275="Presencial",
         VLOOKUP(D275,TARIFAS!A:K,9,FALSE) + IF(I275="Sí",VLOOKUP(D275,TARIFAS!A:K,11,FALSE),0),
         VLOOKUP(D275,TARIFAS!A:K,10,FALSE) + IF(I275="Sí",VLOOKUP(D275,TARIFAS!A:K,11,FALSE),0)
      )
   )
)
</f>
        <v>0</v>
      </c>
      <c r="U275" s="45">
        <f>IF(R275="",0,MAX(0,R275 - TARIFAS!G$2) * TARIFAS!F$2)
</f>
        <v>0</v>
      </c>
      <c r="V275" s="45">
        <f>+T275*TARIFAS!$K$2</f>
        <v>0</v>
      </c>
      <c r="W275" s="45">
        <f t="shared" si="2"/>
        <v>0</v>
      </c>
      <c r="X275" s="45">
        <f t="shared" si="3"/>
        <v>0</v>
      </c>
      <c r="Y275" s="45">
        <f t="shared" si="4"/>
        <v>0</v>
      </c>
      <c r="Z275" s="42" t="str">
        <f>CONFERENCIAS!AB275</f>
        <v/>
      </c>
      <c r="AA275" s="42" t="str">
        <f>CONFERENCIAS!AC275</f>
        <v/>
      </c>
      <c r="AB275" s="47" t="str">
        <f t="shared" si="5"/>
        <v/>
      </c>
      <c r="AC275" s="9" t="str">
        <f t="shared" si="6"/>
        <v/>
      </c>
    </row>
    <row r="276">
      <c r="A276" s="42" t="str">
        <f>CONFERENCIAS!A276</f>
        <v/>
      </c>
      <c r="D276" s="42" t="str">
        <f>CONFERENCIAS!C276</f>
        <v/>
      </c>
      <c r="E276" s="42" t="str">
        <f>CONFERENCIAS!K276</f>
        <v/>
      </c>
      <c r="F276" s="49" t="str">
        <f>CONFERENCIAS!J276</f>
        <v/>
      </c>
      <c r="G276" s="42" t="str">
        <f>CONFERENCIAS!O276</f>
        <v/>
      </c>
      <c r="H276" s="42" t="str">
        <f>CONFERENCIAS!X276</f>
        <v/>
      </c>
      <c r="I276" s="42" t="str">
        <f>CONFERENCIAS!AA276</f>
        <v/>
      </c>
      <c r="J276" s="44" t="str">
        <f>CONFERENCIAS!P276</f>
        <v/>
      </c>
      <c r="K276" s="45" t="str">
        <f>CONFERENCIAS!R276</f>
        <v/>
      </c>
      <c r="L276" s="45">
        <f>IF(D276="",0,
 IF(E276=1,
   IF(H276="Presencial",
      VLOOKUP(D276,TARIFAS!A:K,3,FALSE) + IF(I276="Sí",VLOOKUP(D276,TARIFAS!A:K,5,FALSE),0),
      VLOOKUP(D276,TARIFAS!A:K,4,FALSE) + IF(I276="Sí",VLOOKUP(D276,TARIFAS!A:K,5,FALSE),0)
   ),
   IF(H276="Presencial",
      VLOOKUP(D276,TARIFAS!A:K,9,FALSE) + IF(I276="Sí",VLOOKUP(D276,TARIFAS!A:K,11,FALSE),0),
      VLOOKUP(D276,TARIFAS!A:K,10,FALSE) + IF(I276="Sí",VLOOKUP(D276,TARIFAS!A:K,11,FALSE),0)
   )
 )
)
</f>
        <v>0</v>
      </c>
      <c r="M276" s="45">
        <f>IF(J276="",0,MAX(0,J276 - TARIFAS!G$2) * TARIFAS!F$2)
</f>
        <v>0</v>
      </c>
      <c r="N276" s="45">
        <f>+L276*TARIFAS!$K$2</f>
        <v>0</v>
      </c>
      <c r="O276" s="45">
        <f t="shared" si="1"/>
        <v>0</v>
      </c>
      <c r="P276" s="45">
        <f>+M276+O276+K276+(+I276-(I276*TARIFAS!$K$2))</f>
        <v>0</v>
      </c>
      <c r="Q276" s="42" t="str">
        <f>CONFERENCIAS!T276</f>
        <v/>
      </c>
      <c r="R276" s="45" t="str">
        <f>CONFERENCIAS!U276</f>
        <v/>
      </c>
      <c r="S276" s="45" t="str">
        <f>CONFERENCIAS!W276</f>
        <v/>
      </c>
      <c r="T276" s="48">
        <f>IF(Q276="",0,
   IF(E276=1,
      IF(H276="Presencial",
         VLOOKUP(D276,TARIFAS!A:K,3,FALSE) + IF(I276="Sí",VLOOKUP(D276,TARIFAS!A:K,5,FALSE),0),
         VLOOKUP(D276,TARIFAS!A:K,4,FALSE) + IF(I276="Sí",VLOOKUP(D276,TARIFAS!A:K,5,FALSE),0)
      ),
      IF(H276="Presencial",
         VLOOKUP(D276,TARIFAS!A:K,9,FALSE) + IF(I276="Sí",VLOOKUP(D276,TARIFAS!A:K,11,FALSE),0),
         VLOOKUP(D276,TARIFAS!A:K,10,FALSE) + IF(I276="Sí",VLOOKUP(D276,TARIFAS!A:K,11,FALSE),0)
      )
   )
)
</f>
        <v>0</v>
      </c>
      <c r="U276" s="45">
        <f>IF(R276="",0,MAX(0,R276 - TARIFAS!G$2) * TARIFAS!F$2)
</f>
        <v>0</v>
      </c>
      <c r="V276" s="45">
        <f>+T276*TARIFAS!$K$2</f>
        <v>0</v>
      </c>
      <c r="W276" s="45">
        <f t="shared" si="2"/>
        <v>0</v>
      </c>
      <c r="X276" s="45">
        <f t="shared" si="3"/>
        <v>0</v>
      </c>
      <c r="Y276" s="45">
        <f t="shared" si="4"/>
        <v>0</v>
      </c>
      <c r="Z276" s="42" t="str">
        <f>CONFERENCIAS!AB276</f>
        <v/>
      </c>
      <c r="AA276" s="42" t="str">
        <f>CONFERENCIAS!AC276</f>
        <v/>
      </c>
      <c r="AB276" s="47" t="str">
        <f t="shared" si="5"/>
        <v/>
      </c>
      <c r="AC276" s="9" t="str">
        <f t="shared" si="6"/>
        <v/>
      </c>
    </row>
    <row r="277">
      <c r="A277" s="42" t="str">
        <f>CONFERENCIAS!A277</f>
        <v/>
      </c>
      <c r="D277" s="42" t="str">
        <f>CONFERENCIAS!C277</f>
        <v/>
      </c>
      <c r="E277" s="42" t="str">
        <f>CONFERENCIAS!K277</f>
        <v/>
      </c>
      <c r="F277" s="49" t="str">
        <f>CONFERENCIAS!J277</f>
        <v/>
      </c>
      <c r="G277" s="42" t="str">
        <f>CONFERENCIAS!O277</f>
        <v/>
      </c>
      <c r="H277" s="42" t="str">
        <f>CONFERENCIAS!X277</f>
        <v/>
      </c>
      <c r="I277" s="42" t="str">
        <f>CONFERENCIAS!AA277</f>
        <v/>
      </c>
      <c r="J277" s="44" t="str">
        <f>CONFERENCIAS!P277</f>
        <v/>
      </c>
      <c r="K277" s="45" t="str">
        <f>CONFERENCIAS!R277</f>
        <v/>
      </c>
      <c r="L277" s="45">
        <f>IF(D277="",0,
 IF(E277=1,
   IF(H277="Presencial",
      VLOOKUP(D277,TARIFAS!A:K,3,FALSE) + IF(I277="Sí",VLOOKUP(D277,TARIFAS!A:K,5,FALSE),0),
      VLOOKUP(D277,TARIFAS!A:K,4,FALSE) + IF(I277="Sí",VLOOKUP(D277,TARIFAS!A:K,5,FALSE),0)
   ),
   IF(H277="Presencial",
      VLOOKUP(D277,TARIFAS!A:K,9,FALSE) + IF(I277="Sí",VLOOKUP(D277,TARIFAS!A:K,11,FALSE),0),
      VLOOKUP(D277,TARIFAS!A:K,10,FALSE) + IF(I277="Sí",VLOOKUP(D277,TARIFAS!A:K,11,FALSE),0)
   )
 )
)
</f>
        <v>0</v>
      </c>
      <c r="M277" s="45">
        <f>IF(J277="",0,MAX(0,J277 - TARIFAS!G$2) * TARIFAS!F$2)
</f>
        <v>0</v>
      </c>
      <c r="N277" s="45">
        <f>+L277*TARIFAS!$K$2</f>
        <v>0</v>
      </c>
      <c r="O277" s="45">
        <f t="shared" si="1"/>
        <v>0</v>
      </c>
      <c r="P277" s="45">
        <f>+M277+O277+K277+(+I277-(I277*TARIFAS!$K$2))</f>
        <v>0</v>
      </c>
      <c r="Q277" s="42" t="str">
        <f>CONFERENCIAS!T277</f>
        <v/>
      </c>
      <c r="R277" s="45" t="str">
        <f>CONFERENCIAS!U277</f>
        <v/>
      </c>
      <c r="S277" s="45" t="str">
        <f>CONFERENCIAS!W277</f>
        <v/>
      </c>
      <c r="T277" s="48">
        <f>IF(Q277="",0,
   IF(E277=1,
      IF(H277="Presencial",
         VLOOKUP(D277,TARIFAS!A:K,3,FALSE) + IF(I277="Sí",VLOOKUP(D277,TARIFAS!A:K,5,FALSE),0),
         VLOOKUP(D277,TARIFAS!A:K,4,FALSE) + IF(I277="Sí",VLOOKUP(D277,TARIFAS!A:K,5,FALSE),0)
      ),
      IF(H277="Presencial",
         VLOOKUP(D277,TARIFAS!A:K,9,FALSE) + IF(I277="Sí",VLOOKUP(D277,TARIFAS!A:K,11,FALSE),0),
         VLOOKUP(D277,TARIFAS!A:K,10,FALSE) + IF(I277="Sí",VLOOKUP(D277,TARIFAS!A:K,11,FALSE),0)
      )
   )
)
</f>
        <v>0</v>
      </c>
      <c r="U277" s="45">
        <f>IF(R277="",0,MAX(0,R277 - TARIFAS!G$2) * TARIFAS!F$2)
</f>
        <v>0</v>
      </c>
      <c r="V277" s="45">
        <f>+T277*TARIFAS!$K$2</f>
        <v>0</v>
      </c>
      <c r="W277" s="45">
        <f t="shared" si="2"/>
        <v>0</v>
      </c>
      <c r="X277" s="45">
        <f t="shared" si="3"/>
        <v>0</v>
      </c>
      <c r="Y277" s="45">
        <f t="shared" si="4"/>
        <v>0</v>
      </c>
      <c r="Z277" s="42" t="str">
        <f>CONFERENCIAS!AB277</f>
        <v/>
      </c>
      <c r="AA277" s="42" t="str">
        <f>CONFERENCIAS!AC277</f>
        <v/>
      </c>
      <c r="AB277" s="47" t="str">
        <f t="shared" si="5"/>
        <v/>
      </c>
      <c r="AC277" s="9" t="str">
        <f t="shared" si="6"/>
        <v/>
      </c>
    </row>
    <row r="278">
      <c r="A278" s="42" t="str">
        <f>CONFERENCIAS!A278</f>
        <v/>
      </c>
      <c r="D278" s="42" t="str">
        <f>CONFERENCIAS!C278</f>
        <v/>
      </c>
      <c r="E278" s="42" t="str">
        <f>CONFERENCIAS!K278</f>
        <v/>
      </c>
      <c r="F278" s="49" t="str">
        <f>CONFERENCIAS!J278</f>
        <v/>
      </c>
      <c r="G278" s="42" t="str">
        <f>CONFERENCIAS!O278</f>
        <v/>
      </c>
      <c r="H278" s="42" t="str">
        <f>CONFERENCIAS!X278</f>
        <v/>
      </c>
      <c r="I278" s="42" t="str">
        <f>CONFERENCIAS!AA278</f>
        <v/>
      </c>
      <c r="J278" s="44" t="str">
        <f>CONFERENCIAS!P278</f>
        <v/>
      </c>
      <c r="K278" s="45" t="str">
        <f>CONFERENCIAS!R278</f>
        <v/>
      </c>
      <c r="L278" s="45">
        <f>IF(D278="",0,
 IF(E278=1,
   IF(H278="Presencial",
      VLOOKUP(D278,TARIFAS!A:K,3,FALSE) + IF(I278="Sí",VLOOKUP(D278,TARIFAS!A:K,5,FALSE),0),
      VLOOKUP(D278,TARIFAS!A:K,4,FALSE) + IF(I278="Sí",VLOOKUP(D278,TARIFAS!A:K,5,FALSE),0)
   ),
   IF(H278="Presencial",
      VLOOKUP(D278,TARIFAS!A:K,9,FALSE) + IF(I278="Sí",VLOOKUP(D278,TARIFAS!A:K,11,FALSE),0),
      VLOOKUP(D278,TARIFAS!A:K,10,FALSE) + IF(I278="Sí",VLOOKUP(D278,TARIFAS!A:K,11,FALSE),0)
   )
 )
)
</f>
        <v>0</v>
      </c>
      <c r="M278" s="45">
        <f>IF(J278="",0,MAX(0,J278 - TARIFAS!G$2) * TARIFAS!F$2)
</f>
        <v>0</v>
      </c>
      <c r="N278" s="45">
        <f>+L278*TARIFAS!$K$2</f>
        <v>0</v>
      </c>
      <c r="O278" s="45">
        <f t="shared" si="1"/>
        <v>0</v>
      </c>
      <c r="P278" s="45">
        <f>+M278+O278+K278+(+I278-(I278*TARIFAS!$K$2))</f>
        <v>0</v>
      </c>
      <c r="Q278" s="42" t="str">
        <f>CONFERENCIAS!T278</f>
        <v/>
      </c>
      <c r="R278" s="45" t="str">
        <f>CONFERENCIAS!U278</f>
        <v/>
      </c>
      <c r="S278" s="45" t="str">
        <f>CONFERENCIAS!W278</f>
        <v/>
      </c>
      <c r="T278" s="48">
        <f>IF(Q278="",0,
   IF(E278=1,
      IF(H278="Presencial",
         VLOOKUP(D278,TARIFAS!A:K,3,FALSE) + IF(I278="Sí",VLOOKUP(D278,TARIFAS!A:K,5,FALSE),0),
         VLOOKUP(D278,TARIFAS!A:K,4,FALSE) + IF(I278="Sí",VLOOKUP(D278,TARIFAS!A:K,5,FALSE),0)
      ),
      IF(H278="Presencial",
         VLOOKUP(D278,TARIFAS!A:K,9,FALSE) + IF(I278="Sí",VLOOKUP(D278,TARIFAS!A:K,11,FALSE),0),
         VLOOKUP(D278,TARIFAS!A:K,10,FALSE) + IF(I278="Sí",VLOOKUP(D278,TARIFAS!A:K,11,FALSE),0)
      )
   )
)
</f>
        <v>0</v>
      </c>
      <c r="U278" s="45">
        <f>IF(R278="",0,MAX(0,R278 - TARIFAS!G$2) * TARIFAS!F$2)
</f>
        <v>0</v>
      </c>
      <c r="V278" s="45">
        <f>+T278*TARIFAS!$K$2</f>
        <v>0</v>
      </c>
      <c r="W278" s="45">
        <f t="shared" si="2"/>
        <v>0</v>
      </c>
      <c r="X278" s="45">
        <f t="shared" si="3"/>
        <v>0</v>
      </c>
      <c r="Y278" s="45">
        <f t="shared" si="4"/>
        <v>0</v>
      </c>
      <c r="Z278" s="42" t="str">
        <f>CONFERENCIAS!AB278</f>
        <v/>
      </c>
      <c r="AA278" s="42" t="str">
        <f>CONFERENCIAS!AC278</f>
        <v/>
      </c>
      <c r="AB278" s="47" t="str">
        <f t="shared" si="5"/>
        <v/>
      </c>
      <c r="AC278" s="9" t="str">
        <f t="shared" si="6"/>
        <v/>
      </c>
    </row>
    <row r="279">
      <c r="A279" s="42" t="str">
        <f>CONFERENCIAS!A279</f>
        <v/>
      </c>
      <c r="D279" s="42" t="str">
        <f>CONFERENCIAS!C279</f>
        <v/>
      </c>
      <c r="E279" s="42" t="str">
        <f>CONFERENCIAS!K279</f>
        <v/>
      </c>
      <c r="F279" s="49" t="str">
        <f>CONFERENCIAS!J279</f>
        <v/>
      </c>
      <c r="G279" s="42" t="str">
        <f>CONFERENCIAS!O279</f>
        <v/>
      </c>
      <c r="H279" s="42" t="str">
        <f>CONFERENCIAS!X279</f>
        <v/>
      </c>
      <c r="I279" s="42" t="str">
        <f>CONFERENCIAS!AA279</f>
        <v/>
      </c>
      <c r="J279" s="44" t="str">
        <f>CONFERENCIAS!P279</f>
        <v/>
      </c>
      <c r="K279" s="45" t="str">
        <f>CONFERENCIAS!R279</f>
        <v/>
      </c>
      <c r="L279" s="45">
        <f>IF(D279="",0,
 IF(E279=1,
   IF(H279="Presencial",
      VLOOKUP(D279,TARIFAS!A:K,3,FALSE) + IF(I279="Sí",VLOOKUP(D279,TARIFAS!A:K,5,FALSE),0),
      VLOOKUP(D279,TARIFAS!A:K,4,FALSE) + IF(I279="Sí",VLOOKUP(D279,TARIFAS!A:K,5,FALSE),0)
   ),
   IF(H279="Presencial",
      VLOOKUP(D279,TARIFAS!A:K,9,FALSE) + IF(I279="Sí",VLOOKUP(D279,TARIFAS!A:K,11,FALSE),0),
      VLOOKUP(D279,TARIFAS!A:K,10,FALSE) + IF(I279="Sí",VLOOKUP(D279,TARIFAS!A:K,11,FALSE),0)
   )
 )
)
</f>
        <v>0</v>
      </c>
      <c r="M279" s="45">
        <f>IF(J279="",0,MAX(0,J279 - TARIFAS!G$2) * TARIFAS!F$2)
</f>
        <v>0</v>
      </c>
      <c r="N279" s="45">
        <f>+L279*TARIFAS!$K$2</f>
        <v>0</v>
      </c>
      <c r="O279" s="45">
        <f t="shared" si="1"/>
        <v>0</v>
      </c>
      <c r="P279" s="45">
        <f>+M279+O279+K279+(+I279-(I279*TARIFAS!$K$2))</f>
        <v>0</v>
      </c>
      <c r="Q279" s="42" t="str">
        <f>CONFERENCIAS!T279</f>
        <v/>
      </c>
      <c r="R279" s="45" t="str">
        <f>CONFERENCIAS!U279</f>
        <v/>
      </c>
      <c r="S279" s="45" t="str">
        <f>CONFERENCIAS!W279</f>
        <v/>
      </c>
      <c r="T279" s="48">
        <f>IF(Q279="",0,
   IF(E279=1,
      IF(H279="Presencial",
         VLOOKUP(D279,TARIFAS!A:K,3,FALSE) + IF(I279="Sí",VLOOKUP(D279,TARIFAS!A:K,5,FALSE),0),
         VLOOKUP(D279,TARIFAS!A:K,4,FALSE) + IF(I279="Sí",VLOOKUP(D279,TARIFAS!A:K,5,FALSE),0)
      ),
      IF(H279="Presencial",
         VLOOKUP(D279,TARIFAS!A:K,9,FALSE) + IF(I279="Sí",VLOOKUP(D279,TARIFAS!A:K,11,FALSE),0),
         VLOOKUP(D279,TARIFAS!A:K,10,FALSE) + IF(I279="Sí",VLOOKUP(D279,TARIFAS!A:K,11,FALSE),0)
      )
   )
)
</f>
        <v>0</v>
      </c>
      <c r="U279" s="45">
        <f>IF(R279="",0,MAX(0,R279 - TARIFAS!G$2) * TARIFAS!F$2)
</f>
        <v>0</v>
      </c>
      <c r="V279" s="45">
        <f>+T279*TARIFAS!$K$2</f>
        <v>0</v>
      </c>
      <c r="W279" s="45">
        <f t="shared" si="2"/>
        <v>0</v>
      </c>
      <c r="X279" s="45">
        <f t="shared" si="3"/>
        <v>0</v>
      </c>
      <c r="Y279" s="45">
        <f t="shared" si="4"/>
        <v>0</v>
      </c>
      <c r="Z279" s="42" t="str">
        <f>CONFERENCIAS!AB279</f>
        <v/>
      </c>
      <c r="AA279" s="42" t="str">
        <f>CONFERENCIAS!AC279</f>
        <v/>
      </c>
      <c r="AB279" s="47" t="str">
        <f t="shared" si="5"/>
        <v/>
      </c>
      <c r="AC279" s="9" t="str">
        <f t="shared" si="6"/>
        <v/>
      </c>
    </row>
    <row r="280">
      <c r="A280" s="42" t="str">
        <f>CONFERENCIAS!A280</f>
        <v/>
      </c>
      <c r="D280" s="42" t="str">
        <f>CONFERENCIAS!C280</f>
        <v/>
      </c>
      <c r="E280" s="42" t="str">
        <f>CONFERENCIAS!K280</f>
        <v/>
      </c>
      <c r="F280" s="49" t="str">
        <f>CONFERENCIAS!J280</f>
        <v/>
      </c>
      <c r="G280" s="42" t="str">
        <f>CONFERENCIAS!O280</f>
        <v/>
      </c>
      <c r="H280" s="42" t="str">
        <f>CONFERENCIAS!X280</f>
        <v/>
      </c>
      <c r="I280" s="42" t="str">
        <f>CONFERENCIAS!AA280</f>
        <v/>
      </c>
      <c r="J280" s="44" t="str">
        <f>CONFERENCIAS!P280</f>
        <v/>
      </c>
      <c r="K280" s="45" t="str">
        <f>CONFERENCIAS!R280</f>
        <v/>
      </c>
      <c r="L280" s="45">
        <f>IF(D280="",0,
 IF(E280=1,
   IF(H280="Presencial",
      VLOOKUP(D280,TARIFAS!A:K,3,FALSE) + IF(I280="Sí",VLOOKUP(D280,TARIFAS!A:K,5,FALSE),0),
      VLOOKUP(D280,TARIFAS!A:K,4,FALSE) + IF(I280="Sí",VLOOKUP(D280,TARIFAS!A:K,5,FALSE),0)
   ),
   IF(H280="Presencial",
      VLOOKUP(D280,TARIFAS!A:K,9,FALSE) + IF(I280="Sí",VLOOKUP(D280,TARIFAS!A:K,11,FALSE),0),
      VLOOKUP(D280,TARIFAS!A:K,10,FALSE) + IF(I280="Sí",VLOOKUP(D280,TARIFAS!A:K,11,FALSE),0)
   )
 )
)
</f>
        <v>0</v>
      </c>
      <c r="M280" s="45">
        <f>IF(J280="",0,MAX(0,J280 - TARIFAS!G$2) * TARIFAS!F$2)
</f>
        <v>0</v>
      </c>
      <c r="N280" s="45">
        <f>+L280*TARIFAS!$K$2</f>
        <v>0</v>
      </c>
      <c r="O280" s="45">
        <f t="shared" si="1"/>
        <v>0</v>
      </c>
      <c r="P280" s="45">
        <f>+M280+O280+K280+(+I280-(I280*TARIFAS!$K$2))</f>
        <v>0</v>
      </c>
      <c r="Q280" s="42" t="str">
        <f>CONFERENCIAS!T280</f>
        <v/>
      </c>
      <c r="R280" s="45" t="str">
        <f>CONFERENCIAS!U280</f>
        <v/>
      </c>
      <c r="S280" s="45" t="str">
        <f>CONFERENCIAS!W280</f>
        <v/>
      </c>
      <c r="T280" s="48">
        <f>IF(Q280="",0,
   IF(E280=1,
      IF(H280="Presencial",
         VLOOKUP(D280,TARIFAS!A:K,3,FALSE) + IF(I280="Sí",VLOOKUP(D280,TARIFAS!A:K,5,FALSE),0),
         VLOOKUP(D280,TARIFAS!A:K,4,FALSE) + IF(I280="Sí",VLOOKUP(D280,TARIFAS!A:K,5,FALSE),0)
      ),
      IF(H280="Presencial",
         VLOOKUP(D280,TARIFAS!A:K,9,FALSE) + IF(I280="Sí",VLOOKUP(D280,TARIFAS!A:K,11,FALSE),0),
         VLOOKUP(D280,TARIFAS!A:K,10,FALSE) + IF(I280="Sí",VLOOKUP(D280,TARIFAS!A:K,11,FALSE),0)
      )
   )
)
</f>
        <v>0</v>
      </c>
      <c r="U280" s="45">
        <f>IF(R280="",0,MAX(0,R280 - TARIFAS!G$2) * TARIFAS!F$2)
</f>
        <v>0</v>
      </c>
      <c r="V280" s="45">
        <f>+T280*TARIFAS!$K$2</f>
        <v>0</v>
      </c>
      <c r="W280" s="45">
        <f t="shared" si="2"/>
        <v>0</v>
      </c>
      <c r="X280" s="45">
        <f t="shared" si="3"/>
        <v>0</v>
      </c>
      <c r="Y280" s="45">
        <f t="shared" si="4"/>
        <v>0</v>
      </c>
      <c r="Z280" s="42" t="str">
        <f>CONFERENCIAS!AB280</f>
        <v/>
      </c>
      <c r="AA280" s="42" t="str">
        <f>CONFERENCIAS!AC280</f>
        <v/>
      </c>
      <c r="AB280" s="47" t="str">
        <f t="shared" si="5"/>
        <v/>
      </c>
      <c r="AC280" s="9" t="str">
        <f t="shared" si="6"/>
        <v/>
      </c>
    </row>
    <row r="281">
      <c r="A281" s="42" t="str">
        <f>CONFERENCIAS!A281</f>
        <v/>
      </c>
      <c r="D281" s="42" t="str">
        <f>CONFERENCIAS!C281</f>
        <v/>
      </c>
      <c r="E281" s="42" t="str">
        <f>CONFERENCIAS!K281</f>
        <v/>
      </c>
      <c r="F281" s="49" t="str">
        <f>CONFERENCIAS!J281</f>
        <v/>
      </c>
      <c r="G281" s="42" t="str">
        <f>CONFERENCIAS!O281</f>
        <v/>
      </c>
      <c r="H281" s="42" t="str">
        <f>CONFERENCIAS!X281</f>
        <v/>
      </c>
      <c r="I281" s="42" t="str">
        <f>CONFERENCIAS!AA281</f>
        <v/>
      </c>
      <c r="J281" s="44" t="str">
        <f>CONFERENCIAS!P281</f>
        <v/>
      </c>
      <c r="K281" s="45" t="str">
        <f>CONFERENCIAS!R281</f>
        <v/>
      </c>
      <c r="L281" s="45">
        <f>IF(D281="",0,
 IF(E281=1,
   IF(H281="Presencial",
      VLOOKUP(D281,TARIFAS!A:K,3,FALSE) + IF(I281="Sí",VLOOKUP(D281,TARIFAS!A:K,5,FALSE),0),
      VLOOKUP(D281,TARIFAS!A:K,4,FALSE) + IF(I281="Sí",VLOOKUP(D281,TARIFAS!A:K,5,FALSE),0)
   ),
   IF(H281="Presencial",
      VLOOKUP(D281,TARIFAS!A:K,9,FALSE) + IF(I281="Sí",VLOOKUP(D281,TARIFAS!A:K,11,FALSE),0),
      VLOOKUP(D281,TARIFAS!A:K,10,FALSE) + IF(I281="Sí",VLOOKUP(D281,TARIFAS!A:K,11,FALSE),0)
   )
 )
)
</f>
        <v>0</v>
      </c>
      <c r="M281" s="45">
        <f>IF(J281="",0,MAX(0,J281 - TARIFAS!G$2) * TARIFAS!F$2)
</f>
        <v>0</v>
      </c>
      <c r="N281" s="45">
        <f>+L281*TARIFAS!$K$2</f>
        <v>0</v>
      </c>
      <c r="O281" s="45">
        <f t="shared" si="1"/>
        <v>0</v>
      </c>
      <c r="P281" s="45">
        <f>+M281+O281+K281+(+I281-(I281*TARIFAS!$K$2))</f>
        <v>0</v>
      </c>
      <c r="Q281" s="42" t="str">
        <f>CONFERENCIAS!T281</f>
        <v/>
      </c>
      <c r="R281" s="45" t="str">
        <f>CONFERENCIAS!U281</f>
        <v/>
      </c>
      <c r="S281" s="45" t="str">
        <f>CONFERENCIAS!W281</f>
        <v/>
      </c>
      <c r="T281" s="48">
        <f>IF(Q281="",0,
   IF(E281=1,
      IF(H281="Presencial",
         VLOOKUP(D281,TARIFAS!A:K,3,FALSE) + IF(I281="Sí",VLOOKUP(D281,TARIFAS!A:K,5,FALSE),0),
         VLOOKUP(D281,TARIFAS!A:K,4,FALSE) + IF(I281="Sí",VLOOKUP(D281,TARIFAS!A:K,5,FALSE),0)
      ),
      IF(H281="Presencial",
         VLOOKUP(D281,TARIFAS!A:K,9,FALSE) + IF(I281="Sí",VLOOKUP(D281,TARIFAS!A:K,11,FALSE),0),
         VLOOKUP(D281,TARIFAS!A:K,10,FALSE) + IF(I281="Sí",VLOOKUP(D281,TARIFAS!A:K,11,FALSE),0)
      )
   )
)
</f>
        <v>0</v>
      </c>
      <c r="U281" s="45">
        <f>IF(R281="",0,MAX(0,R281 - TARIFAS!G$2) * TARIFAS!F$2)
</f>
        <v>0</v>
      </c>
      <c r="V281" s="45">
        <f>+T281*TARIFAS!$K$2</f>
        <v>0</v>
      </c>
      <c r="W281" s="45">
        <f t="shared" si="2"/>
        <v>0</v>
      </c>
      <c r="X281" s="45">
        <f t="shared" si="3"/>
        <v>0</v>
      </c>
      <c r="Y281" s="45">
        <f t="shared" si="4"/>
        <v>0</v>
      </c>
      <c r="Z281" s="42" t="str">
        <f>CONFERENCIAS!AB281</f>
        <v/>
      </c>
      <c r="AA281" s="42" t="str">
        <f>CONFERENCIAS!AC281</f>
        <v/>
      </c>
      <c r="AB281" s="47" t="str">
        <f t="shared" si="5"/>
        <v/>
      </c>
      <c r="AC281" s="9" t="str">
        <f t="shared" si="6"/>
        <v/>
      </c>
    </row>
    <row r="282">
      <c r="A282" s="42" t="str">
        <f>CONFERENCIAS!A282</f>
        <v/>
      </c>
      <c r="D282" s="42" t="str">
        <f>CONFERENCIAS!C282</f>
        <v/>
      </c>
      <c r="E282" s="42" t="str">
        <f>CONFERENCIAS!K282</f>
        <v/>
      </c>
      <c r="F282" s="49" t="str">
        <f>CONFERENCIAS!J282</f>
        <v/>
      </c>
      <c r="G282" s="42" t="str">
        <f>CONFERENCIAS!O282</f>
        <v/>
      </c>
      <c r="H282" s="42" t="str">
        <f>CONFERENCIAS!X282</f>
        <v/>
      </c>
      <c r="I282" s="42" t="str">
        <f>CONFERENCIAS!AA282</f>
        <v/>
      </c>
      <c r="J282" s="44" t="str">
        <f>CONFERENCIAS!P282</f>
        <v/>
      </c>
      <c r="K282" s="45" t="str">
        <f>CONFERENCIAS!R282</f>
        <v/>
      </c>
      <c r="L282" s="45">
        <f>IF(D282="",0,
 IF(E282=1,
   IF(H282="Presencial",
      VLOOKUP(D282,TARIFAS!A:K,3,FALSE) + IF(I282="Sí",VLOOKUP(D282,TARIFAS!A:K,5,FALSE),0),
      VLOOKUP(D282,TARIFAS!A:K,4,FALSE) + IF(I282="Sí",VLOOKUP(D282,TARIFAS!A:K,5,FALSE),0)
   ),
   IF(H282="Presencial",
      VLOOKUP(D282,TARIFAS!A:K,9,FALSE) + IF(I282="Sí",VLOOKUP(D282,TARIFAS!A:K,11,FALSE),0),
      VLOOKUP(D282,TARIFAS!A:K,10,FALSE) + IF(I282="Sí",VLOOKUP(D282,TARIFAS!A:K,11,FALSE),0)
   )
 )
)
</f>
        <v>0</v>
      </c>
      <c r="M282" s="45">
        <f>IF(J282="",0,MAX(0,J282 - TARIFAS!G$2) * TARIFAS!F$2)
</f>
        <v>0</v>
      </c>
      <c r="N282" s="45">
        <f>+L282*TARIFAS!$K$2</f>
        <v>0</v>
      </c>
      <c r="O282" s="45">
        <f t="shared" si="1"/>
        <v>0</v>
      </c>
      <c r="P282" s="45">
        <f>+M282+O282+K282+(+I282-(I282*TARIFAS!$K$2))</f>
        <v>0</v>
      </c>
      <c r="Q282" s="42" t="str">
        <f>CONFERENCIAS!T282</f>
        <v/>
      </c>
      <c r="R282" s="45" t="str">
        <f>CONFERENCIAS!U282</f>
        <v/>
      </c>
      <c r="S282" s="45" t="str">
        <f>CONFERENCIAS!W282</f>
        <v/>
      </c>
      <c r="T282" s="48">
        <f>IF(Q282="",0,
   IF(E282=1,
      IF(H282="Presencial",
         VLOOKUP(D282,TARIFAS!A:K,3,FALSE) + IF(I282="Sí",VLOOKUP(D282,TARIFAS!A:K,5,FALSE),0),
         VLOOKUP(D282,TARIFAS!A:K,4,FALSE) + IF(I282="Sí",VLOOKUP(D282,TARIFAS!A:K,5,FALSE),0)
      ),
      IF(H282="Presencial",
         VLOOKUP(D282,TARIFAS!A:K,9,FALSE) + IF(I282="Sí",VLOOKUP(D282,TARIFAS!A:K,11,FALSE),0),
         VLOOKUP(D282,TARIFAS!A:K,10,FALSE) + IF(I282="Sí",VLOOKUP(D282,TARIFAS!A:K,11,FALSE),0)
      )
   )
)
</f>
        <v>0</v>
      </c>
      <c r="U282" s="45">
        <f>IF(R282="",0,MAX(0,R282 - TARIFAS!G$2) * TARIFAS!F$2)
</f>
        <v>0</v>
      </c>
      <c r="V282" s="45">
        <f>+T282*TARIFAS!$K$2</f>
        <v>0</v>
      </c>
      <c r="W282" s="45">
        <f t="shared" si="2"/>
        <v>0</v>
      </c>
      <c r="X282" s="45">
        <f t="shared" si="3"/>
        <v>0</v>
      </c>
      <c r="Y282" s="45">
        <f t="shared" si="4"/>
        <v>0</v>
      </c>
      <c r="Z282" s="42" t="str">
        <f>CONFERENCIAS!AB282</f>
        <v/>
      </c>
      <c r="AA282" s="42" t="str">
        <f>CONFERENCIAS!AC282</f>
        <v/>
      </c>
      <c r="AB282" s="47" t="str">
        <f t="shared" si="5"/>
        <v/>
      </c>
      <c r="AC282" s="9" t="str">
        <f t="shared" si="6"/>
        <v/>
      </c>
    </row>
    <row r="283">
      <c r="A283" s="42" t="str">
        <f>CONFERENCIAS!A283</f>
        <v/>
      </c>
      <c r="D283" s="42" t="str">
        <f>CONFERENCIAS!C283</f>
        <v/>
      </c>
      <c r="E283" s="42" t="str">
        <f>CONFERENCIAS!K283</f>
        <v/>
      </c>
      <c r="F283" s="49" t="str">
        <f>CONFERENCIAS!J283</f>
        <v/>
      </c>
      <c r="G283" s="42" t="str">
        <f>CONFERENCIAS!O283</f>
        <v/>
      </c>
      <c r="H283" s="42" t="str">
        <f>CONFERENCIAS!X283</f>
        <v/>
      </c>
      <c r="I283" s="42" t="str">
        <f>CONFERENCIAS!AA283</f>
        <v/>
      </c>
      <c r="J283" s="44" t="str">
        <f>CONFERENCIAS!P283</f>
        <v/>
      </c>
      <c r="K283" s="45" t="str">
        <f>CONFERENCIAS!R283</f>
        <v/>
      </c>
      <c r="L283" s="45">
        <f>IF(D283="",0,
 IF(E283=1,
   IF(H283="Presencial",
      VLOOKUP(D283,TARIFAS!A:K,3,FALSE) + IF(I283="Sí",VLOOKUP(D283,TARIFAS!A:K,5,FALSE),0),
      VLOOKUP(D283,TARIFAS!A:K,4,FALSE) + IF(I283="Sí",VLOOKUP(D283,TARIFAS!A:K,5,FALSE),0)
   ),
   IF(H283="Presencial",
      VLOOKUP(D283,TARIFAS!A:K,9,FALSE) + IF(I283="Sí",VLOOKUP(D283,TARIFAS!A:K,11,FALSE),0),
      VLOOKUP(D283,TARIFAS!A:K,10,FALSE) + IF(I283="Sí",VLOOKUP(D283,TARIFAS!A:K,11,FALSE),0)
   )
 )
)
</f>
        <v>0</v>
      </c>
      <c r="M283" s="45">
        <f>IF(J283="",0,MAX(0,J283 - TARIFAS!G$2) * TARIFAS!F$2)
</f>
        <v>0</v>
      </c>
      <c r="N283" s="45">
        <f>+L283*TARIFAS!$K$2</f>
        <v>0</v>
      </c>
      <c r="O283" s="45">
        <f t="shared" si="1"/>
        <v>0</v>
      </c>
      <c r="P283" s="45">
        <f>+M283+O283+K283+(+I283-(I283*TARIFAS!$K$2))</f>
        <v>0</v>
      </c>
      <c r="Q283" s="42" t="str">
        <f>CONFERENCIAS!T283</f>
        <v/>
      </c>
      <c r="R283" s="45" t="str">
        <f>CONFERENCIAS!U283</f>
        <v/>
      </c>
      <c r="S283" s="45" t="str">
        <f>CONFERENCIAS!W283</f>
        <v/>
      </c>
      <c r="T283" s="48">
        <f>IF(Q283="",0,
   IF(E283=1,
      IF(H283="Presencial",
         VLOOKUP(D283,TARIFAS!A:K,3,FALSE) + IF(I283="Sí",VLOOKUP(D283,TARIFAS!A:K,5,FALSE),0),
         VLOOKUP(D283,TARIFAS!A:K,4,FALSE) + IF(I283="Sí",VLOOKUP(D283,TARIFAS!A:K,5,FALSE),0)
      ),
      IF(H283="Presencial",
         VLOOKUP(D283,TARIFAS!A:K,9,FALSE) + IF(I283="Sí",VLOOKUP(D283,TARIFAS!A:K,11,FALSE),0),
         VLOOKUP(D283,TARIFAS!A:K,10,FALSE) + IF(I283="Sí",VLOOKUP(D283,TARIFAS!A:K,11,FALSE),0)
      )
   )
)
</f>
        <v>0</v>
      </c>
      <c r="U283" s="45">
        <f>IF(R283="",0,MAX(0,R283 - TARIFAS!G$2) * TARIFAS!F$2)
</f>
        <v>0</v>
      </c>
      <c r="V283" s="45">
        <f>+T283*TARIFAS!$K$2</f>
        <v>0</v>
      </c>
      <c r="W283" s="45">
        <f t="shared" si="2"/>
        <v>0</v>
      </c>
      <c r="X283" s="45">
        <f t="shared" si="3"/>
        <v>0</v>
      </c>
      <c r="Y283" s="45">
        <f t="shared" si="4"/>
        <v>0</v>
      </c>
      <c r="Z283" s="42" t="str">
        <f>CONFERENCIAS!AB283</f>
        <v/>
      </c>
      <c r="AA283" s="42" t="str">
        <f>CONFERENCIAS!AC283</f>
        <v/>
      </c>
      <c r="AB283" s="47" t="str">
        <f t="shared" si="5"/>
        <v/>
      </c>
      <c r="AC283" s="9" t="str">
        <f t="shared" si="6"/>
        <v/>
      </c>
    </row>
    <row r="284">
      <c r="A284" s="42" t="str">
        <f>CONFERENCIAS!A284</f>
        <v/>
      </c>
      <c r="D284" s="42" t="str">
        <f>CONFERENCIAS!C284</f>
        <v/>
      </c>
      <c r="E284" s="42" t="str">
        <f>CONFERENCIAS!K284</f>
        <v/>
      </c>
      <c r="F284" s="49" t="str">
        <f>CONFERENCIAS!J284</f>
        <v/>
      </c>
      <c r="G284" s="42" t="str">
        <f>CONFERENCIAS!O284</f>
        <v/>
      </c>
      <c r="H284" s="42" t="str">
        <f>CONFERENCIAS!X284</f>
        <v/>
      </c>
      <c r="I284" s="42" t="str">
        <f>CONFERENCIAS!AA284</f>
        <v/>
      </c>
      <c r="J284" s="44" t="str">
        <f>CONFERENCIAS!P284</f>
        <v/>
      </c>
      <c r="K284" s="45" t="str">
        <f>CONFERENCIAS!R284</f>
        <v/>
      </c>
      <c r="L284" s="45">
        <f>IF(D284="",0,
 IF(E284=1,
   IF(H284="Presencial",
      VLOOKUP(D284,TARIFAS!A:K,3,FALSE) + IF(I284="Sí",VLOOKUP(D284,TARIFAS!A:K,5,FALSE),0),
      VLOOKUP(D284,TARIFAS!A:K,4,FALSE) + IF(I284="Sí",VLOOKUP(D284,TARIFAS!A:K,5,FALSE),0)
   ),
   IF(H284="Presencial",
      VLOOKUP(D284,TARIFAS!A:K,9,FALSE) + IF(I284="Sí",VLOOKUP(D284,TARIFAS!A:K,11,FALSE),0),
      VLOOKUP(D284,TARIFAS!A:K,10,FALSE) + IF(I284="Sí",VLOOKUP(D284,TARIFAS!A:K,11,FALSE),0)
   )
 )
)
</f>
        <v>0</v>
      </c>
      <c r="M284" s="45">
        <f>IF(J284="",0,MAX(0,J284 - TARIFAS!G$2) * TARIFAS!F$2)
</f>
        <v>0</v>
      </c>
      <c r="N284" s="45">
        <f>+L284*TARIFAS!$K$2</f>
        <v>0</v>
      </c>
      <c r="O284" s="45">
        <f t="shared" si="1"/>
        <v>0</v>
      </c>
      <c r="P284" s="45">
        <f>+M284+O284+K284+(+I284-(I284*TARIFAS!$K$2))</f>
        <v>0</v>
      </c>
      <c r="Q284" s="42" t="str">
        <f>CONFERENCIAS!T284</f>
        <v/>
      </c>
      <c r="R284" s="45" t="str">
        <f>CONFERENCIAS!U284</f>
        <v/>
      </c>
      <c r="S284" s="45" t="str">
        <f>CONFERENCIAS!W284</f>
        <v/>
      </c>
      <c r="T284" s="48">
        <f>IF(Q284="",0,
   IF(E284=1,
      IF(H284="Presencial",
         VLOOKUP(D284,TARIFAS!A:K,3,FALSE) + IF(I284="Sí",VLOOKUP(D284,TARIFAS!A:K,5,FALSE),0),
         VLOOKUP(D284,TARIFAS!A:K,4,FALSE) + IF(I284="Sí",VLOOKUP(D284,TARIFAS!A:K,5,FALSE),0)
      ),
      IF(H284="Presencial",
         VLOOKUP(D284,TARIFAS!A:K,9,FALSE) + IF(I284="Sí",VLOOKUP(D284,TARIFAS!A:K,11,FALSE),0),
         VLOOKUP(D284,TARIFAS!A:K,10,FALSE) + IF(I284="Sí",VLOOKUP(D284,TARIFAS!A:K,11,FALSE),0)
      )
   )
)
</f>
        <v>0</v>
      </c>
      <c r="U284" s="45">
        <f>IF(R284="",0,MAX(0,R284 - TARIFAS!G$2) * TARIFAS!F$2)
</f>
        <v>0</v>
      </c>
      <c r="V284" s="45">
        <f>+T284*TARIFAS!$K$2</f>
        <v>0</v>
      </c>
      <c r="W284" s="45">
        <f t="shared" si="2"/>
        <v>0</v>
      </c>
      <c r="X284" s="45">
        <f t="shared" si="3"/>
        <v>0</v>
      </c>
      <c r="Y284" s="45">
        <f t="shared" si="4"/>
        <v>0</v>
      </c>
      <c r="Z284" s="42" t="str">
        <f>CONFERENCIAS!AB284</f>
        <v/>
      </c>
      <c r="AA284" s="42" t="str">
        <f>CONFERENCIAS!AC284</f>
        <v/>
      </c>
      <c r="AB284" s="47" t="str">
        <f t="shared" si="5"/>
        <v/>
      </c>
      <c r="AC284" s="9" t="str">
        <f t="shared" si="6"/>
        <v/>
      </c>
    </row>
    <row r="285">
      <c r="A285" s="42" t="str">
        <f>CONFERENCIAS!A285</f>
        <v/>
      </c>
      <c r="D285" s="42" t="str">
        <f>CONFERENCIAS!C285</f>
        <v/>
      </c>
      <c r="E285" s="42" t="str">
        <f>CONFERENCIAS!K285</f>
        <v/>
      </c>
      <c r="F285" s="49" t="str">
        <f>CONFERENCIAS!J285</f>
        <v/>
      </c>
      <c r="G285" s="42" t="str">
        <f>CONFERENCIAS!O285</f>
        <v/>
      </c>
      <c r="H285" s="42" t="str">
        <f>CONFERENCIAS!X285</f>
        <v/>
      </c>
      <c r="I285" s="42" t="str">
        <f>CONFERENCIAS!AA285</f>
        <v/>
      </c>
      <c r="J285" s="44" t="str">
        <f>CONFERENCIAS!P285</f>
        <v/>
      </c>
      <c r="K285" s="45" t="str">
        <f>CONFERENCIAS!R285</f>
        <v/>
      </c>
      <c r="L285" s="45">
        <f>IF(D285="",0,
 IF(E285=1,
   IF(H285="Presencial",
      VLOOKUP(D285,TARIFAS!A:K,3,FALSE) + IF(I285="Sí",VLOOKUP(D285,TARIFAS!A:K,5,FALSE),0),
      VLOOKUP(D285,TARIFAS!A:K,4,FALSE) + IF(I285="Sí",VLOOKUP(D285,TARIFAS!A:K,5,FALSE),0)
   ),
   IF(H285="Presencial",
      VLOOKUP(D285,TARIFAS!A:K,9,FALSE) + IF(I285="Sí",VLOOKUP(D285,TARIFAS!A:K,11,FALSE),0),
      VLOOKUP(D285,TARIFAS!A:K,10,FALSE) + IF(I285="Sí",VLOOKUP(D285,TARIFAS!A:K,11,FALSE),0)
   )
 )
)
</f>
        <v>0</v>
      </c>
      <c r="M285" s="45">
        <f>IF(J285="",0,MAX(0,J285 - TARIFAS!G$2) * TARIFAS!F$2)
</f>
        <v>0</v>
      </c>
      <c r="N285" s="45">
        <f>+L285*TARIFAS!$K$2</f>
        <v>0</v>
      </c>
      <c r="O285" s="45">
        <f t="shared" si="1"/>
        <v>0</v>
      </c>
      <c r="P285" s="45">
        <f>+M285+O285+K285+(+I285-(I285*TARIFAS!$K$2))</f>
        <v>0</v>
      </c>
      <c r="Q285" s="42" t="str">
        <f>CONFERENCIAS!T285</f>
        <v/>
      </c>
      <c r="R285" s="45" t="str">
        <f>CONFERENCIAS!U285</f>
        <v/>
      </c>
      <c r="S285" s="45" t="str">
        <f>CONFERENCIAS!W285</f>
        <v/>
      </c>
      <c r="T285" s="48">
        <f>IF(Q285="",0,
   IF(E285=1,
      IF(H285="Presencial",
         VLOOKUP(D285,TARIFAS!A:K,3,FALSE) + IF(I285="Sí",VLOOKUP(D285,TARIFAS!A:K,5,FALSE),0),
         VLOOKUP(D285,TARIFAS!A:K,4,FALSE) + IF(I285="Sí",VLOOKUP(D285,TARIFAS!A:K,5,FALSE),0)
      ),
      IF(H285="Presencial",
         VLOOKUP(D285,TARIFAS!A:K,9,FALSE) + IF(I285="Sí",VLOOKUP(D285,TARIFAS!A:K,11,FALSE),0),
         VLOOKUP(D285,TARIFAS!A:K,10,FALSE) + IF(I285="Sí",VLOOKUP(D285,TARIFAS!A:K,11,FALSE),0)
      )
   )
)
</f>
        <v>0</v>
      </c>
      <c r="U285" s="45">
        <f>IF(R285="",0,MAX(0,R285 - TARIFAS!G$2) * TARIFAS!F$2)
</f>
        <v>0</v>
      </c>
      <c r="V285" s="45">
        <f>+T285*TARIFAS!$K$2</f>
        <v>0</v>
      </c>
      <c r="W285" s="45">
        <f t="shared" si="2"/>
        <v>0</v>
      </c>
      <c r="X285" s="45">
        <f t="shared" si="3"/>
        <v>0</v>
      </c>
      <c r="Y285" s="45">
        <f t="shared" si="4"/>
        <v>0</v>
      </c>
      <c r="Z285" s="42" t="str">
        <f>CONFERENCIAS!AB285</f>
        <v/>
      </c>
      <c r="AA285" s="42" t="str">
        <f>CONFERENCIAS!AC285</f>
        <v/>
      </c>
      <c r="AB285" s="47" t="str">
        <f t="shared" si="5"/>
        <v/>
      </c>
      <c r="AC285" s="9" t="str">
        <f t="shared" si="6"/>
        <v/>
      </c>
    </row>
    <row r="286">
      <c r="A286" s="42" t="str">
        <f>CONFERENCIAS!A286</f>
        <v/>
      </c>
      <c r="D286" s="42" t="str">
        <f>CONFERENCIAS!C286</f>
        <v/>
      </c>
      <c r="E286" s="42" t="str">
        <f>CONFERENCIAS!K286</f>
        <v/>
      </c>
      <c r="F286" s="49" t="str">
        <f>CONFERENCIAS!J286</f>
        <v/>
      </c>
      <c r="G286" s="42" t="str">
        <f>CONFERENCIAS!O286</f>
        <v/>
      </c>
      <c r="H286" s="42" t="str">
        <f>CONFERENCIAS!X286</f>
        <v/>
      </c>
      <c r="I286" s="42" t="str">
        <f>CONFERENCIAS!AA286</f>
        <v/>
      </c>
      <c r="J286" s="44" t="str">
        <f>CONFERENCIAS!P286</f>
        <v/>
      </c>
      <c r="K286" s="45" t="str">
        <f>CONFERENCIAS!R286</f>
        <v/>
      </c>
      <c r="L286" s="45">
        <f>IF(D286="",0,
 IF(E286=1,
   IF(H286="Presencial",
      VLOOKUP(D286,TARIFAS!A:K,3,FALSE) + IF(I286="Sí",VLOOKUP(D286,TARIFAS!A:K,5,FALSE),0),
      VLOOKUP(D286,TARIFAS!A:K,4,FALSE) + IF(I286="Sí",VLOOKUP(D286,TARIFAS!A:K,5,FALSE),0)
   ),
   IF(H286="Presencial",
      VLOOKUP(D286,TARIFAS!A:K,9,FALSE) + IF(I286="Sí",VLOOKUP(D286,TARIFAS!A:K,11,FALSE),0),
      VLOOKUP(D286,TARIFAS!A:K,10,FALSE) + IF(I286="Sí",VLOOKUP(D286,TARIFAS!A:K,11,FALSE),0)
   )
 )
)
</f>
        <v>0</v>
      </c>
      <c r="M286" s="45">
        <f>IF(J286="",0,MAX(0,J286 - TARIFAS!G$2) * TARIFAS!F$2)
</f>
        <v>0</v>
      </c>
      <c r="N286" s="45">
        <f>+L286*TARIFAS!$K$2</f>
        <v>0</v>
      </c>
      <c r="O286" s="45">
        <f t="shared" si="1"/>
        <v>0</v>
      </c>
      <c r="P286" s="45">
        <f>+M286+O286+K286+(+I286-(I286*TARIFAS!$K$2))</f>
        <v>0</v>
      </c>
      <c r="Q286" s="42" t="str">
        <f>CONFERENCIAS!T286</f>
        <v/>
      </c>
      <c r="R286" s="45" t="str">
        <f>CONFERENCIAS!U286</f>
        <v/>
      </c>
      <c r="S286" s="45" t="str">
        <f>CONFERENCIAS!W286</f>
        <v/>
      </c>
      <c r="T286" s="48">
        <f>IF(Q286="",0,
   IF(E286=1,
      IF(H286="Presencial",
         VLOOKUP(D286,TARIFAS!A:K,3,FALSE) + IF(I286="Sí",VLOOKUP(D286,TARIFAS!A:K,5,FALSE),0),
         VLOOKUP(D286,TARIFAS!A:K,4,FALSE) + IF(I286="Sí",VLOOKUP(D286,TARIFAS!A:K,5,FALSE),0)
      ),
      IF(H286="Presencial",
         VLOOKUP(D286,TARIFAS!A:K,9,FALSE) + IF(I286="Sí",VLOOKUP(D286,TARIFAS!A:K,11,FALSE),0),
         VLOOKUP(D286,TARIFAS!A:K,10,FALSE) + IF(I286="Sí",VLOOKUP(D286,TARIFAS!A:K,11,FALSE),0)
      )
   )
)
</f>
        <v>0</v>
      </c>
      <c r="U286" s="45">
        <f>IF(R286="",0,MAX(0,R286 - TARIFAS!G$2) * TARIFAS!F$2)
</f>
        <v>0</v>
      </c>
      <c r="V286" s="45">
        <f>+T286*TARIFAS!$K$2</f>
        <v>0</v>
      </c>
      <c r="W286" s="45">
        <f t="shared" si="2"/>
        <v>0</v>
      </c>
      <c r="X286" s="45">
        <f t="shared" si="3"/>
        <v>0</v>
      </c>
      <c r="Y286" s="45">
        <f t="shared" si="4"/>
        <v>0</v>
      </c>
      <c r="Z286" s="42" t="str">
        <f>CONFERENCIAS!AB286</f>
        <v/>
      </c>
      <c r="AA286" s="42" t="str">
        <f>CONFERENCIAS!AC286</f>
        <v/>
      </c>
      <c r="AB286" s="47" t="str">
        <f t="shared" si="5"/>
        <v/>
      </c>
      <c r="AC286" s="9" t="str">
        <f t="shared" si="6"/>
        <v/>
      </c>
    </row>
    <row r="287">
      <c r="A287" s="42" t="str">
        <f>CONFERENCIAS!A287</f>
        <v/>
      </c>
      <c r="D287" s="42" t="str">
        <f>CONFERENCIAS!C287</f>
        <v/>
      </c>
      <c r="E287" s="42" t="str">
        <f>CONFERENCIAS!K287</f>
        <v/>
      </c>
      <c r="F287" s="49" t="str">
        <f>CONFERENCIAS!J287</f>
        <v/>
      </c>
      <c r="G287" s="42" t="str">
        <f>CONFERENCIAS!O287</f>
        <v/>
      </c>
      <c r="H287" s="42" t="str">
        <f>CONFERENCIAS!X287</f>
        <v/>
      </c>
      <c r="I287" s="42" t="str">
        <f>CONFERENCIAS!AA287</f>
        <v/>
      </c>
      <c r="J287" s="44" t="str">
        <f>CONFERENCIAS!P287</f>
        <v/>
      </c>
      <c r="K287" s="45" t="str">
        <f>CONFERENCIAS!R287</f>
        <v/>
      </c>
      <c r="L287" s="45">
        <f>IF(D287="",0,
 IF(E287=1,
   IF(H287="Presencial",
      VLOOKUP(D287,TARIFAS!A:K,3,FALSE) + IF(I287="Sí",VLOOKUP(D287,TARIFAS!A:K,5,FALSE),0),
      VLOOKUP(D287,TARIFAS!A:K,4,FALSE) + IF(I287="Sí",VLOOKUP(D287,TARIFAS!A:K,5,FALSE),0)
   ),
   IF(H287="Presencial",
      VLOOKUP(D287,TARIFAS!A:K,9,FALSE) + IF(I287="Sí",VLOOKUP(D287,TARIFAS!A:K,11,FALSE),0),
      VLOOKUP(D287,TARIFAS!A:K,10,FALSE) + IF(I287="Sí",VLOOKUP(D287,TARIFAS!A:K,11,FALSE),0)
   )
 )
)
</f>
        <v>0</v>
      </c>
      <c r="M287" s="45">
        <f>IF(J287="",0,MAX(0,J287 - TARIFAS!G$2) * TARIFAS!F$2)
</f>
        <v>0</v>
      </c>
      <c r="N287" s="45">
        <f>+L287*TARIFAS!$K$2</f>
        <v>0</v>
      </c>
      <c r="O287" s="45">
        <f t="shared" si="1"/>
        <v>0</v>
      </c>
      <c r="P287" s="45">
        <f>+M287+O287+K287+(+I287-(I287*TARIFAS!$K$2))</f>
        <v>0</v>
      </c>
      <c r="Q287" s="42" t="str">
        <f>CONFERENCIAS!T287</f>
        <v/>
      </c>
      <c r="R287" s="45" t="str">
        <f>CONFERENCIAS!U287</f>
        <v/>
      </c>
      <c r="S287" s="45" t="str">
        <f>CONFERENCIAS!W287</f>
        <v/>
      </c>
      <c r="T287" s="48">
        <f>IF(Q287="",0,
   IF(E287=1,
      IF(H287="Presencial",
         VLOOKUP(D287,TARIFAS!A:K,3,FALSE) + IF(I287="Sí",VLOOKUP(D287,TARIFAS!A:K,5,FALSE),0),
         VLOOKUP(D287,TARIFAS!A:K,4,FALSE) + IF(I287="Sí",VLOOKUP(D287,TARIFAS!A:K,5,FALSE),0)
      ),
      IF(H287="Presencial",
         VLOOKUP(D287,TARIFAS!A:K,9,FALSE) + IF(I287="Sí",VLOOKUP(D287,TARIFAS!A:K,11,FALSE),0),
         VLOOKUP(D287,TARIFAS!A:K,10,FALSE) + IF(I287="Sí",VLOOKUP(D287,TARIFAS!A:K,11,FALSE),0)
      )
   )
)
</f>
        <v>0</v>
      </c>
      <c r="U287" s="45">
        <f>IF(R287="",0,MAX(0,R287 - TARIFAS!G$2) * TARIFAS!F$2)
</f>
        <v>0</v>
      </c>
      <c r="V287" s="45">
        <f>+T287*TARIFAS!$K$2</f>
        <v>0</v>
      </c>
      <c r="W287" s="45">
        <f t="shared" si="2"/>
        <v>0</v>
      </c>
      <c r="X287" s="45">
        <f t="shared" si="3"/>
        <v>0</v>
      </c>
      <c r="Y287" s="45">
        <f t="shared" si="4"/>
        <v>0</v>
      </c>
      <c r="Z287" s="42" t="str">
        <f>CONFERENCIAS!AB287</f>
        <v/>
      </c>
      <c r="AA287" s="42" t="str">
        <f>CONFERENCIAS!AC287</f>
        <v/>
      </c>
      <c r="AB287" s="47" t="str">
        <f t="shared" si="5"/>
        <v/>
      </c>
      <c r="AC287" s="9" t="str">
        <f t="shared" si="6"/>
        <v/>
      </c>
    </row>
    <row r="288">
      <c r="A288" s="42" t="str">
        <f>CONFERENCIAS!A288</f>
        <v/>
      </c>
      <c r="D288" s="42" t="str">
        <f>CONFERENCIAS!C288</f>
        <v/>
      </c>
      <c r="E288" s="42" t="str">
        <f>CONFERENCIAS!K288</f>
        <v/>
      </c>
      <c r="F288" s="49" t="str">
        <f>CONFERENCIAS!J288</f>
        <v/>
      </c>
      <c r="G288" s="42" t="str">
        <f>CONFERENCIAS!O288</f>
        <v/>
      </c>
      <c r="H288" s="42" t="str">
        <f>CONFERENCIAS!X288</f>
        <v/>
      </c>
      <c r="I288" s="42" t="str">
        <f>CONFERENCIAS!AA288</f>
        <v/>
      </c>
      <c r="J288" s="44" t="str">
        <f>CONFERENCIAS!P288</f>
        <v/>
      </c>
      <c r="K288" s="45" t="str">
        <f>CONFERENCIAS!R288</f>
        <v/>
      </c>
      <c r="L288" s="45">
        <f>IF(D288="",0,
 IF(E288=1,
   IF(H288="Presencial",
      VLOOKUP(D288,TARIFAS!A:K,3,FALSE) + IF(I288="Sí",VLOOKUP(D288,TARIFAS!A:K,5,FALSE),0),
      VLOOKUP(D288,TARIFAS!A:K,4,FALSE) + IF(I288="Sí",VLOOKUP(D288,TARIFAS!A:K,5,FALSE),0)
   ),
   IF(H288="Presencial",
      VLOOKUP(D288,TARIFAS!A:K,9,FALSE) + IF(I288="Sí",VLOOKUP(D288,TARIFAS!A:K,11,FALSE),0),
      VLOOKUP(D288,TARIFAS!A:K,10,FALSE) + IF(I288="Sí",VLOOKUP(D288,TARIFAS!A:K,11,FALSE),0)
   )
 )
)
</f>
        <v>0</v>
      </c>
      <c r="M288" s="45">
        <f>IF(J288="",0,MAX(0,J288 - TARIFAS!G$2) * TARIFAS!F$2)
</f>
        <v>0</v>
      </c>
      <c r="N288" s="45">
        <f>+L288*TARIFAS!$K$2</f>
        <v>0</v>
      </c>
      <c r="O288" s="45">
        <f t="shared" si="1"/>
        <v>0</v>
      </c>
      <c r="P288" s="45">
        <f>+M288+O288+K288+(+I288-(I288*TARIFAS!$K$2))</f>
        <v>0</v>
      </c>
      <c r="Q288" s="42" t="str">
        <f>CONFERENCIAS!T288</f>
        <v/>
      </c>
      <c r="R288" s="45" t="str">
        <f>CONFERENCIAS!U288</f>
        <v/>
      </c>
      <c r="S288" s="45" t="str">
        <f>CONFERENCIAS!W288</f>
        <v/>
      </c>
      <c r="T288" s="48">
        <f>IF(Q288="",0,
   IF(E288=1,
      IF(H288="Presencial",
         VLOOKUP(D288,TARIFAS!A:K,3,FALSE) + IF(I288="Sí",VLOOKUP(D288,TARIFAS!A:K,5,FALSE),0),
         VLOOKUP(D288,TARIFAS!A:K,4,FALSE) + IF(I288="Sí",VLOOKUP(D288,TARIFAS!A:K,5,FALSE),0)
      ),
      IF(H288="Presencial",
         VLOOKUP(D288,TARIFAS!A:K,9,FALSE) + IF(I288="Sí",VLOOKUP(D288,TARIFAS!A:K,11,FALSE),0),
         VLOOKUP(D288,TARIFAS!A:K,10,FALSE) + IF(I288="Sí",VLOOKUP(D288,TARIFAS!A:K,11,FALSE),0)
      )
   )
)
</f>
        <v>0</v>
      </c>
      <c r="U288" s="45">
        <f>IF(R288="",0,MAX(0,R288 - TARIFAS!G$2) * TARIFAS!F$2)
</f>
        <v>0</v>
      </c>
      <c r="V288" s="45">
        <f>+T288*TARIFAS!$K$2</f>
        <v>0</v>
      </c>
      <c r="W288" s="45">
        <f t="shared" si="2"/>
        <v>0</v>
      </c>
      <c r="X288" s="45">
        <f t="shared" si="3"/>
        <v>0</v>
      </c>
      <c r="Y288" s="45">
        <f t="shared" si="4"/>
        <v>0</v>
      </c>
      <c r="Z288" s="42" t="str">
        <f>CONFERENCIAS!AB288</f>
        <v/>
      </c>
      <c r="AA288" s="42" t="str">
        <f>CONFERENCIAS!AC288</f>
        <v/>
      </c>
      <c r="AB288" s="47" t="str">
        <f t="shared" si="5"/>
        <v/>
      </c>
      <c r="AC288" s="9" t="str">
        <f t="shared" si="6"/>
        <v/>
      </c>
    </row>
    <row r="289">
      <c r="A289" s="42" t="str">
        <f>CONFERENCIAS!A289</f>
        <v/>
      </c>
      <c r="D289" s="42" t="str">
        <f>CONFERENCIAS!C289</f>
        <v/>
      </c>
      <c r="E289" s="42" t="str">
        <f>CONFERENCIAS!K289</f>
        <v/>
      </c>
      <c r="F289" s="49" t="str">
        <f>CONFERENCIAS!J289</f>
        <v/>
      </c>
      <c r="G289" s="42" t="str">
        <f>CONFERENCIAS!O289</f>
        <v/>
      </c>
      <c r="H289" s="42" t="str">
        <f>CONFERENCIAS!X289</f>
        <v/>
      </c>
      <c r="I289" s="42" t="str">
        <f>CONFERENCIAS!AA289</f>
        <v/>
      </c>
      <c r="J289" s="44" t="str">
        <f>CONFERENCIAS!P289</f>
        <v/>
      </c>
      <c r="K289" s="45" t="str">
        <f>CONFERENCIAS!R289</f>
        <v/>
      </c>
      <c r="L289" s="45">
        <f>IF(D289="",0,
 IF(E289=1,
   IF(H289="Presencial",
      VLOOKUP(D289,TARIFAS!A:K,3,FALSE) + IF(I289="Sí",VLOOKUP(D289,TARIFAS!A:K,5,FALSE),0),
      VLOOKUP(D289,TARIFAS!A:K,4,FALSE) + IF(I289="Sí",VLOOKUP(D289,TARIFAS!A:K,5,FALSE),0)
   ),
   IF(H289="Presencial",
      VLOOKUP(D289,TARIFAS!A:K,9,FALSE) + IF(I289="Sí",VLOOKUP(D289,TARIFAS!A:K,11,FALSE),0),
      VLOOKUP(D289,TARIFAS!A:K,10,FALSE) + IF(I289="Sí",VLOOKUP(D289,TARIFAS!A:K,11,FALSE),0)
   )
 )
)
</f>
        <v>0</v>
      </c>
      <c r="M289" s="45">
        <f>IF(J289="",0,MAX(0,J289 - TARIFAS!G$2) * TARIFAS!F$2)
</f>
        <v>0</v>
      </c>
      <c r="N289" s="45">
        <f>+L289*TARIFAS!$K$2</f>
        <v>0</v>
      </c>
      <c r="O289" s="45">
        <f t="shared" si="1"/>
        <v>0</v>
      </c>
      <c r="P289" s="45">
        <f>+M289+O289+K289+(+I289-(I289*TARIFAS!$K$2))</f>
        <v>0</v>
      </c>
      <c r="Q289" s="42" t="str">
        <f>CONFERENCIAS!T289</f>
        <v/>
      </c>
      <c r="R289" s="45" t="str">
        <f>CONFERENCIAS!U289</f>
        <v/>
      </c>
      <c r="S289" s="45" t="str">
        <f>CONFERENCIAS!W289</f>
        <v/>
      </c>
      <c r="T289" s="48">
        <f>IF(Q289="",0,
   IF(E289=1,
      IF(H289="Presencial",
         VLOOKUP(D289,TARIFAS!A:K,3,FALSE) + IF(I289="Sí",VLOOKUP(D289,TARIFAS!A:K,5,FALSE),0),
         VLOOKUP(D289,TARIFAS!A:K,4,FALSE) + IF(I289="Sí",VLOOKUP(D289,TARIFAS!A:K,5,FALSE),0)
      ),
      IF(H289="Presencial",
         VLOOKUP(D289,TARIFAS!A:K,9,FALSE) + IF(I289="Sí",VLOOKUP(D289,TARIFAS!A:K,11,FALSE),0),
         VLOOKUP(D289,TARIFAS!A:K,10,FALSE) + IF(I289="Sí",VLOOKUP(D289,TARIFAS!A:K,11,FALSE),0)
      )
   )
)
</f>
        <v>0</v>
      </c>
      <c r="U289" s="45">
        <f>IF(R289="",0,MAX(0,R289 - TARIFAS!G$2) * TARIFAS!F$2)
</f>
        <v>0</v>
      </c>
      <c r="V289" s="45">
        <f>+T289*TARIFAS!$K$2</f>
        <v>0</v>
      </c>
      <c r="W289" s="45">
        <f t="shared" si="2"/>
        <v>0</v>
      </c>
      <c r="X289" s="45">
        <f t="shared" si="3"/>
        <v>0</v>
      </c>
      <c r="Y289" s="45">
        <f t="shared" si="4"/>
        <v>0</v>
      </c>
      <c r="Z289" s="42" t="str">
        <f>CONFERENCIAS!AB289</f>
        <v/>
      </c>
      <c r="AA289" s="42" t="str">
        <f>CONFERENCIAS!AC289</f>
        <v/>
      </c>
      <c r="AB289" s="47" t="str">
        <f t="shared" si="5"/>
        <v/>
      </c>
      <c r="AC289" s="9" t="str">
        <f t="shared" si="6"/>
        <v/>
      </c>
    </row>
    <row r="290">
      <c r="A290" s="42" t="str">
        <f>CONFERENCIAS!A290</f>
        <v/>
      </c>
      <c r="D290" s="42" t="str">
        <f>CONFERENCIAS!C290</f>
        <v/>
      </c>
      <c r="E290" s="42" t="str">
        <f>CONFERENCIAS!K290</f>
        <v/>
      </c>
      <c r="F290" s="49" t="str">
        <f>CONFERENCIAS!J290</f>
        <v/>
      </c>
      <c r="G290" s="42" t="str">
        <f>CONFERENCIAS!O290</f>
        <v/>
      </c>
      <c r="H290" s="42" t="str">
        <f>CONFERENCIAS!X290</f>
        <v/>
      </c>
      <c r="I290" s="42" t="str">
        <f>CONFERENCIAS!AA290</f>
        <v/>
      </c>
      <c r="J290" s="44" t="str">
        <f>CONFERENCIAS!P290</f>
        <v/>
      </c>
      <c r="K290" s="45" t="str">
        <f>CONFERENCIAS!R290</f>
        <v/>
      </c>
      <c r="L290" s="45">
        <f>IF(D290="",0,
 IF(E290=1,
   IF(H290="Presencial",
      VLOOKUP(D290,TARIFAS!A:K,3,FALSE) + IF(I290="Sí",VLOOKUP(D290,TARIFAS!A:K,5,FALSE),0),
      VLOOKUP(D290,TARIFAS!A:K,4,FALSE) + IF(I290="Sí",VLOOKUP(D290,TARIFAS!A:K,5,FALSE),0)
   ),
   IF(H290="Presencial",
      VLOOKUP(D290,TARIFAS!A:K,9,FALSE) + IF(I290="Sí",VLOOKUP(D290,TARIFAS!A:K,11,FALSE),0),
      VLOOKUP(D290,TARIFAS!A:K,10,FALSE) + IF(I290="Sí",VLOOKUP(D290,TARIFAS!A:K,11,FALSE),0)
   )
 )
)
</f>
        <v>0</v>
      </c>
      <c r="M290" s="45">
        <f>IF(J290="",0,MAX(0,J290 - TARIFAS!G$2) * TARIFAS!F$2)
</f>
        <v>0</v>
      </c>
      <c r="N290" s="45">
        <f>+L290*TARIFAS!$K$2</f>
        <v>0</v>
      </c>
      <c r="O290" s="45">
        <f t="shared" si="1"/>
        <v>0</v>
      </c>
      <c r="P290" s="45">
        <f>+M290+O290+K290+(+I290-(I290*TARIFAS!$K$2))</f>
        <v>0</v>
      </c>
      <c r="Q290" s="42" t="str">
        <f>CONFERENCIAS!T290</f>
        <v/>
      </c>
      <c r="R290" s="45" t="str">
        <f>CONFERENCIAS!U290</f>
        <v/>
      </c>
      <c r="S290" s="45" t="str">
        <f>CONFERENCIAS!W290</f>
        <v/>
      </c>
      <c r="T290" s="48">
        <f>IF(Q290="",0,
   IF(E290=1,
      IF(H290="Presencial",
         VLOOKUP(D290,TARIFAS!A:K,3,FALSE) + IF(I290="Sí",VLOOKUP(D290,TARIFAS!A:K,5,FALSE),0),
         VLOOKUP(D290,TARIFAS!A:K,4,FALSE) + IF(I290="Sí",VLOOKUP(D290,TARIFAS!A:K,5,FALSE),0)
      ),
      IF(H290="Presencial",
         VLOOKUP(D290,TARIFAS!A:K,9,FALSE) + IF(I290="Sí",VLOOKUP(D290,TARIFAS!A:K,11,FALSE),0),
         VLOOKUP(D290,TARIFAS!A:K,10,FALSE) + IF(I290="Sí",VLOOKUP(D290,TARIFAS!A:K,11,FALSE),0)
      )
   )
)
</f>
        <v>0</v>
      </c>
      <c r="U290" s="45">
        <f>IF(R290="",0,MAX(0,R290 - TARIFAS!G$2) * TARIFAS!F$2)
</f>
        <v>0</v>
      </c>
      <c r="V290" s="45">
        <f>+T290*TARIFAS!$K$2</f>
        <v>0</v>
      </c>
      <c r="W290" s="45">
        <f t="shared" si="2"/>
        <v>0</v>
      </c>
      <c r="X290" s="45">
        <f t="shared" si="3"/>
        <v>0</v>
      </c>
      <c r="Y290" s="45">
        <f t="shared" si="4"/>
        <v>0</v>
      </c>
      <c r="Z290" s="42" t="str">
        <f>CONFERENCIAS!AB290</f>
        <v/>
      </c>
      <c r="AA290" s="42" t="str">
        <f>CONFERENCIAS!AC290</f>
        <v/>
      </c>
      <c r="AB290" s="47" t="str">
        <f t="shared" si="5"/>
        <v/>
      </c>
      <c r="AC290" s="9" t="str">
        <f t="shared" si="6"/>
        <v/>
      </c>
    </row>
    <row r="291">
      <c r="A291" s="42" t="str">
        <f>CONFERENCIAS!A291</f>
        <v/>
      </c>
      <c r="D291" s="42" t="str">
        <f>CONFERENCIAS!C291</f>
        <v/>
      </c>
      <c r="E291" s="42" t="str">
        <f>CONFERENCIAS!K291</f>
        <v/>
      </c>
      <c r="F291" s="49" t="str">
        <f>CONFERENCIAS!J291</f>
        <v/>
      </c>
      <c r="G291" s="42" t="str">
        <f>CONFERENCIAS!O291</f>
        <v/>
      </c>
      <c r="H291" s="42" t="str">
        <f>CONFERENCIAS!X291</f>
        <v/>
      </c>
      <c r="I291" s="42" t="str">
        <f>CONFERENCIAS!AA291</f>
        <v/>
      </c>
      <c r="J291" s="44" t="str">
        <f>CONFERENCIAS!P291</f>
        <v/>
      </c>
      <c r="K291" s="45" t="str">
        <f>CONFERENCIAS!R291</f>
        <v/>
      </c>
      <c r="L291" s="45">
        <f>IF(D291="",0,
 IF(E291=1,
   IF(H291="Presencial",
      VLOOKUP(D291,TARIFAS!A:K,3,FALSE) + IF(I291="Sí",VLOOKUP(D291,TARIFAS!A:K,5,FALSE),0),
      VLOOKUP(D291,TARIFAS!A:K,4,FALSE) + IF(I291="Sí",VLOOKUP(D291,TARIFAS!A:K,5,FALSE),0)
   ),
   IF(H291="Presencial",
      VLOOKUP(D291,TARIFAS!A:K,9,FALSE) + IF(I291="Sí",VLOOKUP(D291,TARIFAS!A:K,11,FALSE),0),
      VLOOKUP(D291,TARIFAS!A:K,10,FALSE) + IF(I291="Sí",VLOOKUP(D291,TARIFAS!A:K,11,FALSE),0)
   )
 )
)
</f>
        <v>0</v>
      </c>
      <c r="M291" s="45">
        <f>IF(J291="",0,MAX(0,J291 - TARIFAS!G$2) * TARIFAS!F$2)
</f>
        <v>0</v>
      </c>
      <c r="N291" s="45">
        <f>+L291*TARIFAS!$K$2</f>
        <v>0</v>
      </c>
      <c r="O291" s="45">
        <f t="shared" si="1"/>
        <v>0</v>
      </c>
      <c r="P291" s="45">
        <f>+M291+O291+K291+(+I291-(I291*TARIFAS!$K$2))</f>
        <v>0</v>
      </c>
      <c r="Q291" s="42" t="str">
        <f>CONFERENCIAS!T291</f>
        <v/>
      </c>
      <c r="R291" s="45" t="str">
        <f>CONFERENCIAS!U291</f>
        <v/>
      </c>
      <c r="S291" s="45" t="str">
        <f>CONFERENCIAS!W291</f>
        <v/>
      </c>
      <c r="T291" s="48">
        <f>IF(Q291="",0,
   IF(E291=1,
      IF(H291="Presencial",
         VLOOKUP(D291,TARIFAS!A:K,3,FALSE) + IF(I291="Sí",VLOOKUP(D291,TARIFAS!A:K,5,FALSE),0),
         VLOOKUP(D291,TARIFAS!A:K,4,FALSE) + IF(I291="Sí",VLOOKUP(D291,TARIFAS!A:K,5,FALSE),0)
      ),
      IF(H291="Presencial",
         VLOOKUP(D291,TARIFAS!A:K,9,FALSE) + IF(I291="Sí",VLOOKUP(D291,TARIFAS!A:K,11,FALSE),0),
         VLOOKUP(D291,TARIFAS!A:K,10,FALSE) + IF(I291="Sí",VLOOKUP(D291,TARIFAS!A:K,11,FALSE),0)
      )
   )
)
</f>
        <v>0</v>
      </c>
      <c r="U291" s="45">
        <f>IF(R291="",0,MAX(0,R291 - TARIFAS!G$2) * TARIFAS!F$2)
</f>
        <v>0</v>
      </c>
      <c r="V291" s="45">
        <f>+T291*TARIFAS!$K$2</f>
        <v>0</v>
      </c>
      <c r="W291" s="45">
        <f t="shared" si="2"/>
        <v>0</v>
      </c>
      <c r="X291" s="45">
        <f t="shared" si="3"/>
        <v>0</v>
      </c>
      <c r="Y291" s="45">
        <f t="shared" si="4"/>
        <v>0</v>
      </c>
      <c r="Z291" s="42" t="str">
        <f>CONFERENCIAS!AB291</f>
        <v/>
      </c>
      <c r="AA291" s="42" t="str">
        <f>CONFERENCIAS!AC291</f>
        <v/>
      </c>
      <c r="AB291" s="47" t="str">
        <f t="shared" si="5"/>
        <v/>
      </c>
      <c r="AC291" s="9" t="str">
        <f t="shared" si="6"/>
        <v/>
      </c>
    </row>
    <row r="292">
      <c r="A292" s="42" t="str">
        <f>CONFERENCIAS!A292</f>
        <v/>
      </c>
      <c r="D292" s="42" t="str">
        <f>CONFERENCIAS!C292</f>
        <v/>
      </c>
      <c r="E292" s="42" t="str">
        <f>CONFERENCIAS!K292</f>
        <v/>
      </c>
      <c r="F292" s="49" t="str">
        <f>CONFERENCIAS!J292</f>
        <v/>
      </c>
      <c r="G292" s="42" t="str">
        <f>CONFERENCIAS!O292</f>
        <v/>
      </c>
      <c r="H292" s="42" t="str">
        <f>CONFERENCIAS!X292</f>
        <v/>
      </c>
      <c r="I292" s="42" t="str">
        <f>CONFERENCIAS!AA292</f>
        <v/>
      </c>
      <c r="J292" s="44" t="str">
        <f>CONFERENCIAS!P292</f>
        <v/>
      </c>
      <c r="K292" s="45" t="str">
        <f>CONFERENCIAS!R292</f>
        <v/>
      </c>
      <c r="L292" s="45">
        <f>IF(D292="",0,
 IF(E292=1,
   IF(H292="Presencial",
      VLOOKUP(D292,TARIFAS!A:K,3,FALSE) + IF(I292="Sí",VLOOKUP(D292,TARIFAS!A:K,5,FALSE),0),
      VLOOKUP(D292,TARIFAS!A:K,4,FALSE) + IF(I292="Sí",VLOOKUP(D292,TARIFAS!A:K,5,FALSE),0)
   ),
   IF(H292="Presencial",
      VLOOKUP(D292,TARIFAS!A:K,9,FALSE) + IF(I292="Sí",VLOOKUP(D292,TARIFAS!A:K,11,FALSE),0),
      VLOOKUP(D292,TARIFAS!A:K,10,FALSE) + IF(I292="Sí",VLOOKUP(D292,TARIFAS!A:K,11,FALSE),0)
   )
 )
)
</f>
        <v>0</v>
      </c>
      <c r="M292" s="45">
        <f>IF(J292="",0,MAX(0,J292 - TARIFAS!G$2) * TARIFAS!F$2)
</f>
        <v>0</v>
      </c>
      <c r="N292" s="45">
        <f>+L292*TARIFAS!$K$2</f>
        <v>0</v>
      </c>
      <c r="O292" s="45">
        <f t="shared" si="1"/>
        <v>0</v>
      </c>
      <c r="P292" s="45">
        <f>+M292+O292+K292+(+I292-(I292*TARIFAS!$K$2))</f>
        <v>0</v>
      </c>
      <c r="Q292" s="42" t="str">
        <f>CONFERENCIAS!T292</f>
        <v/>
      </c>
      <c r="R292" s="45" t="str">
        <f>CONFERENCIAS!U292</f>
        <v/>
      </c>
      <c r="S292" s="45" t="str">
        <f>CONFERENCIAS!W292</f>
        <v/>
      </c>
      <c r="T292" s="48">
        <f>IF(Q292="",0,
   IF(E292=1,
      IF(H292="Presencial",
         VLOOKUP(D292,TARIFAS!A:K,3,FALSE) + IF(I292="Sí",VLOOKUP(D292,TARIFAS!A:K,5,FALSE),0),
         VLOOKUP(D292,TARIFAS!A:K,4,FALSE) + IF(I292="Sí",VLOOKUP(D292,TARIFAS!A:K,5,FALSE),0)
      ),
      IF(H292="Presencial",
         VLOOKUP(D292,TARIFAS!A:K,9,FALSE) + IF(I292="Sí",VLOOKUP(D292,TARIFAS!A:K,11,FALSE),0),
         VLOOKUP(D292,TARIFAS!A:K,10,FALSE) + IF(I292="Sí",VLOOKUP(D292,TARIFAS!A:K,11,FALSE),0)
      )
   )
)
</f>
        <v>0</v>
      </c>
      <c r="U292" s="45">
        <f>IF(R292="",0,MAX(0,R292 - TARIFAS!G$2) * TARIFAS!F$2)
</f>
        <v>0</v>
      </c>
      <c r="V292" s="45">
        <f>+T292*TARIFAS!$K$2</f>
        <v>0</v>
      </c>
      <c r="W292" s="45">
        <f t="shared" si="2"/>
        <v>0</v>
      </c>
      <c r="X292" s="45">
        <f t="shared" si="3"/>
        <v>0</v>
      </c>
      <c r="Y292" s="45">
        <f t="shared" si="4"/>
        <v>0</v>
      </c>
      <c r="Z292" s="42" t="str">
        <f>CONFERENCIAS!AB292</f>
        <v/>
      </c>
      <c r="AA292" s="42" t="str">
        <f>CONFERENCIAS!AC292</f>
        <v/>
      </c>
      <c r="AB292" s="47" t="str">
        <f t="shared" si="5"/>
        <v/>
      </c>
      <c r="AC292" s="9" t="str">
        <f t="shared" si="6"/>
        <v/>
      </c>
    </row>
    <row r="293">
      <c r="A293" s="42" t="str">
        <f>CONFERENCIAS!A293</f>
        <v/>
      </c>
      <c r="D293" s="42" t="str">
        <f>CONFERENCIAS!C293</f>
        <v/>
      </c>
      <c r="E293" s="42" t="str">
        <f>CONFERENCIAS!K293</f>
        <v/>
      </c>
      <c r="F293" s="49" t="str">
        <f>CONFERENCIAS!J293</f>
        <v/>
      </c>
      <c r="G293" s="42" t="str">
        <f>CONFERENCIAS!O293</f>
        <v/>
      </c>
      <c r="H293" s="42" t="str">
        <f>CONFERENCIAS!X293</f>
        <v/>
      </c>
      <c r="I293" s="42" t="str">
        <f>CONFERENCIAS!AA293</f>
        <v/>
      </c>
      <c r="J293" s="44" t="str">
        <f>CONFERENCIAS!P293</f>
        <v/>
      </c>
      <c r="K293" s="45" t="str">
        <f>CONFERENCIAS!R293</f>
        <v/>
      </c>
      <c r="L293" s="45">
        <f>IF(D293="",0,
 IF(E293=1,
   IF(H293="Presencial",
      VLOOKUP(D293,TARIFAS!A:K,3,FALSE) + IF(I293="Sí",VLOOKUP(D293,TARIFAS!A:K,5,FALSE),0),
      VLOOKUP(D293,TARIFAS!A:K,4,FALSE) + IF(I293="Sí",VLOOKUP(D293,TARIFAS!A:K,5,FALSE),0)
   ),
   IF(H293="Presencial",
      VLOOKUP(D293,TARIFAS!A:K,9,FALSE) + IF(I293="Sí",VLOOKUP(D293,TARIFAS!A:K,11,FALSE),0),
      VLOOKUP(D293,TARIFAS!A:K,10,FALSE) + IF(I293="Sí",VLOOKUP(D293,TARIFAS!A:K,11,FALSE),0)
   )
 )
)
</f>
        <v>0</v>
      </c>
      <c r="M293" s="45">
        <f>IF(J293="",0,MAX(0,J293 - TARIFAS!G$2) * TARIFAS!F$2)
</f>
        <v>0</v>
      </c>
      <c r="N293" s="45">
        <f>+L293*TARIFAS!$K$2</f>
        <v>0</v>
      </c>
      <c r="O293" s="45">
        <f t="shared" si="1"/>
        <v>0</v>
      </c>
      <c r="P293" s="45">
        <f>+M293+O293+K293+(+I293-(I293*TARIFAS!$K$2))</f>
        <v>0</v>
      </c>
      <c r="Q293" s="42" t="str">
        <f>CONFERENCIAS!T293</f>
        <v/>
      </c>
      <c r="R293" s="45" t="str">
        <f>CONFERENCIAS!U293</f>
        <v/>
      </c>
      <c r="S293" s="45" t="str">
        <f>CONFERENCIAS!W293</f>
        <v/>
      </c>
      <c r="T293" s="48">
        <f>IF(Q293="",0,
   IF(E293=1,
      IF(H293="Presencial",
         VLOOKUP(D293,TARIFAS!A:K,3,FALSE) + IF(I293="Sí",VLOOKUP(D293,TARIFAS!A:K,5,FALSE),0),
         VLOOKUP(D293,TARIFAS!A:K,4,FALSE) + IF(I293="Sí",VLOOKUP(D293,TARIFAS!A:K,5,FALSE),0)
      ),
      IF(H293="Presencial",
         VLOOKUP(D293,TARIFAS!A:K,9,FALSE) + IF(I293="Sí",VLOOKUP(D293,TARIFAS!A:K,11,FALSE),0),
         VLOOKUP(D293,TARIFAS!A:K,10,FALSE) + IF(I293="Sí",VLOOKUP(D293,TARIFAS!A:K,11,FALSE),0)
      )
   )
)
</f>
        <v>0</v>
      </c>
      <c r="U293" s="45">
        <f>IF(R293="",0,MAX(0,R293 - TARIFAS!G$2) * TARIFAS!F$2)
</f>
        <v>0</v>
      </c>
      <c r="V293" s="45">
        <f>+T293*TARIFAS!$K$2</f>
        <v>0</v>
      </c>
      <c r="W293" s="45">
        <f t="shared" si="2"/>
        <v>0</v>
      </c>
      <c r="X293" s="45">
        <f t="shared" si="3"/>
        <v>0</v>
      </c>
      <c r="Y293" s="45">
        <f t="shared" si="4"/>
        <v>0</v>
      </c>
      <c r="Z293" s="42" t="str">
        <f>CONFERENCIAS!AB293</f>
        <v/>
      </c>
      <c r="AA293" s="42" t="str">
        <f>CONFERENCIAS!AC293</f>
        <v/>
      </c>
      <c r="AB293" s="47" t="str">
        <f t="shared" si="5"/>
        <v/>
      </c>
      <c r="AC293" s="9" t="str">
        <f t="shared" si="6"/>
        <v/>
      </c>
    </row>
    <row r="294">
      <c r="A294" s="42" t="str">
        <f>CONFERENCIAS!A294</f>
        <v/>
      </c>
      <c r="D294" s="42" t="str">
        <f>CONFERENCIAS!C294</f>
        <v/>
      </c>
      <c r="E294" s="42" t="str">
        <f>CONFERENCIAS!K294</f>
        <v/>
      </c>
      <c r="F294" s="49" t="str">
        <f>CONFERENCIAS!J294</f>
        <v/>
      </c>
      <c r="G294" s="42" t="str">
        <f>CONFERENCIAS!O294</f>
        <v/>
      </c>
      <c r="H294" s="42" t="str">
        <f>CONFERENCIAS!X294</f>
        <v/>
      </c>
      <c r="I294" s="42" t="str">
        <f>CONFERENCIAS!AA294</f>
        <v/>
      </c>
      <c r="J294" s="44" t="str">
        <f>CONFERENCIAS!P294</f>
        <v/>
      </c>
      <c r="K294" s="45" t="str">
        <f>CONFERENCIAS!R294</f>
        <v/>
      </c>
      <c r="L294" s="45">
        <f>IF(D294="",0,
 IF(E294=1,
   IF(H294="Presencial",
      VLOOKUP(D294,TARIFAS!A:K,3,FALSE) + IF(I294="Sí",VLOOKUP(D294,TARIFAS!A:K,5,FALSE),0),
      VLOOKUP(D294,TARIFAS!A:K,4,FALSE) + IF(I294="Sí",VLOOKUP(D294,TARIFAS!A:K,5,FALSE),0)
   ),
   IF(H294="Presencial",
      VLOOKUP(D294,TARIFAS!A:K,9,FALSE) + IF(I294="Sí",VLOOKUP(D294,TARIFAS!A:K,11,FALSE),0),
      VLOOKUP(D294,TARIFAS!A:K,10,FALSE) + IF(I294="Sí",VLOOKUP(D294,TARIFAS!A:K,11,FALSE),0)
   )
 )
)
</f>
        <v>0</v>
      </c>
      <c r="M294" s="45">
        <f>IF(J294="",0,MAX(0,J294 - TARIFAS!G$2) * TARIFAS!F$2)
</f>
        <v>0</v>
      </c>
      <c r="N294" s="45">
        <f>+L294*TARIFAS!$K$2</f>
        <v>0</v>
      </c>
      <c r="O294" s="45">
        <f t="shared" si="1"/>
        <v>0</v>
      </c>
      <c r="P294" s="45">
        <f>+M294+O294+K294+(+I294-(I294*TARIFAS!$K$2))</f>
        <v>0</v>
      </c>
      <c r="Q294" s="42" t="str">
        <f>CONFERENCIAS!T294</f>
        <v/>
      </c>
      <c r="R294" s="45" t="str">
        <f>CONFERENCIAS!U294</f>
        <v/>
      </c>
      <c r="S294" s="45" t="str">
        <f>CONFERENCIAS!W294</f>
        <v/>
      </c>
      <c r="T294" s="48">
        <f>IF(Q294="",0,
   IF(E294=1,
      IF(H294="Presencial",
         VLOOKUP(D294,TARIFAS!A:K,3,FALSE) + IF(I294="Sí",VLOOKUP(D294,TARIFAS!A:K,5,FALSE),0),
         VLOOKUP(D294,TARIFAS!A:K,4,FALSE) + IF(I294="Sí",VLOOKUP(D294,TARIFAS!A:K,5,FALSE),0)
      ),
      IF(H294="Presencial",
         VLOOKUP(D294,TARIFAS!A:K,9,FALSE) + IF(I294="Sí",VLOOKUP(D294,TARIFAS!A:K,11,FALSE),0),
         VLOOKUP(D294,TARIFAS!A:K,10,FALSE) + IF(I294="Sí",VLOOKUP(D294,TARIFAS!A:K,11,FALSE),0)
      )
   )
)
</f>
        <v>0</v>
      </c>
      <c r="U294" s="45">
        <f>IF(R294="",0,MAX(0,R294 - TARIFAS!G$2) * TARIFAS!F$2)
</f>
        <v>0</v>
      </c>
      <c r="V294" s="45">
        <f>+T294*TARIFAS!$K$2</f>
        <v>0</v>
      </c>
      <c r="W294" s="45">
        <f t="shared" si="2"/>
        <v>0</v>
      </c>
      <c r="X294" s="45">
        <f t="shared" si="3"/>
        <v>0</v>
      </c>
      <c r="Y294" s="45">
        <f t="shared" si="4"/>
        <v>0</v>
      </c>
      <c r="Z294" s="42" t="str">
        <f>CONFERENCIAS!AB294</f>
        <v/>
      </c>
      <c r="AA294" s="42" t="str">
        <f>CONFERENCIAS!AC294</f>
        <v/>
      </c>
      <c r="AB294" s="47" t="str">
        <f t="shared" si="5"/>
        <v/>
      </c>
      <c r="AC294" s="9" t="str">
        <f t="shared" si="6"/>
        <v/>
      </c>
    </row>
    <row r="295">
      <c r="A295" s="42" t="str">
        <f>CONFERENCIAS!A295</f>
        <v/>
      </c>
      <c r="D295" s="42" t="str">
        <f>CONFERENCIAS!C295</f>
        <v/>
      </c>
      <c r="E295" s="42" t="str">
        <f>CONFERENCIAS!K295</f>
        <v/>
      </c>
      <c r="F295" s="49" t="str">
        <f>CONFERENCIAS!J295</f>
        <v/>
      </c>
      <c r="G295" s="42" t="str">
        <f>CONFERENCIAS!O295</f>
        <v/>
      </c>
      <c r="H295" s="42" t="str">
        <f>CONFERENCIAS!X295</f>
        <v/>
      </c>
      <c r="I295" s="42" t="str">
        <f>CONFERENCIAS!AA295</f>
        <v/>
      </c>
      <c r="J295" s="44" t="str">
        <f>CONFERENCIAS!P295</f>
        <v/>
      </c>
      <c r="K295" s="45" t="str">
        <f>CONFERENCIAS!R295</f>
        <v/>
      </c>
      <c r="L295" s="45">
        <f>IF(D295="",0,
 IF(E295=1,
   IF(H295="Presencial",
      VLOOKUP(D295,TARIFAS!A:K,3,FALSE) + IF(I295="Sí",VLOOKUP(D295,TARIFAS!A:K,5,FALSE),0),
      VLOOKUP(D295,TARIFAS!A:K,4,FALSE) + IF(I295="Sí",VLOOKUP(D295,TARIFAS!A:K,5,FALSE),0)
   ),
   IF(H295="Presencial",
      VLOOKUP(D295,TARIFAS!A:K,9,FALSE) + IF(I295="Sí",VLOOKUP(D295,TARIFAS!A:K,11,FALSE),0),
      VLOOKUP(D295,TARIFAS!A:K,10,FALSE) + IF(I295="Sí",VLOOKUP(D295,TARIFAS!A:K,11,FALSE),0)
   )
 )
)
</f>
        <v>0</v>
      </c>
      <c r="M295" s="45">
        <f>IF(J295="",0,MAX(0,J295 - TARIFAS!G$2) * TARIFAS!F$2)
</f>
        <v>0</v>
      </c>
      <c r="N295" s="45">
        <f>+L295*TARIFAS!$K$2</f>
        <v>0</v>
      </c>
      <c r="O295" s="45">
        <f t="shared" si="1"/>
        <v>0</v>
      </c>
      <c r="P295" s="45">
        <f>+M295+O295+K295+(+I295-(I295*TARIFAS!$K$2))</f>
        <v>0</v>
      </c>
      <c r="Q295" s="42" t="str">
        <f>CONFERENCIAS!T295</f>
        <v/>
      </c>
      <c r="R295" s="45" t="str">
        <f>CONFERENCIAS!U295</f>
        <v/>
      </c>
      <c r="S295" s="45" t="str">
        <f>CONFERENCIAS!W295</f>
        <v/>
      </c>
      <c r="T295" s="48">
        <f>IF(Q295="",0,
   IF(E295=1,
      IF(H295="Presencial",
         VLOOKUP(D295,TARIFAS!A:K,3,FALSE) + IF(I295="Sí",VLOOKUP(D295,TARIFAS!A:K,5,FALSE),0),
         VLOOKUP(D295,TARIFAS!A:K,4,FALSE) + IF(I295="Sí",VLOOKUP(D295,TARIFAS!A:K,5,FALSE),0)
      ),
      IF(H295="Presencial",
         VLOOKUP(D295,TARIFAS!A:K,9,FALSE) + IF(I295="Sí",VLOOKUP(D295,TARIFAS!A:K,11,FALSE),0),
         VLOOKUP(D295,TARIFAS!A:K,10,FALSE) + IF(I295="Sí",VLOOKUP(D295,TARIFAS!A:K,11,FALSE),0)
      )
   )
)
</f>
        <v>0</v>
      </c>
      <c r="U295" s="45">
        <f>IF(R295="",0,MAX(0,R295 - TARIFAS!G$2) * TARIFAS!F$2)
</f>
        <v>0</v>
      </c>
      <c r="V295" s="45">
        <f>+T295*TARIFAS!$K$2</f>
        <v>0</v>
      </c>
      <c r="W295" s="45">
        <f t="shared" si="2"/>
        <v>0</v>
      </c>
      <c r="X295" s="45">
        <f t="shared" si="3"/>
        <v>0</v>
      </c>
      <c r="Y295" s="45">
        <f t="shared" si="4"/>
        <v>0</v>
      </c>
      <c r="Z295" s="42" t="str">
        <f>CONFERENCIAS!AB295</f>
        <v/>
      </c>
      <c r="AA295" s="42" t="str">
        <f>CONFERENCIAS!AC295</f>
        <v/>
      </c>
      <c r="AB295" s="47" t="str">
        <f t="shared" si="5"/>
        <v/>
      </c>
      <c r="AC295" s="9" t="str">
        <f t="shared" si="6"/>
        <v/>
      </c>
    </row>
    <row r="296">
      <c r="A296" s="42" t="str">
        <f>CONFERENCIAS!A296</f>
        <v/>
      </c>
      <c r="D296" s="42" t="str">
        <f>CONFERENCIAS!C296</f>
        <v/>
      </c>
      <c r="E296" s="42" t="str">
        <f>CONFERENCIAS!K296</f>
        <v/>
      </c>
      <c r="F296" s="49" t="str">
        <f>CONFERENCIAS!J296</f>
        <v/>
      </c>
      <c r="G296" s="42" t="str">
        <f>CONFERENCIAS!O296</f>
        <v/>
      </c>
      <c r="H296" s="42" t="str">
        <f>CONFERENCIAS!X296</f>
        <v/>
      </c>
      <c r="I296" s="42" t="str">
        <f>CONFERENCIAS!AA296</f>
        <v/>
      </c>
      <c r="J296" s="44" t="str">
        <f>CONFERENCIAS!P296</f>
        <v/>
      </c>
      <c r="K296" s="45" t="str">
        <f>CONFERENCIAS!R296</f>
        <v/>
      </c>
      <c r="L296" s="45">
        <f>IF(D296="",0,
 IF(E296=1,
   IF(H296="Presencial",
      VLOOKUP(D296,TARIFAS!A:K,3,FALSE) + IF(I296="Sí",VLOOKUP(D296,TARIFAS!A:K,5,FALSE),0),
      VLOOKUP(D296,TARIFAS!A:K,4,FALSE) + IF(I296="Sí",VLOOKUP(D296,TARIFAS!A:K,5,FALSE),0)
   ),
   IF(H296="Presencial",
      VLOOKUP(D296,TARIFAS!A:K,9,FALSE) + IF(I296="Sí",VLOOKUP(D296,TARIFAS!A:K,11,FALSE),0),
      VLOOKUP(D296,TARIFAS!A:K,10,FALSE) + IF(I296="Sí",VLOOKUP(D296,TARIFAS!A:K,11,FALSE),0)
   )
 )
)
</f>
        <v>0</v>
      </c>
      <c r="M296" s="45">
        <f>IF(J296="",0,MAX(0,J296 - TARIFAS!G$2) * TARIFAS!F$2)
</f>
        <v>0</v>
      </c>
      <c r="N296" s="45">
        <f>+L296*TARIFAS!$K$2</f>
        <v>0</v>
      </c>
      <c r="O296" s="45">
        <f t="shared" si="1"/>
        <v>0</v>
      </c>
      <c r="P296" s="45">
        <f>+M296+O296+K296+(+I296-(I296*TARIFAS!$K$2))</f>
        <v>0</v>
      </c>
      <c r="Q296" s="42" t="str">
        <f>CONFERENCIAS!T296</f>
        <v/>
      </c>
      <c r="R296" s="45" t="str">
        <f>CONFERENCIAS!U296</f>
        <v/>
      </c>
      <c r="S296" s="45" t="str">
        <f>CONFERENCIAS!W296</f>
        <v/>
      </c>
      <c r="T296" s="48">
        <f>IF(Q296="",0,
   IF(E296=1,
      IF(H296="Presencial",
         VLOOKUP(D296,TARIFAS!A:K,3,FALSE) + IF(I296="Sí",VLOOKUP(D296,TARIFAS!A:K,5,FALSE),0),
         VLOOKUP(D296,TARIFAS!A:K,4,FALSE) + IF(I296="Sí",VLOOKUP(D296,TARIFAS!A:K,5,FALSE),0)
      ),
      IF(H296="Presencial",
         VLOOKUP(D296,TARIFAS!A:K,9,FALSE) + IF(I296="Sí",VLOOKUP(D296,TARIFAS!A:K,11,FALSE),0),
         VLOOKUP(D296,TARIFAS!A:K,10,FALSE) + IF(I296="Sí",VLOOKUP(D296,TARIFAS!A:K,11,FALSE),0)
      )
   )
)
</f>
        <v>0</v>
      </c>
      <c r="U296" s="45">
        <f>IF(R296="",0,MAX(0,R296 - TARIFAS!G$2) * TARIFAS!F$2)
</f>
        <v>0</v>
      </c>
      <c r="V296" s="45">
        <f>+T296*TARIFAS!$K$2</f>
        <v>0</v>
      </c>
      <c r="W296" s="45">
        <f t="shared" si="2"/>
        <v>0</v>
      </c>
      <c r="X296" s="45">
        <f t="shared" si="3"/>
        <v>0</v>
      </c>
      <c r="Y296" s="45">
        <f t="shared" si="4"/>
        <v>0</v>
      </c>
      <c r="Z296" s="42" t="str">
        <f>CONFERENCIAS!AB296</f>
        <v/>
      </c>
      <c r="AA296" s="42" t="str">
        <f>CONFERENCIAS!AC296</f>
        <v/>
      </c>
      <c r="AB296" s="47" t="str">
        <f t="shared" si="5"/>
        <v/>
      </c>
      <c r="AC296" s="9" t="str">
        <f t="shared" si="6"/>
        <v/>
      </c>
    </row>
    <row r="297">
      <c r="A297" s="42" t="str">
        <f>CONFERENCIAS!A297</f>
        <v/>
      </c>
      <c r="D297" s="42" t="str">
        <f>CONFERENCIAS!C297</f>
        <v/>
      </c>
      <c r="E297" s="42" t="str">
        <f>CONFERENCIAS!K297</f>
        <v/>
      </c>
      <c r="F297" s="49" t="str">
        <f>CONFERENCIAS!J297</f>
        <v/>
      </c>
      <c r="G297" s="42" t="str">
        <f>CONFERENCIAS!O297</f>
        <v/>
      </c>
      <c r="H297" s="42" t="str">
        <f>CONFERENCIAS!X297</f>
        <v/>
      </c>
      <c r="I297" s="42" t="str">
        <f>CONFERENCIAS!AA297</f>
        <v/>
      </c>
      <c r="J297" s="44" t="str">
        <f>CONFERENCIAS!P297</f>
        <v/>
      </c>
      <c r="K297" s="45" t="str">
        <f>CONFERENCIAS!R297</f>
        <v/>
      </c>
      <c r="L297" s="45">
        <f>IF(D297="",0,
 IF(E297=1,
   IF(H297="Presencial",
      VLOOKUP(D297,TARIFAS!A:K,3,FALSE) + IF(I297="Sí",VLOOKUP(D297,TARIFAS!A:K,5,FALSE),0),
      VLOOKUP(D297,TARIFAS!A:K,4,FALSE) + IF(I297="Sí",VLOOKUP(D297,TARIFAS!A:K,5,FALSE),0)
   ),
   IF(H297="Presencial",
      VLOOKUP(D297,TARIFAS!A:K,9,FALSE) + IF(I297="Sí",VLOOKUP(D297,TARIFAS!A:K,11,FALSE),0),
      VLOOKUP(D297,TARIFAS!A:K,10,FALSE) + IF(I297="Sí",VLOOKUP(D297,TARIFAS!A:K,11,FALSE),0)
   )
 )
)
</f>
        <v>0</v>
      </c>
      <c r="M297" s="45">
        <f>IF(J297="",0,MAX(0,J297 - TARIFAS!G$2) * TARIFAS!F$2)
</f>
        <v>0</v>
      </c>
      <c r="N297" s="45">
        <f>+L297*TARIFAS!$K$2</f>
        <v>0</v>
      </c>
      <c r="O297" s="45">
        <f t="shared" si="1"/>
        <v>0</v>
      </c>
      <c r="P297" s="45">
        <f>+M297+O297+K297+(+I297-(I297*TARIFAS!$K$2))</f>
        <v>0</v>
      </c>
      <c r="Q297" s="42" t="str">
        <f>CONFERENCIAS!T297</f>
        <v/>
      </c>
      <c r="R297" s="45" t="str">
        <f>CONFERENCIAS!U297</f>
        <v/>
      </c>
      <c r="S297" s="45" t="str">
        <f>CONFERENCIAS!W297</f>
        <v/>
      </c>
      <c r="T297" s="48">
        <f>IF(Q297="",0,
   IF(E297=1,
      IF(H297="Presencial",
         VLOOKUP(D297,TARIFAS!A:K,3,FALSE) + IF(I297="Sí",VLOOKUP(D297,TARIFAS!A:K,5,FALSE),0),
         VLOOKUP(D297,TARIFAS!A:K,4,FALSE) + IF(I297="Sí",VLOOKUP(D297,TARIFAS!A:K,5,FALSE),0)
      ),
      IF(H297="Presencial",
         VLOOKUP(D297,TARIFAS!A:K,9,FALSE) + IF(I297="Sí",VLOOKUP(D297,TARIFAS!A:K,11,FALSE),0),
         VLOOKUP(D297,TARIFAS!A:K,10,FALSE) + IF(I297="Sí",VLOOKUP(D297,TARIFAS!A:K,11,FALSE),0)
      )
   )
)
</f>
        <v>0</v>
      </c>
      <c r="U297" s="45">
        <f>IF(R297="",0,MAX(0,R297 - TARIFAS!G$2) * TARIFAS!F$2)
</f>
        <v>0</v>
      </c>
      <c r="V297" s="45">
        <f>+T297*TARIFAS!$K$2</f>
        <v>0</v>
      </c>
      <c r="W297" s="45">
        <f t="shared" si="2"/>
        <v>0</v>
      </c>
      <c r="X297" s="45">
        <f t="shared" si="3"/>
        <v>0</v>
      </c>
      <c r="Y297" s="45">
        <f t="shared" si="4"/>
        <v>0</v>
      </c>
      <c r="Z297" s="42" t="str">
        <f>CONFERENCIAS!AB297</f>
        <v/>
      </c>
      <c r="AA297" s="42" t="str">
        <f>CONFERENCIAS!AC297</f>
        <v/>
      </c>
      <c r="AB297" s="47" t="str">
        <f t="shared" si="5"/>
        <v/>
      </c>
      <c r="AC297" s="9" t="str">
        <f t="shared" si="6"/>
        <v/>
      </c>
    </row>
    <row r="298">
      <c r="A298" s="42" t="str">
        <f>CONFERENCIAS!A298</f>
        <v/>
      </c>
      <c r="D298" s="42" t="str">
        <f>CONFERENCIAS!C298</f>
        <v/>
      </c>
      <c r="E298" s="42" t="str">
        <f>CONFERENCIAS!K298</f>
        <v/>
      </c>
      <c r="F298" s="49" t="str">
        <f>CONFERENCIAS!J298</f>
        <v/>
      </c>
      <c r="G298" s="42" t="str">
        <f>CONFERENCIAS!O298</f>
        <v/>
      </c>
      <c r="H298" s="42" t="str">
        <f>CONFERENCIAS!X298</f>
        <v/>
      </c>
      <c r="I298" s="42" t="str">
        <f>CONFERENCIAS!AA298</f>
        <v/>
      </c>
      <c r="J298" s="44" t="str">
        <f>CONFERENCIAS!P298</f>
        <v/>
      </c>
      <c r="K298" s="45" t="str">
        <f>CONFERENCIAS!R298</f>
        <v/>
      </c>
      <c r="L298" s="45">
        <f>IF(D298="",0,
 IF(E298=1,
   IF(H298="Presencial",
      VLOOKUP(D298,TARIFAS!A:K,3,FALSE) + IF(I298="Sí",VLOOKUP(D298,TARIFAS!A:K,5,FALSE),0),
      VLOOKUP(D298,TARIFAS!A:K,4,FALSE) + IF(I298="Sí",VLOOKUP(D298,TARIFAS!A:K,5,FALSE),0)
   ),
   IF(H298="Presencial",
      VLOOKUP(D298,TARIFAS!A:K,9,FALSE) + IF(I298="Sí",VLOOKUP(D298,TARIFAS!A:K,11,FALSE),0),
      VLOOKUP(D298,TARIFAS!A:K,10,FALSE) + IF(I298="Sí",VLOOKUP(D298,TARIFAS!A:K,11,FALSE),0)
   )
 )
)
</f>
        <v>0</v>
      </c>
      <c r="M298" s="45">
        <f>IF(J298="",0,MAX(0,J298 - TARIFAS!G$2) * TARIFAS!F$2)
</f>
        <v>0</v>
      </c>
      <c r="N298" s="45">
        <f>+L298*TARIFAS!$K$2</f>
        <v>0</v>
      </c>
      <c r="O298" s="45">
        <f t="shared" si="1"/>
        <v>0</v>
      </c>
      <c r="P298" s="45">
        <f>+M298+O298+K298+(+I298-(I298*TARIFAS!$K$2))</f>
        <v>0</v>
      </c>
      <c r="Q298" s="42" t="str">
        <f>CONFERENCIAS!T298</f>
        <v/>
      </c>
      <c r="R298" s="45" t="str">
        <f>CONFERENCIAS!U298</f>
        <v/>
      </c>
      <c r="S298" s="45" t="str">
        <f>CONFERENCIAS!W298</f>
        <v/>
      </c>
      <c r="T298" s="48">
        <f>IF(Q298="",0,
   IF(E298=1,
      IF(H298="Presencial",
         VLOOKUP(D298,TARIFAS!A:K,3,FALSE) + IF(I298="Sí",VLOOKUP(D298,TARIFAS!A:K,5,FALSE),0),
         VLOOKUP(D298,TARIFAS!A:K,4,FALSE) + IF(I298="Sí",VLOOKUP(D298,TARIFAS!A:K,5,FALSE),0)
      ),
      IF(H298="Presencial",
         VLOOKUP(D298,TARIFAS!A:K,9,FALSE) + IF(I298="Sí",VLOOKUP(D298,TARIFAS!A:K,11,FALSE),0),
         VLOOKUP(D298,TARIFAS!A:K,10,FALSE) + IF(I298="Sí",VLOOKUP(D298,TARIFAS!A:K,11,FALSE),0)
      )
   )
)
</f>
        <v>0</v>
      </c>
      <c r="U298" s="45">
        <f>IF(R298="",0,MAX(0,R298 - TARIFAS!G$2) * TARIFAS!F$2)
</f>
        <v>0</v>
      </c>
      <c r="V298" s="45">
        <f>+T298*TARIFAS!$K$2</f>
        <v>0</v>
      </c>
      <c r="W298" s="45">
        <f t="shared" si="2"/>
        <v>0</v>
      </c>
      <c r="X298" s="45">
        <f t="shared" si="3"/>
        <v>0</v>
      </c>
      <c r="Y298" s="45">
        <f t="shared" si="4"/>
        <v>0</v>
      </c>
      <c r="Z298" s="42" t="str">
        <f>CONFERENCIAS!AB298</f>
        <v/>
      </c>
      <c r="AA298" s="42" t="str">
        <f>CONFERENCIAS!AC298</f>
        <v/>
      </c>
      <c r="AB298" s="47" t="str">
        <f t="shared" si="5"/>
        <v/>
      </c>
      <c r="AC298" s="9" t="str">
        <f t="shared" si="6"/>
        <v/>
      </c>
    </row>
    <row r="299">
      <c r="A299" s="42" t="str">
        <f>CONFERENCIAS!A299</f>
        <v/>
      </c>
      <c r="D299" s="42" t="str">
        <f>CONFERENCIAS!C299</f>
        <v/>
      </c>
      <c r="E299" s="42" t="str">
        <f>CONFERENCIAS!K299</f>
        <v/>
      </c>
      <c r="F299" s="49" t="str">
        <f>CONFERENCIAS!J299</f>
        <v/>
      </c>
      <c r="G299" s="42" t="str">
        <f>CONFERENCIAS!O299</f>
        <v/>
      </c>
      <c r="H299" s="42" t="str">
        <f>CONFERENCIAS!X299</f>
        <v/>
      </c>
      <c r="I299" s="42" t="str">
        <f>CONFERENCIAS!AA299</f>
        <v/>
      </c>
      <c r="J299" s="44" t="str">
        <f>CONFERENCIAS!P299</f>
        <v/>
      </c>
      <c r="K299" s="45" t="str">
        <f>CONFERENCIAS!R299</f>
        <v/>
      </c>
      <c r="L299" s="45">
        <f>IF(D299="",0,
 IF(E299=1,
   IF(H299="Presencial",
      VLOOKUP(D299,TARIFAS!A:K,3,FALSE) + IF(I299="Sí",VLOOKUP(D299,TARIFAS!A:K,5,FALSE),0),
      VLOOKUP(D299,TARIFAS!A:K,4,FALSE) + IF(I299="Sí",VLOOKUP(D299,TARIFAS!A:K,5,FALSE),0)
   ),
   IF(H299="Presencial",
      VLOOKUP(D299,TARIFAS!A:K,9,FALSE) + IF(I299="Sí",VLOOKUP(D299,TARIFAS!A:K,11,FALSE),0),
      VLOOKUP(D299,TARIFAS!A:K,10,FALSE) + IF(I299="Sí",VLOOKUP(D299,TARIFAS!A:K,11,FALSE),0)
   )
 )
)
</f>
        <v>0</v>
      </c>
      <c r="M299" s="45">
        <f>IF(J299="",0,MAX(0,J299 - TARIFAS!G$2) * TARIFAS!F$2)
</f>
        <v>0</v>
      </c>
      <c r="N299" s="45">
        <f>+L299*TARIFAS!$K$2</f>
        <v>0</v>
      </c>
      <c r="O299" s="45">
        <f t="shared" si="1"/>
        <v>0</v>
      </c>
      <c r="P299" s="45">
        <f>+M299+O299+K299+(+I299-(I299*TARIFAS!$K$2))</f>
        <v>0</v>
      </c>
      <c r="Q299" s="42" t="str">
        <f>CONFERENCIAS!T299</f>
        <v/>
      </c>
      <c r="R299" s="45" t="str">
        <f>CONFERENCIAS!U299</f>
        <v/>
      </c>
      <c r="S299" s="45" t="str">
        <f>CONFERENCIAS!W299</f>
        <v/>
      </c>
      <c r="T299" s="48">
        <f>IF(Q299="",0,
   IF(E299=1,
      IF(H299="Presencial",
         VLOOKUP(D299,TARIFAS!A:K,3,FALSE) + IF(I299="Sí",VLOOKUP(D299,TARIFAS!A:K,5,FALSE),0),
         VLOOKUP(D299,TARIFAS!A:K,4,FALSE) + IF(I299="Sí",VLOOKUP(D299,TARIFAS!A:K,5,FALSE),0)
      ),
      IF(H299="Presencial",
         VLOOKUP(D299,TARIFAS!A:K,9,FALSE) + IF(I299="Sí",VLOOKUP(D299,TARIFAS!A:K,11,FALSE),0),
         VLOOKUP(D299,TARIFAS!A:K,10,FALSE) + IF(I299="Sí",VLOOKUP(D299,TARIFAS!A:K,11,FALSE),0)
      )
   )
)
</f>
        <v>0</v>
      </c>
      <c r="U299" s="45">
        <f>IF(R299="",0,MAX(0,R299 - TARIFAS!G$2) * TARIFAS!F$2)
</f>
        <v>0</v>
      </c>
      <c r="V299" s="45">
        <f>+T299*TARIFAS!$K$2</f>
        <v>0</v>
      </c>
      <c r="W299" s="45">
        <f t="shared" si="2"/>
        <v>0</v>
      </c>
      <c r="X299" s="45">
        <f t="shared" si="3"/>
        <v>0</v>
      </c>
      <c r="Y299" s="45">
        <f t="shared" si="4"/>
        <v>0</v>
      </c>
      <c r="Z299" s="42" t="str">
        <f>CONFERENCIAS!AB299</f>
        <v/>
      </c>
      <c r="AA299" s="42" t="str">
        <f>CONFERENCIAS!AC299</f>
        <v/>
      </c>
      <c r="AB299" s="47" t="str">
        <f t="shared" si="5"/>
        <v/>
      </c>
      <c r="AC299" s="9" t="str">
        <f t="shared" si="6"/>
        <v/>
      </c>
    </row>
    <row r="300">
      <c r="A300" s="42" t="str">
        <f>CONFERENCIAS!A300</f>
        <v/>
      </c>
      <c r="D300" s="42" t="str">
        <f>CONFERENCIAS!C300</f>
        <v/>
      </c>
      <c r="E300" s="42" t="str">
        <f>CONFERENCIAS!K300</f>
        <v/>
      </c>
      <c r="F300" s="49" t="str">
        <f>CONFERENCIAS!J300</f>
        <v/>
      </c>
      <c r="G300" s="42" t="str">
        <f>CONFERENCIAS!O300</f>
        <v/>
      </c>
      <c r="H300" s="42" t="str">
        <f>CONFERENCIAS!X300</f>
        <v/>
      </c>
      <c r="I300" s="42" t="str">
        <f>CONFERENCIAS!AA300</f>
        <v/>
      </c>
      <c r="J300" s="44" t="str">
        <f>CONFERENCIAS!P300</f>
        <v/>
      </c>
      <c r="K300" s="45" t="str">
        <f>CONFERENCIAS!R300</f>
        <v/>
      </c>
      <c r="L300" s="45">
        <f>IF(D300="",0,
 IF(E300=1,
   IF(H300="Presencial",
      VLOOKUP(D300,TARIFAS!A:K,3,FALSE) + IF(I300="Sí",VLOOKUP(D300,TARIFAS!A:K,5,FALSE),0),
      VLOOKUP(D300,TARIFAS!A:K,4,FALSE) + IF(I300="Sí",VLOOKUP(D300,TARIFAS!A:K,5,FALSE),0)
   ),
   IF(H300="Presencial",
      VLOOKUP(D300,TARIFAS!A:K,9,FALSE) + IF(I300="Sí",VLOOKUP(D300,TARIFAS!A:K,11,FALSE),0),
      VLOOKUP(D300,TARIFAS!A:K,10,FALSE) + IF(I300="Sí",VLOOKUP(D300,TARIFAS!A:K,11,FALSE),0)
   )
 )
)
</f>
        <v>0</v>
      </c>
      <c r="M300" s="45">
        <f>IF(J300="",0,MAX(0,J300 - TARIFAS!G$2) * TARIFAS!F$2)
</f>
        <v>0</v>
      </c>
      <c r="N300" s="45">
        <f>+L300*TARIFAS!$K$2</f>
        <v>0</v>
      </c>
      <c r="O300" s="45">
        <f t="shared" si="1"/>
        <v>0</v>
      </c>
      <c r="P300" s="45">
        <f>+M300+O300+K300+(+I300-(I300*TARIFAS!$K$2))</f>
        <v>0</v>
      </c>
      <c r="Q300" s="42" t="str">
        <f>CONFERENCIAS!T300</f>
        <v/>
      </c>
      <c r="R300" s="45" t="str">
        <f>CONFERENCIAS!U300</f>
        <v/>
      </c>
      <c r="S300" s="45" t="str">
        <f>CONFERENCIAS!W300</f>
        <v/>
      </c>
      <c r="T300" s="48">
        <f>IF(Q300="",0,
   IF(E300=1,
      IF(H300="Presencial",
         VLOOKUP(D300,TARIFAS!A:K,3,FALSE) + IF(I300="Sí",VLOOKUP(D300,TARIFAS!A:K,5,FALSE),0),
         VLOOKUP(D300,TARIFAS!A:K,4,FALSE) + IF(I300="Sí",VLOOKUP(D300,TARIFAS!A:K,5,FALSE),0)
      ),
      IF(H300="Presencial",
         VLOOKUP(D300,TARIFAS!A:K,9,FALSE) + IF(I300="Sí",VLOOKUP(D300,TARIFAS!A:K,11,FALSE),0),
         VLOOKUP(D300,TARIFAS!A:K,10,FALSE) + IF(I300="Sí",VLOOKUP(D300,TARIFAS!A:K,11,FALSE),0)
      )
   )
)
</f>
        <v>0</v>
      </c>
      <c r="U300" s="45">
        <f>IF(R300="",0,MAX(0,R300 - TARIFAS!G$2) * TARIFAS!F$2)
</f>
        <v>0</v>
      </c>
      <c r="V300" s="45">
        <f>+T300*TARIFAS!$K$2</f>
        <v>0</v>
      </c>
      <c r="W300" s="45">
        <f t="shared" si="2"/>
        <v>0</v>
      </c>
      <c r="X300" s="45">
        <f t="shared" si="3"/>
        <v>0</v>
      </c>
      <c r="Y300" s="45">
        <f t="shared" si="4"/>
        <v>0</v>
      </c>
      <c r="Z300" s="42" t="str">
        <f>CONFERENCIAS!AB300</f>
        <v/>
      </c>
      <c r="AA300" s="42" t="str">
        <f>CONFERENCIAS!AC300</f>
        <v/>
      </c>
      <c r="AB300" s="47" t="str">
        <f t="shared" si="5"/>
        <v/>
      </c>
      <c r="AC300" s="9" t="str">
        <f t="shared" si="6"/>
        <v/>
      </c>
    </row>
    <row r="301">
      <c r="A301" s="42" t="str">
        <f>CONFERENCIAS!A301</f>
        <v/>
      </c>
      <c r="D301" s="42" t="str">
        <f>CONFERENCIAS!C301</f>
        <v/>
      </c>
      <c r="E301" s="42" t="str">
        <f>CONFERENCIAS!K301</f>
        <v/>
      </c>
      <c r="F301" s="49" t="str">
        <f>CONFERENCIAS!J301</f>
        <v/>
      </c>
      <c r="G301" s="42" t="str">
        <f>CONFERENCIAS!O301</f>
        <v/>
      </c>
      <c r="H301" s="42" t="str">
        <f>CONFERENCIAS!X301</f>
        <v/>
      </c>
      <c r="I301" s="42" t="str">
        <f>CONFERENCIAS!AA301</f>
        <v/>
      </c>
      <c r="J301" s="44" t="str">
        <f>CONFERENCIAS!P301</f>
        <v/>
      </c>
      <c r="K301" s="45" t="str">
        <f>CONFERENCIAS!R301</f>
        <v/>
      </c>
      <c r="L301" s="45">
        <f>IF(D301="",0,
 IF(E301=1,
   IF(H301="Presencial",
      VLOOKUP(D301,TARIFAS!A:K,3,FALSE) + IF(I301="Sí",VLOOKUP(D301,TARIFAS!A:K,5,FALSE),0),
      VLOOKUP(D301,TARIFAS!A:K,4,FALSE) + IF(I301="Sí",VLOOKUP(D301,TARIFAS!A:K,5,FALSE),0)
   ),
   IF(H301="Presencial",
      VLOOKUP(D301,TARIFAS!A:K,9,FALSE) + IF(I301="Sí",VLOOKUP(D301,TARIFAS!A:K,11,FALSE),0),
      VLOOKUP(D301,TARIFAS!A:K,10,FALSE) + IF(I301="Sí",VLOOKUP(D301,TARIFAS!A:K,11,FALSE),0)
   )
 )
)
</f>
        <v>0</v>
      </c>
      <c r="M301" s="45">
        <f>IF(J301="",0,MAX(0,J301 - TARIFAS!G$2) * TARIFAS!F$2)
</f>
        <v>0</v>
      </c>
      <c r="N301" s="45">
        <f>+L301*TARIFAS!$K$2</f>
        <v>0</v>
      </c>
      <c r="O301" s="45">
        <f t="shared" si="1"/>
        <v>0</v>
      </c>
      <c r="P301" s="45">
        <f>+M301+O301+K301+(+I301-(I301*TARIFAS!$K$2))</f>
        <v>0</v>
      </c>
      <c r="Q301" s="42" t="str">
        <f>CONFERENCIAS!T301</f>
        <v/>
      </c>
      <c r="R301" s="45" t="str">
        <f>CONFERENCIAS!U301</f>
        <v/>
      </c>
      <c r="S301" s="45" t="str">
        <f>CONFERENCIAS!W301</f>
        <v/>
      </c>
      <c r="T301" s="48">
        <f>IF(Q301="",0,
   IF(E301=1,
      IF(H301="Presencial",
         VLOOKUP(D301,TARIFAS!A:K,3,FALSE) + IF(I301="Sí",VLOOKUP(D301,TARIFAS!A:K,5,FALSE),0),
         VLOOKUP(D301,TARIFAS!A:K,4,FALSE) + IF(I301="Sí",VLOOKUP(D301,TARIFAS!A:K,5,FALSE),0)
      ),
      IF(H301="Presencial",
         VLOOKUP(D301,TARIFAS!A:K,9,FALSE) + IF(I301="Sí",VLOOKUP(D301,TARIFAS!A:K,11,FALSE),0),
         VLOOKUP(D301,TARIFAS!A:K,10,FALSE) + IF(I301="Sí",VLOOKUP(D301,TARIFAS!A:K,11,FALSE),0)
      )
   )
)
</f>
        <v>0</v>
      </c>
      <c r="U301" s="45">
        <f>IF(R301="",0,MAX(0,R301 - TARIFAS!G$2) * TARIFAS!F$2)
</f>
        <v>0</v>
      </c>
      <c r="V301" s="45">
        <f>+T301*TARIFAS!$K$2</f>
        <v>0</v>
      </c>
      <c r="W301" s="45">
        <f t="shared" si="2"/>
        <v>0</v>
      </c>
      <c r="X301" s="45">
        <f t="shared" si="3"/>
        <v>0</v>
      </c>
      <c r="Y301" s="45">
        <f t="shared" si="4"/>
        <v>0</v>
      </c>
      <c r="Z301" s="42" t="str">
        <f>CONFERENCIAS!AB301</f>
        <v/>
      </c>
      <c r="AA301" s="42" t="str">
        <f>CONFERENCIAS!AC301</f>
        <v/>
      </c>
      <c r="AB301" s="47" t="str">
        <f t="shared" si="5"/>
        <v/>
      </c>
      <c r="AC301" s="9" t="str">
        <f t="shared" si="6"/>
        <v/>
      </c>
    </row>
    <row r="302">
      <c r="A302" s="42" t="str">
        <f>CONFERENCIAS!A302</f>
        <v/>
      </c>
      <c r="D302" s="42" t="str">
        <f>CONFERENCIAS!C302</f>
        <v/>
      </c>
      <c r="E302" s="42" t="str">
        <f>CONFERENCIAS!K302</f>
        <v/>
      </c>
      <c r="F302" s="49" t="str">
        <f>CONFERENCIAS!J302</f>
        <v/>
      </c>
      <c r="G302" s="42" t="str">
        <f>CONFERENCIAS!O302</f>
        <v/>
      </c>
      <c r="H302" s="42" t="str">
        <f>CONFERENCIAS!X302</f>
        <v/>
      </c>
      <c r="I302" s="42" t="str">
        <f>CONFERENCIAS!AA302</f>
        <v/>
      </c>
      <c r="J302" s="44" t="str">
        <f>CONFERENCIAS!P302</f>
        <v/>
      </c>
      <c r="K302" s="45" t="str">
        <f>CONFERENCIAS!R302</f>
        <v/>
      </c>
      <c r="L302" s="45">
        <f>IF(D302="",0,
 IF(E302=1,
   IF(H302="Presencial",
      VLOOKUP(D302,TARIFAS!A:K,3,FALSE) + IF(I302="Sí",VLOOKUP(D302,TARIFAS!A:K,5,FALSE),0),
      VLOOKUP(D302,TARIFAS!A:K,4,FALSE) + IF(I302="Sí",VLOOKUP(D302,TARIFAS!A:K,5,FALSE),0)
   ),
   IF(H302="Presencial",
      VLOOKUP(D302,TARIFAS!A:K,9,FALSE) + IF(I302="Sí",VLOOKUP(D302,TARIFAS!A:K,11,FALSE),0),
      VLOOKUP(D302,TARIFAS!A:K,10,FALSE) + IF(I302="Sí",VLOOKUP(D302,TARIFAS!A:K,11,FALSE),0)
   )
 )
)
</f>
        <v>0</v>
      </c>
      <c r="M302" s="45">
        <f>IF(J302="",0,MAX(0,J302 - TARIFAS!G$2) * TARIFAS!F$2)
</f>
        <v>0</v>
      </c>
      <c r="N302" s="45">
        <f>+L302*TARIFAS!$K$2</f>
        <v>0</v>
      </c>
      <c r="O302" s="45">
        <f t="shared" si="1"/>
        <v>0</v>
      </c>
      <c r="P302" s="45">
        <f>+M302+O302+K302+(+I302-(I302*TARIFAS!$K$2))</f>
        <v>0</v>
      </c>
      <c r="Q302" s="42" t="str">
        <f>CONFERENCIAS!T302</f>
        <v/>
      </c>
      <c r="R302" s="45" t="str">
        <f>CONFERENCIAS!U302</f>
        <v/>
      </c>
      <c r="S302" s="45" t="str">
        <f>CONFERENCIAS!W302</f>
        <v/>
      </c>
      <c r="T302" s="48">
        <f>IF(Q302="",0,
   IF(E302=1,
      IF(H302="Presencial",
         VLOOKUP(D302,TARIFAS!A:K,3,FALSE) + IF(I302="Sí",VLOOKUP(D302,TARIFAS!A:K,5,FALSE),0),
         VLOOKUP(D302,TARIFAS!A:K,4,FALSE) + IF(I302="Sí",VLOOKUP(D302,TARIFAS!A:K,5,FALSE),0)
      ),
      IF(H302="Presencial",
         VLOOKUP(D302,TARIFAS!A:K,9,FALSE) + IF(I302="Sí",VLOOKUP(D302,TARIFAS!A:K,11,FALSE),0),
         VLOOKUP(D302,TARIFAS!A:K,10,FALSE) + IF(I302="Sí",VLOOKUP(D302,TARIFAS!A:K,11,FALSE),0)
      )
   )
)
</f>
        <v>0</v>
      </c>
      <c r="U302" s="45">
        <f>IF(R302="",0,MAX(0,R302 - TARIFAS!G$2) * TARIFAS!F$2)
</f>
        <v>0</v>
      </c>
      <c r="V302" s="45">
        <f>+T302*TARIFAS!$K$2</f>
        <v>0</v>
      </c>
      <c r="W302" s="45">
        <f t="shared" si="2"/>
        <v>0</v>
      </c>
      <c r="X302" s="45">
        <f t="shared" si="3"/>
        <v>0</v>
      </c>
      <c r="Y302" s="45">
        <f t="shared" si="4"/>
        <v>0</v>
      </c>
      <c r="Z302" s="42" t="str">
        <f>CONFERENCIAS!AB302</f>
        <v/>
      </c>
      <c r="AA302" s="42" t="str">
        <f>CONFERENCIAS!AC302</f>
        <v/>
      </c>
      <c r="AB302" s="47" t="str">
        <f t="shared" si="5"/>
        <v/>
      </c>
      <c r="AC302" s="9" t="str">
        <f t="shared" si="6"/>
        <v/>
      </c>
    </row>
    <row r="303">
      <c r="A303" s="42" t="str">
        <f>CONFERENCIAS!A303</f>
        <v/>
      </c>
      <c r="D303" s="42" t="str">
        <f>CONFERENCIAS!C303</f>
        <v/>
      </c>
      <c r="E303" s="42" t="str">
        <f>CONFERENCIAS!K303</f>
        <v/>
      </c>
      <c r="F303" s="49" t="str">
        <f>CONFERENCIAS!J303</f>
        <v/>
      </c>
      <c r="G303" s="42" t="str">
        <f>CONFERENCIAS!O303</f>
        <v/>
      </c>
      <c r="H303" s="42" t="str">
        <f>CONFERENCIAS!X303</f>
        <v/>
      </c>
      <c r="I303" s="42" t="str">
        <f>CONFERENCIAS!AA303</f>
        <v/>
      </c>
      <c r="J303" s="44" t="str">
        <f>CONFERENCIAS!P303</f>
        <v/>
      </c>
      <c r="K303" s="45" t="str">
        <f>CONFERENCIAS!R303</f>
        <v/>
      </c>
      <c r="L303" s="45">
        <f>IF(D303="",0,
 IF(E303=1,
   IF(H303="Presencial",
      VLOOKUP(D303,TARIFAS!A:K,3,FALSE) + IF(I303="Sí",VLOOKUP(D303,TARIFAS!A:K,5,FALSE),0),
      VLOOKUP(D303,TARIFAS!A:K,4,FALSE) + IF(I303="Sí",VLOOKUP(D303,TARIFAS!A:K,5,FALSE),0)
   ),
   IF(H303="Presencial",
      VLOOKUP(D303,TARIFAS!A:K,9,FALSE) + IF(I303="Sí",VLOOKUP(D303,TARIFAS!A:K,11,FALSE),0),
      VLOOKUP(D303,TARIFAS!A:K,10,FALSE) + IF(I303="Sí",VLOOKUP(D303,TARIFAS!A:K,11,FALSE),0)
   )
 )
)
</f>
        <v>0</v>
      </c>
      <c r="M303" s="45">
        <f>IF(J303="",0,MAX(0,J303 - TARIFAS!G$2) * TARIFAS!F$2)
</f>
        <v>0</v>
      </c>
      <c r="N303" s="45">
        <f>+L303*TARIFAS!$K$2</f>
        <v>0</v>
      </c>
      <c r="O303" s="45">
        <f t="shared" si="1"/>
        <v>0</v>
      </c>
      <c r="P303" s="45">
        <f>+M303+O303+K303+(+I303-(I303*TARIFAS!$K$2))</f>
        <v>0</v>
      </c>
      <c r="Q303" s="42" t="str">
        <f>CONFERENCIAS!T303</f>
        <v/>
      </c>
      <c r="R303" s="45" t="str">
        <f>CONFERENCIAS!U303</f>
        <v/>
      </c>
      <c r="S303" s="45" t="str">
        <f>CONFERENCIAS!W303</f>
        <v/>
      </c>
      <c r="T303" s="48">
        <f>IF(Q303="",0,
   IF(E303=1,
      IF(H303="Presencial",
         VLOOKUP(D303,TARIFAS!A:K,3,FALSE) + IF(I303="Sí",VLOOKUP(D303,TARIFAS!A:K,5,FALSE),0),
         VLOOKUP(D303,TARIFAS!A:K,4,FALSE) + IF(I303="Sí",VLOOKUP(D303,TARIFAS!A:K,5,FALSE),0)
      ),
      IF(H303="Presencial",
         VLOOKUP(D303,TARIFAS!A:K,9,FALSE) + IF(I303="Sí",VLOOKUP(D303,TARIFAS!A:K,11,FALSE),0),
         VLOOKUP(D303,TARIFAS!A:K,10,FALSE) + IF(I303="Sí",VLOOKUP(D303,TARIFAS!A:K,11,FALSE),0)
      )
   )
)
</f>
        <v>0</v>
      </c>
      <c r="U303" s="45">
        <f>IF(R303="",0,MAX(0,R303 - TARIFAS!G$2) * TARIFAS!F$2)
</f>
        <v>0</v>
      </c>
      <c r="V303" s="45">
        <f>+T303*TARIFAS!$K$2</f>
        <v>0</v>
      </c>
      <c r="W303" s="45">
        <f t="shared" si="2"/>
        <v>0</v>
      </c>
      <c r="X303" s="45">
        <f t="shared" si="3"/>
        <v>0</v>
      </c>
      <c r="Y303" s="45">
        <f t="shared" si="4"/>
        <v>0</v>
      </c>
      <c r="Z303" s="42" t="str">
        <f>CONFERENCIAS!AB303</f>
        <v/>
      </c>
      <c r="AA303" s="42" t="str">
        <f>CONFERENCIAS!AC303</f>
        <v/>
      </c>
      <c r="AB303" s="47" t="str">
        <f t="shared" si="5"/>
        <v/>
      </c>
      <c r="AC303" s="9" t="str">
        <f t="shared" si="6"/>
        <v/>
      </c>
    </row>
    <row r="304">
      <c r="A304" s="42" t="str">
        <f>CONFERENCIAS!A304</f>
        <v/>
      </c>
      <c r="D304" s="42" t="str">
        <f>CONFERENCIAS!C304</f>
        <v/>
      </c>
      <c r="E304" s="42" t="str">
        <f>CONFERENCIAS!K304</f>
        <v/>
      </c>
      <c r="F304" s="49" t="str">
        <f>CONFERENCIAS!J304</f>
        <v/>
      </c>
      <c r="G304" s="42" t="str">
        <f>CONFERENCIAS!O304</f>
        <v/>
      </c>
      <c r="H304" s="42" t="str">
        <f>CONFERENCIAS!X304</f>
        <v/>
      </c>
      <c r="I304" s="42" t="str">
        <f>CONFERENCIAS!AA304</f>
        <v/>
      </c>
      <c r="J304" s="44" t="str">
        <f>CONFERENCIAS!P304</f>
        <v/>
      </c>
      <c r="K304" s="45" t="str">
        <f>CONFERENCIAS!R304</f>
        <v/>
      </c>
      <c r="L304" s="45">
        <f>IF(D304="",0,
 IF(E304=1,
   IF(H304="Presencial",
      VLOOKUP(D304,TARIFAS!A:K,3,FALSE) + IF(I304="Sí",VLOOKUP(D304,TARIFAS!A:K,5,FALSE),0),
      VLOOKUP(D304,TARIFAS!A:K,4,FALSE) + IF(I304="Sí",VLOOKUP(D304,TARIFAS!A:K,5,FALSE),0)
   ),
   IF(H304="Presencial",
      VLOOKUP(D304,TARIFAS!A:K,9,FALSE) + IF(I304="Sí",VLOOKUP(D304,TARIFAS!A:K,11,FALSE),0),
      VLOOKUP(D304,TARIFAS!A:K,10,FALSE) + IF(I304="Sí",VLOOKUP(D304,TARIFAS!A:K,11,FALSE),0)
   )
 )
)
</f>
        <v>0</v>
      </c>
      <c r="M304" s="45">
        <f>IF(J304="",0,MAX(0,J304 - TARIFAS!G$2) * TARIFAS!F$2)
</f>
        <v>0</v>
      </c>
      <c r="N304" s="45">
        <f>+L304*TARIFAS!$K$2</f>
        <v>0</v>
      </c>
      <c r="O304" s="45">
        <f t="shared" si="1"/>
        <v>0</v>
      </c>
      <c r="P304" s="45">
        <f>+M304+O304+K304+(+I304-(I304*TARIFAS!$K$2))</f>
        <v>0</v>
      </c>
      <c r="Q304" s="42" t="str">
        <f>CONFERENCIAS!T304</f>
        <v/>
      </c>
      <c r="R304" s="45" t="str">
        <f>CONFERENCIAS!U304</f>
        <v/>
      </c>
      <c r="S304" s="45" t="str">
        <f>CONFERENCIAS!W304</f>
        <v/>
      </c>
      <c r="T304" s="48">
        <f>IF(Q304="",0,
   IF(E304=1,
      IF(H304="Presencial",
         VLOOKUP(D304,TARIFAS!A:K,3,FALSE) + IF(I304="Sí",VLOOKUP(D304,TARIFAS!A:K,5,FALSE),0),
         VLOOKUP(D304,TARIFAS!A:K,4,FALSE) + IF(I304="Sí",VLOOKUP(D304,TARIFAS!A:K,5,FALSE),0)
      ),
      IF(H304="Presencial",
         VLOOKUP(D304,TARIFAS!A:K,9,FALSE) + IF(I304="Sí",VLOOKUP(D304,TARIFAS!A:K,11,FALSE),0),
         VLOOKUP(D304,TARIFAS!A:K,10,FALSE) + IF(I304="Sí",VLOOKUP(D304,TARIFAS!A:K,11,FALSE),0)
      )
   )
)
</f>
        <v>0</v>
      </c>
      <c r="U304" s="45">
        <f>IF(R304="",0,MAX(0,R304 - TARIFAS!G$2) * TARIFAS!F$2)
</f>
        <v>0</v>
      </c>
      <c r="V304" s="45">
        <f>+T304*TARIFAS!$K$2</f>
        <v>0</v>
      </c>
      <c r="W304" s="45">
        <f t="shared" si="2"/>
        <v>0</v>
      </c>
      <c r="X304" s="45">
        <f t="shared" si="3"/>
        <v>0</v>
      </c>
      <c r="Y304" s="45">
        <f t="shared" si="4"/>
        <v>0</v>
      </c>
      <c r="Z304" s="42" t="str">
        <f>CONFERENCIAS!AB304</f>
        <v/>
      </c>
      <c r="AA304" s="42" t="str">
        <f>CONFERENCIAS!AC304</f>
        <v/>
      </c>
      <c r="AB304" s="47" t="str">
        <f t="shared" si="5"/>
        <v/>
      </c>
      <c r="AC304" s="9" t="str">
        <f t="shared" si="6"/>
        <v/>
      </c>
    </row>
    <row r="305">
      <c r="A305" s="42" t="str">
        <f>CONFERENCIAS!A305</f>
        <v/>
      </c>
      <c r="D305" s="42" t="str">
        <f>CONFERENCIAS!C305</f>
        <v/>
      </c>
      <c r="E305" s="42" t="str">
        <f>CONFERENCIAS!K305</f>
        <v/>
      </c>
      <c r="F305" s="49" t="str">
        <f>CONFERENCIAS!J305</f>
        <v/>
      </c>
      <c r="G305" s="42" t="str">
        <f>CONFERENCIAS!O305</f>
        <v/>
      </c>
      <c r="H305" s="42" t="str">
        <f>CONFERENCIAS!X305</f>
        <v/>
      </c>
      <c r="I305" s="42" t="str">
        <f>CONFERENCIAS!AA305</f>
        <v/>
      </c>
      <c r="J305" s="44" t="str">
        <f>CONFERENCIAS!P305</f>
        <v/>
      </c>
      <c r="K305" s="45" t="str">
        <f>CONFERENCIAS!R305</f>
        <v/>
      </c>
      <c r="L305" s="45">
        <f>IF(D305="",0,
 IF(E305=1,
   IF(H305="Presencial",
      VLOOKUP(D305,TARIFAS!A:K,3,FALSE) + IF(I305="Sí",VLOOKUP(D305,TARIFAS!A:K,5,FALSE),0),
      VLOOKUP(D305,TARIFAS!A:K,4,FALSE) + IF(I305="Sí",VLOOKUP(D305,TARIFAS!A:K,5,FALSE),0)
   ),
   IF(H305="Presencial",
      VLOOKUP(D305,TARIFAS!A:K,9,FALSE) + IF(I305="Sí",VLOOKUP(D305,TARIFAS!A:K,11,FALSE),0),
      VLOOKUP(D305,TARIFAS!A:K,10,FALSE) + IF(I305="Sí",VLOOKUP(D305,TARIFAS!A:K,11,FALSE),0)
   )
 )
)
</f>
        <v>0</v>
      </c>
      <c r="M305" s="45">
        <f>IF(J305="",0,MAX(0,J305 - TARIFAS!G$2) * TARIFAS!F$2)
</f>
        <v>0</v>
      </c>
      <c r="N305" s="45">
        <f>+L305*TARIFAS!$K$2</f>
        <v>0</v>
      </c>
      <c r="O305" s="45">
        <f t="shared" si="1"/>
        <v>0</v>
      </c>
      <c r="P305" s="45">
        <f>+M305+O305+K305+(+I305-(I305*TARIFAS!$K$2))</f>
        <v>0</v>
      </c>
      <c r="Q305" s="42" t="str">
        <f>CONFERENCIAS!T305</f>
        <v/>
      </c>
      <c r="R305" s="45" t="str">
        <f>CONFERENCIAS!U305</f>
        <v/>
      </c>
      <c r="S305" s="45" t="str">
        <f>CONFERENCIAS!W305</f>
        <v/>
      </c>
      <c r="T305" s="48">
        <f>IF(Q305="",0,
   IF(E305=1,
      IF(H305="Presencial",
         VLOOKUP(D305,TARIFAS!A:K,3,FALSE) + IF(I305="Sí",VLOOKUP(D305,TARIFAS!A:K,5,FALSE),0),
         VLOOKUP(D305,TARIFAS!A:K,4,FALSE) + IF(I305="Sí",VLOOKUP(D305,TARIFAS!A:K,5,FALSE),0)
      ),
      IF(H305="Presencial",
         VLOOKUP(D305,TARIFAS!A:K,9,FALSE) + IF(I305="Sí",VLOOKUP(D305,TARIFAS!A:K,11,FALSE),0),
         VLOOKUP(D305,TARIFAS!A:K,10,FALSE) + IF(I305="Sí",VLOOKUP(D305,TARIFAS!A:K,11,FALSE),0)
      )
   )
)
</f>
        <v>0</v>
      </c>
      <c r="U305" s="45">
        <f>IF(R305="",0,MAX(0,R305 - TARIFAS!G$2) * TARIFAS!F$2)
</f>
        <v>0</v>
      </c>
      <c r="V305" s="45">
        <f>+T305*TARIFAS!$K$2</f>
        <v>0</v>
      </c>
      <c r="W305" s="45">
        <f t="shared" si="2"/>
        <v>0</v>
      </c>
      <c r="X305" s="45">
        <f t="shared" si="3"/>
        <v>0</v>
      </c>
      <c r="Y305" s="45">
        <f t="shared" si="4"/>
        <v>0</v>
      </c>
      <c r="Z305" s="42" t="str">
        <f>CONFERENCIAS!AB305</f>
        <v/>
      </c>
      <c r="AA305" s="42" t="str">
        <f>CONFERENCIAS!AC305</f>
        <v/>
      </c>
      <c r="AB305" s="47" t="str">
        <f t="shared" si="5"/>
        <v/>
      </c>
      <c r="AC305" s="9" t="str">
        <f t="shared" si="6"/>
        <v/>
      </c>
    </row>
    <row r="306">
      <c r="A306" s="42" t="str">
        <f>CONFERENCIAS!A306</f>
        <v/>
      </c>
      <c r="D306" s="42" t="str">
        <f>CONFERENCIAS!C306</f>
        <v/>
      </c>
      <c r="E306" s="42" t="str">
        <f>CONFERENCIAS!K306</f>
        <v/>
      </c>
      <c r="F306" s="49" t="str">
        <f>CONFERENCIAS!J306</f>
        <v/>
      </c>
      <c r="G306" s="42" t="str">
        <f>CONFERENCIAS!O306</f>
        <v/>
      </c>
      <c r="H306" s="42" t="str">
        <f>CONFERENCIAS!X306</f>
        <v/>
      </c>
      <c r="I306" s="42" t="str">
        <f>CONFERENCIAS!AA306</f>
        <v/>
      </c>
      <c r="J306" s="44" t="str">
        <f>CONFERENCIAS!P306</f>
        <v/>
      </c>
      <c r="K306" s="45" t="str">
        <f>CONFERENCIAS!R306</f>
        <v/>
      </c>
      <c r="L306" s="45">
        <f>IF(D306="",0,
 IF(E306=1,
   IF(H306="Presencial",
      VLOOKUP(D306,TARIFAS!A:K,3,FALSE) + IF(I306="Sí",VLOOKUP(D306,TARIFAS!A:K,5,FALSE),0),
      VLOOKUP(D306,TARIFAS!A:K,4,FALSE) + IF(I306="Sí",VLOOKUP(D306,TARIFAS!A:K,5,FALSE),0)
   ),
   IF(H306="Presencial",
      VLOOKUP(D306,TARIFAS!A:K,9,FALSE) + IF(I306="Sí",VLOOKUP(D306,TARIFAS!A:K,11,FALSE),0),
      VLOOKUP(D306,TARIFAS!A:K,10,FALSE) + IF(I306="Sí",VLOOKUP(D306,TARIFAS!A:K,11,FALSE),0)
   )
 )
)
</f>
        <v>0</v>
      </c>
      <c r="M306" s="45">
        <f>IF(J306="",0,MAX(0,J306 - TARIFAS!G$2) * TARIFAS!F$2)
</f>
        <v>0</v>
      </c>
      <c r="N306" s="45">
        <f>+L306*TARIFAS!$K$2</f>
        <v>0</v>
      </c>
      <c r="O306" s="45">
        <f t="shared" si="1"/>
        <v>0</v>
      </c>
      <c r="P306" s="45">
        <f>+M306+O306+K306+(+I306-(I306*TARIFAS!$K$2))</f>
        <v>0</v>
      </c>
      <c r="Q306" s="42" t="str">
        <f>CONFERENCIAS!T306</f>
        <v/>
      </c>
      <c r="R306" s="45" t="str">
        <f>CONFERENCIAS!U306</f>
        <v/>
      </c>
      <c r="S306" s="45" t="str">
        <f>CONFERENCIAS!W306</f>
        <v/>
      </c>
      <c r="T306" s="48">
        <f>IF(Q306="",0,
   IF(E306=1,
      IF(H306="Presencial",
         VLOOKUP(D306,TARIFAS!A:K,3,FALSE) + IF(I306="Sí",VLOOKUP(D306,TARIFAS!A:K,5,FALSE),0),
         VLOOKUP(D306,TARIFAS!A:K,4,FALSE) + IF(I306="Sí",VLOOKUP(D306,TARIFAS!A:K,5,FALSE),0)
      ),
      IF(H306="Presencial",
         VLOOKUP(D306,TARIFAS!A:K,9,FALSE) + IF(I306="Sí",VLOOKUP(D306,TARIFAS!A:K,11,FALSE),0),
         VLOOKUP(D306,TARIFAS!A:K,10,FALSE) + IF(I306="Sí",VLOOKUP(D306,TARIFAS!A:K,11,FALSE),0)
      )
   )
)
</f>
        <v>0</v>
      </c>
      <c r="U306" s="45">
        <f>IF(R306="",0,MAX(0,R306 - TARIFAS!G$2) * TARIFAS!F$2)
</f>
        <v>0</v>
      </c>
      <c r="V306" s="45">
        <f>+T306*TARIFAS!$K$2</f>
        <v>0</v>
      </c>
      <c r="W306" s="45">
        <f t="shared" si="2"/>
        <v>0</v>
      </c>
      <c r="X306" s="45">
        <f t="shared" si="3"/>
        <v>0</v>
      </c>
      <c r="Y306" s="45">
        <f t="shared" si="4"/>
        <v>0</v>
      </c>
      <c r="Z306" s="42" t="str">
        <f>CONFERENCIAS!AB306</f>
        <v/>
      </c>
      <c r="AA306" s="42" t="str">
        <f>CONFERENCIAS!AC306</f>
        <v/>
      </c>
      <c r="AB306" s="47" t="str">
        <f t="shared" si="5"/>
        <v/>
      </c>
      <c r="AC306" s="9" t="str">
        <f t="shared" si="6"/>
        <v/>
      </c>
    </row>
    <row r="307">
      <c r="A307" s="42" t="str">
        <f>CONFERENCIAS!A307</f>
        <v/>
      </c>
      <c r="D307" s="42" t="str">
        <f>CONFERENCIAS!C307</f>
        <v/>
      </c>
      <c r="E307" s="42" t="str">
        <f>CONFERENCIAS!K307</f>
        <v/>
      </c>
      <c r="F307" s="49" t="str">
        <f>CONFERENCIAS!J307</f>
        <v/>
      </c>
      <c r="G307" s="42" t="str">
        <f>CONFERENCIAS!O307</f>
        <v/>
      </c>
      <c r="H307" s="42" t="str">
        <f>CONFERENCIAS!X307</f>
        <v/>
      </c>
      <c r="I307" s="42" t="str">
        <f>CONFERENCIAS!AA307</f>
        <v/>
      </c>
      <c r="J307" s="44" t="str">
        <f>CONFERENCIAS!P307</f>
        <v/>
      </c>
      <c r="K307" s="45" t="str">
        <f>CONFERENCIAS!R307</f>
        <v/>
      </c>
      <c r="L307" s="45">
        <f>IF(D307="",0,
 IF(E307=1,
   IF(H307="Presencial",
      VLOOKUP(D307,TARIFAS!A:K,3,FALSE) + IF(I307="Sí",VLOOKUP(D307,TARIFAS!A:K,5,FALSE),0),
      VLOOKUP(D307,TARIFAS!A:K,4,FALSE) + IF(I307="Sí",VLOOKUP(D307,TARIFAS!A:K,5,FALSE),0)
   ),
   IF(H307="Presencial",
      VLOOKUP(D307,TARIFAS!A:K,9,FALSE) + IF(I307="Sí",VLOOKUP(D307,TARIFAS!A:K,11,FALSE),0),
      VLOOKUP(D307,TARIFAS!A:K,10,FALSE) + IF(I307="Sí",VLOOKUP(D307,TARIFAS!A:K,11,FALSE),0)
   )
 )
)
</f>
        <v>0</v>
      </c>
      <c r="M307" s="45">
        <f>IF(J307="",0,MAX(0,J307 - TARIFAS!G$2) * TARIFAS!F$2)
</f>
        <v>0</v>
      </c>
      <c r="N307" s="45">
        <f>+L307*TARIFAS!$K$2</f>
        <v>0</v>
      </c>
      <c r="O307" s="45">
        <f t="shared" si="1"/>
        <v>0</v>
      </c>
      <c r="P307" s="45">
        <f>+M307+O307+K307+(+I307-(I307*TARIFAS!$K$2))</f>
        <v>0</v>
      </c>
      <c r="Q307" s="42" t="str">
        <f>CONFERENCIAS!T307</f>
        <v/>
      </c>
      <c r="R307" s="45" t="str">
        <f>CONFERENCIAS!U307</f>
        <v/>
      </c>
      <c r="S307" s="45" t="str">
        <f>CONFERENCIAS!W307</f>
        <v/>
      </c>
      <c r="T307" s="48">
        <f>IF(Q307="",0,
   IF(E307=1,
      IF(H307="Presencial",
         VLOOKUP(D307,TARIFAS!A:K,3,FALSE) + IF(I307="Sí",VLOOKUP(D307,TARIFAS!A:K,5,FALSE),0),
         VLOOKUP(D307,TARIFAS!A:K,4,FALSE) + IF(I307="Sí",VLOOKUP(D307,TARIFAS!A:K,5,FALSE),0)
      ),
      IF(H307="Presencial",
         VLOOKUP(D307,TARIFAS!A:K,9,FALSE) + IF(I307="Sí",VLOOKUP(D307,TARIFAS!A:K,11,FALSE),0),
         VLOOKUP(D307,TARIFAS!A:K,10,FALSE) + IF(I307="Sí",VLOOKUP(D307,TARIFAS!A:K,11,FALSE),0)
      )
   )
)
</f>
        <v>0</v>
      </c>
      <c r="U307" s="45">
        <f>IF(R307="",0,MAX(0,R307 - TARIFAS!G$2) * TARIFAS!F$2)
</f>
        <v>0</v>
      </c>
      <c r="V307" s="45">
        <f>+T307*TARIFAS!$K$2</f>
        <v>0</v>
      </c>
      <c r="W307" s="45">
        <f t="shared" si="2"/>
        <v>0</v>
      </c>
      <c r="X307" s="45">
        <f t="shared" si="3"/>
        <v>0</v>
      </c>
      <c r="Y307" s="45">
        <f t="shared" si="4"/>
        <v>0</v>
      </c>
      <c r="Z307" s="42" t="str">
        <f>CONFERENCIAS!AB307</f>
        <v/>
      </c>
      <c r="AA307" s="42" t="str">
        <f>CONFERENCIAS!AC307</f>
        <v/>
      </c>
      <c r="AB307" s="47" t="str">
        <f t="shared" si="5"/>
        <v/>
      </c>
      <c r="AC307" s="9" t="str">
        <f t="shared" si="6"/>
        <v/>
      </c>
    </row>
    <row r="308">
      <c r="A308" s="42" t="str">
        <f>CONFERENCIAS!A308</f>
        <v/>
      </c>
      <c r="D308" s="42" t="str">
        <f>CONFERENCIAS!C308</f>
        <v/>
      </c>
      <c r="E308" s="42" t="str">
        <f>CONFERENCIAS!K308</f>
        <v/>
      </c>
      <c r="F308" s="49" t="str">
        <f>CONFERENCIAS!J308</f>
        <v/>
      </c>
      <c r="G308" s="42" t="str">
        <f>CONFERENCIAS!O308</f>
        <v/>
      </c>
      <c r="H308" s="42" t="str">
        <f>CONFERENCIAS!X308</f>
        <v/>
      </c>
      <c r="I308" s="42" t="str">
        <f>CONFERENCIAS!AA308</f>
        <v/>
      </c>
      <c r="J308" s="44" t="str">
        <f>CONFERENCIAS!P308</f>
        <v/>
      </c>
      <c r="K308" s="45" t="str">
        <f>CONFERENCIAS!R308</f>
        <v/>
      </c>
      <c r="L308" s="45">
        <f>IF(D308="",0,
 IF(E308=1,
   IF(H308="Presencial",
      VLOOKUP(D308,TARIFAS!A:K,3,FALSE) + IF(I308="Sí",VLOOKUP(D308,TARIFAS!A:K,5,FALSE),0),
      VLOOKUP(D308,TARIFAS!A:K,4,FALSE) + IF(I308="Sí",VLOOKUP(D308,TARIFAS!A:K,5,FALSE),0)
   ),
   IF(H308="Presencial",
      VLOOKUP(D308,TARIFAS!A:K,9,FALSE) + IF(I308="Sí",VLOOKUP(D308,TARIFAS!A:K,11,FALSE),0),
      VLOOKUP(D308,TARIFAS!A:K,10,FALSE) + IF(I308="Sí",VLOOKUP(D308,TARIFAS!A:K,11,FALSE),0)
   )
 )
)
</f>
        <v>0</v>
      </c>
      <c r="M308" s="45">
        <f>IF(J308="",0,MAX(0,J308 - TARIFAS!G$2) * TARIFAS!F$2)
</f>
        <v>0</v>
      </c>
      <c r="N308" s="45">
        <f>+L308*TARIFAS!$K$2</f>
        <v>0</v>
      </c>
      <c r="O308" s="45">
        <f t="shared" si="1"/>
        <v>0</v>
      </c>
      <c r="P308" s="45">
        <f>+M308+O308+K308+(+I308-(I308*TARIFAS!$K$2))</f>
        <v>0</v>
      </c>
      <c r="Q308" s="42" t="str">
        <f>CONFERENCIAS!T308</f>
        <v/>
      </c>
      <c r="R308" s="45" t="str">
        <f>CONFERENCIAS!U308</f>
        <v/>
      </c>
      <c r="S308" s="45" t="str">
        <f>CONFERENCIAS!W308</f>
        <v/>
      </c>
      <c r="T308" s="48">
        <f>IF(Q308="",0,
   IF(E308=1,
      IF(H308="Presencial",
         VLOOKUP(D308,TARIFAS!A:K,3,FALSE) + IF(I308="Sí",VLOOKUP(D308,TARIFAS!A:K,5,FALSE),0),
         VLOOKUP(D308,TARIFAS!A:K,4,FALSE) + IF(I308="Sí",VLOOKUP(D308,TARIFAS!A:K,5,FALSE),0)
      ),
      IF(H308="Presencial",
         VLOOKUP(D308,TARIFAS!A:K,9,FALSE) + IF(I308="Sí",VLOOKUP(D308,TARIFAS!A:K,11,FALSE),0),
         VLOOKUP(D308,TARIFAS!A:K,10,FALSE) + IF(I308="Sí",VLOOKUP(D308,TARIFAS!A:K,11,FALSE),0)
      )
   )
)
</f>
        <v>0</v>
      </c>
      <c r="U308" s="45">
        <f>IF(R308="",0,MAX(0,R308 - TARIFAS!G$2) * TARIFAS!F$2)
</f>
        <v>0</v>
      </c>
      <c r="V308" s="45">
        <f>+T308*TARIFAS!$K$2</f>
        <v>0</v>
      </c>
      <c r="W308" s="45">
        <f t="shared" si="2"/>
        <v>0</v>
      </c>
      <c r="X308" s="45">
        <f t="shared" si="3"/>
        <v>0</v>
      </c>
      <c r="Y308" s="45">
        <f t="shared" si="4"/>
        <v>0</v>
      </c>
      <c r="Z308" s="42" t="str">
        <f>CONFERENCIAS!AB308</f>
        <v/>
      </c>
      <c r="AA308" s="42" t="str">
        <f>CONFERENCIAS!AC308</f>
        <v/>
      </c>
      <c r="AB308" s="47" t="str">
        <f t="shared" si="5"/>
        <v/>
      </c>
      <c r="AC308" s="9" t="str">
        <f t="shared" si="6"/>
        <v/>
      </c>
    </row>
    <row r="309">
      <c r="A309" s="42" t="str">
        <f>CONFERENCIAS!A309</f>
        <v/>
      </c>
      <c r="D309" s="42" t="str">
        <f>CONFERENCIAS!C309</f>
        <v/>
      </c>
      <c r="E309" s="42" t="str">
        <f>CONFERENCIAS!K309</f>
        <v/>
      </c>
      <c r="F309" s="49" t="str">
        <f>CONFERENCIAS!J309</f>
        <v/>
      </c>
      <c r="G309" s="42" t="str">
        <f>CONFERENCIAS!O309</f>
        <v/>
      </c>
      <c r="H309" s="42" t="str">
        <f>CONFERENCIAS!X309</f>
        <v/>
      </c>
      <c r="I309" s="42" t="str">
        <f>CONFERENCIAS!AA309</f>
        <v/>
      </c>
      <c r="J309" s="44" t="str">
        <f>CONFERENCIAS!P309</f>
        <v/>
      </c>
      <c r="K309" s="45" t="str">
        <f>CONFERENCIAS!R309</f>
        <v/>
      </c>
      <c r="L309" s="45">
        <f>IF(D309="",0,
 IF(E309=1,
   IF(H309="Presencial",
      VLOOKUP(D309,TARIFAS!A:K,3,FALSE) + IF(I309="Sí",VLOOKUP(D309,TARIFAS!A:K,5,FALSE),0),
      VLOOKUP(D309,TARIFAS!A:K,4,FALSE) + IF(I309="Sí",VLOOKUP(D309,TARIFAS!A:K,5,FALSE),0)
   ),
   IF(H309="Presencial",
      VLOOKUP(D309,TARIFAS!A:K,9,FALSE) + IF(I309="Sí",VLOOKUP(D309,TARIFAS!A:K,11,FALSE),0),
      VLOOKUP(D309,TARIFAS!A:K,10,FALSE) + IF(I309="Sí",VLOOKUP(D309,TARIFAS!A:K,11,FALSE),0)
   )
 )
)
</f>
        <v>0</v>
      </c>
      <c r="M309" s="45">
        <f>IF(J309="",0,MAX(0,J309 - TARIFAS!G$2) * TARIFAS!F$2)
</f>
        <v>0</v>
      </c>
      <c r="N309" s="45">
        <f>+L309*TARIFAS!$K$2</f>
        <v>0</v>
      </c>
      <c r="O309" s="45">
        <f t="shared" si="1"/>
        <v>0</v>
      </c>
      <c r="P309" s="45">
        <f>+M309+O309+K309+(+I309-(I309*TARIFAS!$K$2))</f>
        <v>0</v>
      </c>
      <c r="Q309" s="42" t="str">
        <f>CONFERENCIAS!T309</f>
        <v/>
      </c>
      <c r="R309" s="45" t="str">
        <f>CONFERENCIAS!U309</f>
        <v/>
      </c>
      <c r="S309" s="45" t="str">
        <f>CONFERENCIAS!W309</f>
        <v/>
      </c>
      <c r="T309" s="48">
        <f>IF(Q309="",0,
   IF(E309=1,
      IF(H309="Presencial",
         VLOOKUP(D309,TARIFAS!A:K,3,FALSE) + IF(I309="Sí",VLOOKUP(D309,TARIFAS!A:K,5,FALSE),0),
         VLOOKUP(D309,TARIFAS!A:K,4,FALSE) + IF(I309="Sí",VLOOKUP(D309,TARIFAS!A:K,5,FALSE),0)
      ),
      IF(H309="Presencial",
         VLOOKUP(D309,TARIFAS!A:K,9,FALSE) + IF(I309="Sí",VLOOKUP(D309,TARIFAS!A:K,11,FALSE),0),
         VLOOKUP(D309,TARIFAS!A:K,10,FALSE) + IF(I309="Sí",VLOOKUP(D309,TARIFAS!A:K,11,FALSE),0)
      )
   )
)
</f>
        <v>0</v>
      </c>
      <c r="U309" s="45">
        <f>IF(R309="",0,MAX(0,R309 - TARIFAS!G$2) * TARIFAS!F$2)
</f>
        <v>0</v>
      </c>
      <c r="V309" s="45">
        <f>+T309*TARIFAS!$K$2</f>
        <v>0</v>
      </c>
      <c r="W309" s="45">
        <f t="shared" si="2"/>
        <v>0</v>
      </c>
      <c r="X309" s="45">
        <f t="shared" si="3"/>
        <v>0</v>
      </c>
      <c r="Y309" s="45">
        <f t="shared" si="4"/>
        <v>0</v>
      </c>
      <c r="Z309" s="42" t="str">
        <f>CONFERENCIAS!AB309</f>
        <v/>
      </c>
      <c r="AA309" s="42" t="str">
        <f>CONFERENCIAS!AC309</f>
        <v/>
      </c>
      <c r="AB309" s="47" t="str">
        <f t="shared" si="5"/>
        <v/>
      </c>
      <c r="AC309" s="9" t="str">
        <f t="shared" si="6"/>
        <v/>
      </c>
    </row>
    <row r="310">
      <c r="A310" s="42" t="str">
        <f>CONFERENCIAS!A310</f>
        <v/>
      </c>
      <c r="D310" s="42" t="str">
        <f>CONFERENCIAS!C310</f>
        <v/>
      </c>
      <c r="E310" s="42" t="str">
        <f>CONFERENCIAS!K310</f>
        <v/>
      </c>
      <c r="F310" s="49" t="str">
        <f>CONFERENCIAS!J310</f>
        <v/>
      </c>
      <c r="G310" s="42" t="str">
        <f>CONFERENCIAS!O310</f>
        <v/>
      </c>
      <c r="H310" s="42" t="str">
        <f>CONFERENCIAS!X310</f>
        <v/>
      </c>
      <c r="I310" s="42" t="str">
        <f>CONFERENCIAS!AA310</f>
        <v/>
      </c>
      <c r="J310" s="44" t="str">
        <f>CONFERENCIAS!P310</f>
        <v/>
      </c>
      <c r="K310" s="45" t="str">
        <f>CONFERENCIAS!R310</f>
        <v/>
      </c>
      <c r="L310" s="45">
        <f>IF(D310="",0,
 IF(E310=1,
   IF(H310="Presencial",
      VLOOKUP(D310,TARIFAS!A:K,3,FALSE) + IF(I310="Sí",VLOOKUP(D310,TARIFAS!A:K,5,FALSE),0),
      VLOOKUP(D310,TARIFAS!A:K,4,FALSE) + IF(I310="Sí",VLOOKUP(D310,TARIFAS!A:K,5,FALSE),0)
   ),
   IF(H310="Presencial",
      VLOOKUP(D310,TARIFAS!A:K,9,FALSE) + IF(I310="Sí",VLOOKUP(D310,TARIFAS!A:K,11,FALSE),0),
      VLOOKUP(D310,TARIFAS!A:K,10,FALSE) + IF(I310="Sí",VLOOKUP(D310,TARIFAS!A:K,11,FALSE),0)
   )
 )
)
</f>
        <v>0</v>
      </c>
      <c r="M310" s="45">
        <f>IF(J310="",0,MAX(0,J310 - TARIFAS!G$2) * TARIFAS!F$2)
</f>
        <v>0</v>
      </c>
      <c r="N310" s="45">
        <f>+L310*TARIFAS!$K$2</f>
        <v>0</v>
      </c>
      <c r="O310" s="45">
        <f t="shared" si="1"/>
        <v>0</v>
      </c>
      <c r="P310" s="45">
        <f>+M310+O310+K310+(+I310-(I310*TARIFAS!$K$2))</f>
        <v>0</v>
      </c>
      <c r="Q310" s="42" t="str">
        <f>CONFERENCIAS!T310</f>
        <v/>
      </c>
      <c r="R310" s="45" t="str">
        <f>CONFERENCIAS!U310</f>
        <v/>
      </c>
      <c r="S310" s="45" t="str">
        <f>CONFERENCIAS!W310</f>
        <v/>
      </c>
      <c r="T310" s="48">
        <f>IF(Q310="",0,
   IF(E310=1,
      IF(H310="Presencial",
         VLOOKUP(D310,TARIFAS!A:K,3,FALSE) + IF(I310="Sí",VLOOKUP(D310,TARIFAS!A:K,5,FALSE),0),
         VLOOKUP(D310,TARIFAS!A:K,4,FALSE) + IF(I310="Sí",VLOOKUP(D310,TARIFAS!A:K,5,FALSE),0)
      ),
      IF(H310="Presencial",
         VLOOKUP(D310,TARIFAS!A:K,9,FALSE) + IF(I310="Sí",VLOOKUP(D310,TARIFAS!A:K,11,FALSE),0),
         VLOOKUP(D310,TARIFAS!A:K,10,FALSE) + IF(I310="Sí",VLOOKUP(D310,TARIFAS!A:K,11,FALSE),0)
      )
   )
)
</f>
        <v>0</v>
      </c>
      <c r="U310" s="45">
        <f>IF(R310="",0,MAX(0,R310 - TARIFAS!G$2) * TARIFAS!F$2)
</f>
        <v>0</v>
      </c>
      <c r="V310" s="45">
        <f>+T310*TARIFAS!$K$2</f>
        <v>0</v>
      </c>
      <c r="W310" s="45">
        <f t="shared" si="2"/>
        <v>0</v>
      </c>
      <c r="X310" s="45">
        <f t="shared" si="3"/>
        <v>0</v>
      </c>
      <c r="Y310" s="45">
        <f t="shared" si="4"/>
        <v>0</v>
      </c>
      <c r="Z310" s="42" t="str">
        <f>CONFERENCIAS!AB310</f>
        <v/>
      </c>
      <c r="AA310" s="42" t="str">
        <f>CONFERENCIAS!AC310</f>
        <v/>
      </c>
      <c r="AB310" s="47" t="str">
        <f t="shared" si="5"/>
        <v/>
      </c>
      <c r="AC310" s="9" t="str">
        <f t="shared" si="6"/>
        <v/>
      </c>
    </row>
    <row r="311">
      <c r="A311" s="42" t="str">
        <f>CONFERENCIAS!A311</f>
        <v/>
      </c>
      <c r="D311" s="42" t="str">
        <f>CONFERENCIAS!C311</f>
        <v/>
      </c>
      <c r="E311" s="42" t="str">
        <f>CONFERENCIAS!K311</f>
        <v/>
      </c>
      <c r="F311" s="49" t="str">
        <f>CONFERENCIAS!J311</f>
        <v/>
      </c>
      <c r="G311" s="42" t="str">
        <f>CONFERENCIAS!O311</f>
        <v/>
      </c>
      <c r="H311" s="42" t="str">
        <f>CONFERENCIAS!X311</f>
        <v/>
      </c>
      <c r="I311" s="42" t="str">
        <f>CONFERENCIAS!AA311</f>
        <v/>
      </c>
      <c r="J311" s="44" t="str">
        <f>CONFERENCIAS!P311</f>
        <v/>
      </c>
      <c r="K311" s="45" t="str">
        <f>CONFERENCIAS!R311</f>
        <v/>
      </c>
      <c r="L311" s="45">
        <f>IF(D311="",0,
 IF(E311=1,
   IF(H311="Presencial",
      VLOOKUP(D311,TARIFAS!A:K,3,FALSE) + IF(I311="Sí",VLOOKUP(D311,TARIFAS!A:K,5,FALSE),0),
      VLOOKUP(D311,TARIFAS!A:K,4,FALSE) + IF(I311="Sí",VLOOKUP(D311,TARIFAS!A:K,5,FALSE),0)
   ),
   IF(H311="Presencial",
      VLOOKUP(D311,TARIFAS!A:K,9,FALSE) + IF(I311="Sí",VLOOKUP(D311,TARIFAS!A:K,11,FALSE),0),
      VLOOKUP(D311,TARIFAS!A:K,10,FALSE) + IF(I311="Sí",VLOOKUP(D311,TARIFAS!A:K,11,FALSE),0)
   )
 )
)
</f>
        <v>0</v>
      </c>
      <c r="M311" s="45">
        <f>IF(J311="",0,MAX(0,J311 - TARIFAS!G$2) * TARIFAS!F$2)
</f>
        <v>0</v>
      </c>
      <c r="N311" s="45">
        <f>+L311*TARIFAS!$K$2</f>
        <v>0</v>
      </c>
      <c r="O311" s="45">
        <f t="shared" si="1"/>
        <v>0</v>
      </c>
      <c r="P311" s="45">
        <f>+M311+O311+K311+(+I311-(I311*TARIFAS!$K$2))</f>
        <v>0</v>
      </c>
      <c r="Q311" s="42" t="str">
        <f>CONFERENCIAS!T311</f>
        <v/>
      </c>
      <c r="R311" s="45" t="str">
        <f>CONFERENCIAS!U311</f>
        <v/>
      </c>
      <c r="S311" s="45" t="str">
        <f>CONFERENCIAS!W311</f>
        <v/>
      </c>
      <c r="T311" s="48">
        <f>IF(Q311="",0,
   IF(E311=1,
      IF(H311="Presencial",
         VLOOKUP(D311,TARIFAS!A:K,3,FALSE) + IF(I311="Sí",VLOOKUP(D311,TARIFAS!A:K,5,FALSE),0),
         VLOOKUP(D311,TARIFAS!A:K,4,FALSE) + IF(I311="Sí",VLOOKUP(D311,TARIFAS!A:K,5,FALSE),0)
      ),
      IF(H311="Presencial",
         VLOOKUP(D311,TARIFAS!A:K,9,FALSE) + IF(I311="Sí",VLOOKUP(D311,TARIFAS!A:K,11,FALSE),0),
         VLOOKUP(D311,TARIFAS!A:K,10,FALSE) + IF(I311="Sí",VLOOKUP(D311,TARIFAS!A:K,11,FALSE),0)
      )
   )
)
</f>
        <v>0</v>
      </c>
      <c r="U311" s="45">
        <f>IF(R311="",0,MAX(0,R311 - TARIFAS!G$2) * TARIFAS!F$2)
</f>
        <v>0</v>
      </c>
      <c r="V311" s="45">
        <f>+T311*TARIFAS!$K$2</f>
        <v>0</v>
      </c>
      <c r="W311" s="45">
        <f t="shared" si="2"/>
        <v>0</v>
      </c>
      <c r="X311" s="45">
        <f t="shared" si="3"/>
        <v>0</v>
      </c>
      <c r="Y311" s="45">
        <f t="shared" si="4"/>
        <v>0</v>
      </c>
      <c r="Z311" s="42" t="str">
        <f>CONFERENCIAS!AB311</f>
        <v/>
      </c>
      <c r="AA311" s="42" t="str">
        <f>CONFERENCIAS!AC311</f>
        <v/>
      </c>
      <c r="AB311" s="47" t="str">
        <f t="shared" si="5"/>
        <v/>
      </c>
      <c r="AC311" s="9" t="str">
        <f t="shared" si="6"/>
        <v/>
      </c>
    </row>
    <row r="312">
      <c r="A312" s="42" t="str">
        <f>CONFERENCIAS!A312</f>
        <v/>
      </c>
      <c r="D312" s="42" t="str">
        <f>CONFERENCIAS!C312</f>
        <v/>
      </c>
      <c r="E312" s="42" t="str">
        <f>CONFERENCIAS!K312</f>
        <v/>
      </c>
      <c r="F312" s="49" t="str">
        <f>CONFERENCIAS!J312</f>
        <v/>
      </c>
      <c r="G312" s="42" t="str">
        <f>CONFERENCIAS!O312</f>
        <v/>
      </c>
      <c r="H312" s="42" t="str">
        <f>CONFERENCIAS!X312</f>
        <v/>
      </c>
      <c r="I312" s="42" t="str">
        <f>CONFERENCIAS!AA312</f>
        <v/>
      </c>
      <c r="J312" s="44" t="str">
        <f>CONFERENCIAS!P312</f>
        <v/>
      </c>
      <c r="K312" s="45" t="str">
        <f>CONFERENCIAS!R312</f>
        <v/>
      </c>
      <c r="L312" s="45">
        <f>IF(D312="",0,
 IF(E312=1,
   IF(H312="Presencial",
      VLOOKUP(D312,TARIFAS!A:K,3,FALSE) + IF(I312="Sí",VLOOKUP(D312,TARIFAS!A:K,5,FALSE),0),
      VLOOKUP(D312,TARIFAS!A:K,4,FALSE) + IF(I312="Sí",VLOOKUP(D312,TARIFAS!A:K,5,FALSE),0)
   ),
   IF(H312="Presencial",
      VLOOKUP(D312,TARIFAS!A:K,9,FALSE) + IF(I312="Sí",VLOOKUP(D312,TARIFAS!A:K,11,FALSE),0),
      VLOOKUP(D312,TARIFAS!A:K,10,FALSE) + IF(I312="Sí",VLOOKUP(D312,TARIFAS!A:K,11,FALSE),0)
   )
 )
)
</f>
        <v>0</v>
      </c>
      <c r="M312" s="45">
        <f>IF(J312="",0,MAX(0,J312 - TARIFAS!G$2) * TARIFAS!F$2)
</f>
        <v>0</v>
      </c>
      <c r="N312" s="45">
        <f>+L312*TARIFAS!$K$2</f>
        <v>0</v>
      </c>
      <c r="O312" s="45">
        <f t="shared" si="1"/>
        <v>0</v>
      </c>
      <c r="P312" s="45">
        <f>+M312+O312+K312+(+I312-(I312*TARIFAS!$K$2))</f>
        <v>0</v>
      </c>
      <c r="Q312" s="42" t="str">
        <f>CONFERENCIAS!T312</f>
        <v/>
      </c>
      <c r="R312" s="45" t="str">
        <f>CONFERENCIAS!U312</f>
        <v/>
      </c>
      <c r="S312" s="45" t="str">
        <f>CONFERENCIAS!W312</f>
        <v/>
      </c>
      <c r="T312" s="48">
        <f>IF(Q312="",0,
   IF(E312=1,
      IF(H312="Presencial",
         VLOOKUP(D312,TARIFAS!A:K,3,FALSE) + IF(I312="Sí",VLOOKUP(D312,TARIFAS!A:K,5,FALSE),0),
         VLOOKUP(D312,TARIFAS!A:K,4,FALSE) + IF(I312="Sí",VLOOKUP(D312,TARIFAS!A:K,5,FALSE),0)
      ),
      IF(H312="Presencial",
         VLOOKUP(D312,TARIFAS!A:K,9,FALSE) + IF(I312="Sí",VLOOKUP(D312,TARIFAS!A:K,11,FALSE),0),
         VLOOKUP(D312,TARIFAS!A:K,10,FALSE) + IF(I312="Sí",VLOOKUP(D312,TARIFAS!A:K,11,FALSE),0)
      )
   )
)
</f>
        <v>0</v>
      </c>
      <c r="U312" s="45">
        <f>IF(R312="",0,MAX(0,R312 - TARIFAS!G$2) * TARIFAS!F$2)
</f>
        <v>0</v>
      </c>
      <c r="V312" s="45">
        <f>+T312*TARIFAS!$K$2</f>
        <v>0</v>
      </c>
      <c r="W312" s="45">
        <f t="shared" si="2"/>
        <v>0</v>
      </c>
      <c r="X312" s="45">
        <f t="shared" si="3"/>
        <v>0</v>
      </c>
      <c r="Y312" s="45">
        <f t="shared" si="4"/>
        <v>0</v>
      </c>
      <c r="Z312" s="42" t="str">
        <f>CONFERENCIAS!AB312</f>
        <v/>
      </c>
      <c r="AA312" s="42" t="str">
        <f>CONFERENCIAS!AC312</f>
        <v/>
      </c>
      <c r="AB312" s="47" t="str">
        <f t="shared" si="5"/>
        <v/>
      </c>
      <c r="AC312" s="9" t="str">
        <f t="shared" si="6"/>
        <v/>
      </c>
    </row>
    <row r="313">
      <c r="A313" s="42" t="str">
        <f>CONFERENCIAS!A313</f>
        <v/>
      </c>
      <c r="D313" s="42" t="str">
        <f>CONFERENCIAS!C313</f>
        <v/>
      </c>
      <c r="E313" s="42" t="str">
        <f>CONFERENCIAS!K313</f>
        <v/>
      </c>
      <c r="F313" s="49" t="str">
        <f>CONFERENCIAS!J313</f>
        <v/>
      </c>
      <c r="G313" s="42" t="str">
        <f>CONFERENCIAS!O313</f>
        <v/>
      </c>
      <c r="H313" s="42" t="str">
        <f>CONFERENCIAS!X313</f>
        <v/>
      </c>
      <c r="I313" s="42" t="str">
        <f>CONFERENCIAS!AA313</f>
        <v/>
      </c>
      <c r="J313" s="44" t="str">
        <f>CONFERENCIAS!P313</f>
        <v/>
      </c>
      <c r="K313" s="45" t="str">
        <f>CONFERENCIAS!R313</f>
        <v/>
      </c>
      <c r="L313" s="45">
        <f>IF(D313="",0,
 IF(E313=1,
   IF(H313="Presencial",
      VLOOKUP(D313,TARIFAS!A:K,3,FALSE) + IF(I313="Sí",VLOOKUP(D313,TARIFAS!A:K,5,FALSE),0),
      VLOOKUP(D313,TARIFAS!A:K,4,FALSE) + IF(I313="Sí",VLOOKUP(D313,TARIFAS!A:K,5,FALSE),0)
   ),
   IF(H313="Presencial",
      VLOOKUP(D313,TARIFAS!A:K,9,FALSE) + IF(I313="Sí",VLOOKUP(D313,TARIFAS!A:K,11,FALSE),0),
      VLOOKUP(D313,TARIFAS!A:K,10,FALSE) + IF(I313="Sí",VLOOKUP(D313,TARIFAS!A:K,11,FALSE),0)
   )
 )
)
</f>
        <v>0</v>
      </c>
      <c r="M313" s="45">
        <f>IF(J313="",0,MAX(0,J313 - TARIFAS!G$2) * TARIFAS!F$2)
</f>
        <v>0</v>
      </c>
      <c r="N313" s="45">
        <f>+L313*TARIFAS!$K$2</f>
        <v>0</v>
      </c>
      <c r="O313" s="45">
        <f t="shared" si="1"/>
        <v>0</v>
      </c>
      <c r="P313" s="45">
        <f>+M313+O313+K313+(+I313-(I313*TARIFAS!$K$2))</f>
        <v>0</v>
      </c>
      <c r="Q313" s="42" t="str">
        <f>CONFERENCIAS!T313</f>
        <v/>
      </c>
      <c r="R313" s="45" t="str">
        <f>CONFERENCIAS!U313</f>
        <v/>
      </c>
      <c r="S313" s="45" t="str">
        <f>CONFERENCIAS!W313</f>
        <v/>
      </c>
      <c r="T313" s="48">
        <f>IF(Q313="",0,
   IF(E313=1,
      IF(H313="Presencial",
         VLOOKUP(D313,TARIFAS!A:K,3,FALSE) + IF(I313="Sí",VLOOKUP(D313,TARIFAS!A:K,5,FALSE),0),
         VLOOKUP(D313,TARIFAS!A:K,4,FALSE) + IF(I313="Sí",VLOOKUP(D313,TARIFAS!A:K,5,FALSE),0)
      ),
      IF(H313="Presencial",
         VLOOKUP(D313,TARIFAS!A:K,9,FALSE) + IF(I313="Sí",VLOOKUP(D313,TARIFAS!A:K,11,FALSE),0),
         VLOOKUP(D313,TARIFAS!A:K,10,FALSE) + IF(I313="Sí",VLOOKUP(D313,TARIFAS!A:K,11,FALSE),0)
      )
   )
)
</f>
        <v>0</v>
      </c>
      <c r="U313" s="45">
        <f>IF(R313="",0,MAX(0,R313 - TARIFAS!G$2) * TARIFAS!F$2)
</f>
        <v>0</v>
      </c>
      <c r="V313" s="45">
        <f>+T313*TARIFAS!$K$2</f>
        <v>0</v>
      </c>
      <c r="W313" s="45">
        <f t="shared" si="2"/>
        <v>0</v>
      </c>
      <c r="X313" s="45">
        <f t="shared" si="3"/>
        <v>0</v>
      </c>
      <c r="Y313" s="45">
        <f t="shared" si="4"/>
        <v>0</v>
      </c>
      <c r="Z313" s="42" t="str">
        <f>CONFERENCIAS!AB313</f>
        <v/>
      </c>
      <c r="AA313" s="42" t="str">
        <f>CONFERENCIAS!AC313</f>
        <v/>
      </c>
      <c r="AB313" s="47" t="str">
        <f t="shared" si="5"/>
        <v/>
      </c>
      <c r="AC313" s="9" t="str">
        <f t="shared" si="6"/>
        <v/>
      </c>
    </row>
    <row r="314">
      <c r="A314" s="42" t="str">
        <f>CONFERENCIAS!A314</f>
        <v/>
      </c>
      <c r="D314" s="42" t="str">
        <f>CONFERENCIAS!C314</f>
        <v/>
      </c>
      <c r="E314" s="42" t="str">
        <f>CONFERENCIAS!K314</f>
        <v/>
      </c>
      <c r="F314" s="49" t="str">
        <f>CONFERENCIAS!J314</f>
        <v/>
      </c>
      <c r="G314" s="42" t="str">
        <f>CONFERENCIAS!O314</f>
        <v/>
      </c>
      <c r="H314" s="42" t="str">
        <f>CONFERENCIAS!X314</f>
        <v/>
      </c>
      <c r="I314" s="42" t="str">
        <f>CONFERENCIAS!AA314</f>
        <v/>
      </c>
      <c r="J314" s="44" t="str">
        <f>CONFERENCIAS!P314</f>
        <v/>
      </c>
      <c r="K314" s="45" t="str">
        <f>CONFERENCIAS!R314</f>
        <v/>
      </c>
      <c r="L314" s="45">
        <f>IF(D314="",0,
 IF(E314=1,
   IF(H314="Presencial",
      VLOOKUP(D314,TARIFAS!A:K,3,FALSE) + IF(I314="Sí",VLOOKUP(D314,TARIFAS!A:K,5,FALSE),0),
      VLOOKUP(D314,TARIFAS!A:K,4,FALSE) + IF(I314="Sí",VLOOKUP(D314,TARIFAS!A:K,5,FALSE),0)
   ),
   IF(H314="Presencial",
      VLOOKUP(D314,TARIFAS!A:K,9,FALSE) + IF(I314="Sí",VLOOKUP(D314,TARIFAS!A:K,11,FALSE),0),
      VLOOKUP(D314,TARIFAS!A:K,10,FALSE) + IF(I314="Sí",VLOOKUP(D314,TARIFAS!A:K,11,FALSE),0)
   )
 )
)
</f>
        <v>0</v>
      </c>
      <c r="M314" s="45">
        <f>IF(J314="",0,MAX(0,J314 - TARIFAS!G$2) * TARIFAS!F$2)
</f>
        <v>0</v>
      </c>
      <c r="N314" s="45">
        <f>+L314*TARIFAS!$K$2</f>
        <v>0</v>
      </c>
      <c r="O314" s="45">
        <f t="shared" si="1"/>
        <v>0</v>
      </c>
      <c r="P314" s="45">
        <f>+M314+O314+K314+(+I314-(I314*TARIFAS!$K$2))</f>
        <v>0</v>
      </c>
      <c r="Q314" s="42" t="str">
        <f>CONFERENCIAS!T314</f>
        <v/>
      </c>
      <c r="R314" s="45" t="str">
        <f>CONFERENCIAS!U314</f>
        <v/>
      </c>
      <c r="S314" s="45" t="str">
        <f>CONFERENCIAS!W314</f>
        <v/>
      </c>
      <c r="T314" s="48">
        <f>IF(Q314="",0,
   IF(E314=1,
      IF(H314="Presencial",
         VLOOKUP(D314,TARIFAS!A:K,3,FALSE) + IF(I314="Sí",VLOOKUP(D314,TARIFAS!A:K,5,FALSE),0),
         VLOOKUP(D314,TARIFAS!A:K,4,FALSE) + IF(I314="Sí",VLOOKUP(D314,TARIFAS!A:K,5,FALSE),0)
      ),
      IF(H314="Presencial",
         VLOOKUP(D314,TARIFAS!A:K,9,FALSE) + IF(I314="Sí",VLOOKUP(D314,TARIFAS!A:K,11,FALSE),0),
         VLOOKUP(D314,TARIFAS!A:K,10,FALSE) + IF(I314="Sí",VLOOKUP(D314,TARIFAS!A:K,11,FALSE),0)
      )
   )
)
</f>
        <v>0</v>
      </c>
      <c r="U314" s="45">
        <f>IF(R314="",0,MAX(0,R314 - TARIFAS!G$2) * TARIFAS!F$2)
</f>
        <v>0</v>
      </c>
      <c r="V314" s="45">
        <f>+T314*TARIFAS!$K$2</f>
        <v>0</v>
      </c>
      <c r="W314" s="45">
        <f t="shared" si="2"/>
        <v>0</v>
      </c>
      <c r="X314" s="45">
        <f t="shared" si="3"/>
        <v>0</v>
      </c>
      <c r="Y314" s="45">
        <f t="shared" si="4"/>
        <v>0</v>
      </c>
      <c r="Z314" s="42" t="str">
        <f>CONFERENCIAS!AB314</f>
        <v/>
      </c>
      <c r="AA314" s="42" t="str">
        <f>CONFERENCIAS!AC314</f>
        <v/>
      </c>
      <c r="AB314" s="47" t="str">
        <f t="shared" si="5"/>
        <v/>
      </c>
      <c r="AC314" s="9" t="str">
        <f t="shared" si="6"/>
        <v/>
      </c>
    </row>
    <row r="315">
      <c r="A315" s="42" t="str">
        <f>CONFERENCIAS!A315</f>
        <v/>
      </c>
      <c r="D315" s="42" t="str">
        <f>CONFERENCIAS!C315</f>
        <v/>
      </c>
      <c r="E315" s="42" t="str">
        <f>CONFERENCIAS!K315</f>
        <v/>
      </c>
      <c r="F315" s="49" t="str">
        <f>CONFERENCIAS!J315</f>
        <v/>
      </c>
      <c r="G315" s="42" t="str">
        <f>CONFERENCIAS!O315</f>
        <v/>
      </c>
      <c r="H315" s="42" t="str">
        <f>CONFERENCIAS!X315</f>
        <v/>
      </c>
      <c r="I315" s="42" t="str">
        <f>CONFERENCIAS!AA315</f>
        <v/>
      </c>
      <c r="J315" s="44" t="str">
        <f>CONFERENCIAS!P315</f>
        <v/>
      </c>
      <c r="K315" s="45" t="str">
        <f>CONFERENCIAS!R315</f>
        <v/>
      </c>
      <c r="L315" s="45">
        <f>IF(D315="",0,
 IF(E315=1,
   IF(H315="Presencial",
      VLOOKUP(D315,TARIFAS!A:K,3,FALSE) + IF(I315="Sí",VLOOKUP(D315,TARIFAS!A:K,5,FALSE),0),
      VLOOKUP(D315,TARIFAS!A:K,4,FALSE) + IF(I315="Sí",VLOOKUP(D315,TARIFAS!A:K,5,FALSE),0)
   ),
   IF(H315="Presencial",
      VLOOKUP(D315,TARIFAS!A:K,9,FALSE) + IF(I315="Sí",VLOOKUP(D315,TARIFAS!A:K,11,FALSE),0),
      VLOOKUP(D315,TARIFAS!A:K,10,FALSE) + IF(I315="Sí",VLOOKUP(D315,TARIFAS!A:K,11,FALSE),0)
   )
 )
)
</f>
        <v>0</v>
      </c>
      <c r="M315" s="45">
        <f>IF(J315="",0,MAX(0,J315 - TARIFAS!G$2) * TARIFAS!F$2)
</f>
        <v>0</v>
      </c>
      <c r="N315" s="45">
        <f>+L315*TARIFAS!$K$2</f>
        <v>0</v>
      </c>
      <c r="O315" s="45">
        <f t="shared" si="1"/>
        <v>0</v>
      </c>
      <c r="P315" s="45">
        <f>+M315+O315+K315+(+I315-(I315*TARIFAS!$K$2))</f>
        <v>0</v>
      </c>
      <c r="Q315" s="42" t="str">
        <f>CONFERENCIAS!T315</f>
        <v/>
      </c>
      <c r="R315" s="45" t="str">
        <f>CONFERENCIAS!U315</f>
        <v/>
      </c>
      <c r="S315" s="45" t="str">
        <f>CONFERENCIAS!W315</f>
        <v/>
      </c>
      <c r="T315" s="48">
        <f>IF(Q315="",0,
   IF(E315=1,
      IF(H315="Presencial",
         VLOOKUP(D315,TARIFAS!A:K,3,FALSE) + IF(I315="Sí",VLOOKUP(D315,TARIFAS!A:K,5,FALSE),0),
         VLOOKUP(D315,TARIFAS!A:K,4,FALSE) + IF(I315="Sí",VLOOKUP(D315,TARIFAS!A:K,5,FALSE),0)
      ),
      IF(H315="Presencial",
         VLOOKUP(D315,TARIFAS!A:K,9,FALSE) + IF(I315="Sí",VLOOKUP(D315,TARIFAS!A:K,11,FALSE),0),
         VLOOKUP(D315,TARIFAS!A:K,10,FALSE) + IF(I315="Sí",VLOOKUP(D315,TARIFAS!A:K,11,FALSE),0)
      )
   )
)
</f>
        <v>0</v>
      </c>
      <c r="U315" s="45">
        <f>IF(R315="",0,MAX(0,R315 - TARIFAS!G$2) * TARIFAS!F$2)
</f>
        <v>0</v>
      </c>
      <c r="V315" s="45">
        <f>+T315*TARIFAS!$K$2</f>
        <v>0</v>
      </c>
      <c r="W315" s="45">
        <f t="shared" si="2"/>
        <v>0</v>
      </c>
      <c r="X315" s="45">
        <f t="shared" si="3"/>
        <v>0</v>
      </c>
      <c r="Y315" s="45">
        <f t="shared" si="4"/>
        <v>0</v>
      </c>
      <c r="Z315" s="42" t="str">
        <f>CONFERENCIAS!AB315</f>
        <v/>
      </c>
      <c r="AA315" s="42" t="str">
        <f>CONFERENCIAS!AC315</f>
        <v/>
      </c>
      <c r="AB315" s="47" t="str">
        <f t="shared" si="5"/>
        <v/>
      </c>
      <c r="AC315" s="9" t="str">
        <f t="shared" si="6"/>
        <v/>
      </c>
    </row>
    <row r="316">
      <c r="A316" s="42" t="str">
        <f>CONFERENCIAS!A316</f>
        <v/>
      </c>
      <c r="D316" s="42" t="str">
        <f>CONFERENCIAS!C316</f>
        <v/>
      </c>
      <c r="E316" s="42" t="str">
        <f>CONFERENCIAS!K316</f>
        <v/>
      </c>
      <c r="F316" s="49" t="str">
        <f>CONFERENCIAS!J316</f>
        <v/>
      </c>
      <c r="G316" s="42" t="str">
        <f>CONFERENCIAS!O316</f>
        <v/>
      </c>
      <c r="H316" s="42" t="str">
        <f>CONFERENCIAS!X316</f>
        <v/>
      </c>
      <c r="I316" s="42" t="str">
        <f>CONFERENCIAS!AA316</f>
        <v/>
      </c>
      <c r="J316" s="44" t="str">
        <f>CONFERENCIAS!P316</f>
        <v/>
      </c>
      <c r="K316" s="45" t="str">
        <f>CONFERENCIAS!R316</f>
        <v/>
      </c>
      <c r="L316" s="45">
        <f>IF(D316="",0,
 IF(E316=1,
   IF(H316="Presencial",
      VLOOKUP(D316,TARIFAS!A:K,3,FALSE) + IF(I316="Sí",VLOOKUP(D316,TARIFAS!A:K,5,FALSE),0),
      VLOOKUP(D316,TARIFAS!A:K,4,FALSE) + IF(I316="Sí",VLOOKUP(D316,TARIFAS!A:K,5,FALSE),0)
   ),
   IF(H316="Presencial",
      VLOOKUP(D316,TARIFAS!A:K,9,FALSE) + IF(I316="Sí",VLOOKUP(D316,TARIFAS!A:K,11,FALSE),0),
      VLOOKUP(D316,TARIFAS!A:K,10,FALSE) + IF(I316="Sí",VLOOKUP(D316,TARIFAS!A:K,11,FALSE),0)
   )
 )
)
</f>
        <v>0</v>
      </c>
      <c r="M316" s="45">
        <f>IF(J316="",0,MAX(0,J316 - TARIFAS!G$2) * TARIFAS!F$2)
</f>
        <v>0</v>
      </c>
      <c r="N316" s="45">
        <f>+L316*TARIFAS!$K$2</f>
        <v>0</v>
      </c>
      <c r="O316" s="45">
        <f t="shared" si="1"/>
        <v>0</v>
      </c>
      <c r="P316" s="45">
        <f>+M316+O316+K316+(+I316-(I316*TARIFAS!$K$2))</f>
        <v>0</v>
      </c>
      <c r="Q316" s="42" t="str">
        <f>CONFERENCIAS!T316</f>
        <v/>
      </c>
      <c r="R316" s="45" t="str">
        <f>CONFERENCIAS!U316</f>
        <v/>
      </c>
      <c r="S316" s="45" t="str">
        <f>CONFERENCIAS!W316</f>
        <v/>
      </c>
      <c r="T316" s="48">
        <f>IF(Q316="",0,
   IF(E316=1,
      IF(H316="Presencial",
         VLOOKUP(D316,TARIFAS!A:K,3,FALSE) + IF(I316="Sí",VLOOKUP(D316,TARIFAS!A:K,5,FALSE),0),
         VLOOKUP(D316,TARIFAS!A:K,4,FALSE) + IF(I316="Sí",VLOOKUP(D316,TARIFAS!A:K,5,FALSE),0)
      ),
      IF(H316="Presencial",
         VLOOKUP(D316,TARIFAS!A:K,9,FALSE) + IF(I316="Sí",VLOOKUP(D316,TARIFAS!A:K,11,FALSE),0),
         VLOOKUP(D316,TARIFAS!A:K,10,FALSE) + IF(I316="Sí",VLOOKUP(D316,TARIFAS!A:K,11,FALSE),0)
      )
   )
)
</f>
        <v>0</v>
      </c>
      <c r="U316" s="45">
        <f>IF(R316="",0,MAX(0,R316 - TARIFAS!G$2) * TARIFAS!F$2)
</f>
        <v>0</v>
      </c>
      <c r="V316" s="45">
        <f>+T316*TARIFAS!$K$2</f>
        <v>0</v>
      </c>
      <c r="W316" s="45">
        <f t="shared" si="2"/>
        <v>0</v>
      </c>
      <c r="X316" s="45">
        <f t="shared" si="3"/>
        <v>0</v>
      </c>
      <c r="Y316" s="45">
        <f t="shared" si="4"/>
        <v>0</v>
      </c>
      <c r="Z316" s="42" t="str">
        <f>CONFERENCIAS!AB316</f>
        <v/>
      </c>
      <c r="AA316" s="42" t="str">
        <f>CONFERENCIAS!AC316</f>
        <v/>
      </c>
      <c r="AB316" s="47" t="str">
        <f t="shared" si="5"/>
        <v/>
      </c>
      <c r="AC316" s="9" t="str">
        <f t="shared" si="6"/>
        <v/>
      </c>
    </row>
    <row r="317">
      <c r="A317" s="42" t="str">
        <f>CONFERENCIAS!A317</f>
        <v/>
      </c>
      <c r="D317" s="42" t="str">
        <f>CONFERENCIAS!C317</f>
        <v/>
      </c>
      <c r="E317" s="42" t="str">
        <f>CONFERENCIAS!K317</f>
        <v/>
      </c>
      <c r="F317" s="49" t="str">
        <f>CONFERENCIAS!J317</f>
        <v/>
      </c>
      <c r="G317" s="42" t="str">
        <f>CONFERENCIAS!O317</f>
        <v/>
      </c>
      <c r="H317" s="42" t="str">
        <f>CONFERENCIAS!X317</f>
        <v/>
      </c>
      <c r="I317" s="42" t="str">
        <f>CONFERENCIAS!AA317</f>
        <v/>
      </c>
      <c r="J317" s="44" t="str">
        <f>CONFERENCIAS!P317</f>
        <v/>
      </c>
      <c r="K317" s="45" t="str">
        <f>CONFERENCIAS!R317</f>
        <v/>
      </c>
      <c r="L317" s="45">
        <f>IF(D317="",0,
 IF(E317=1,
   IF(H317="Presencial",
      VLOOKUP(D317,TARIFAS!A:K,3,FALSE) + IF(I317="Sí",VLOOKUP(D317,TARIFAS!A:K,5,FALSE),0),
      VLOOKUP(D317,TARIFAS!A:K,4,FALSE) + IF(I317="Sí",VLOOKUP(D317,TARIFAS!A:K,5,FALSE),0)
   ),
   IF(H317="Presencial",
      VLOOKUP(D317,TARIFAS!A:K,9,FALSE) + IF(I317="Sí",VLOOKUP(D317,TARIFAS!A:K,11,FALSE),0),
      VLOOKUP(D317,TARIFAS!A:K,10,FALSE) + IF(I317="Sí",VLOOKUP(D317,TARIFAS!A:K,11,FALSE),0)
   )
 )
)
</f>
        <v>0</v>
      </c>
      <c r="M317" s="45">
        <f>IF(J317="",0,MAX(0,J317 - TARIFAS!G$2) * TARIFAS!F$2)
</f>
        <v>0</v>
      </c>
      <c r="N317" s="45">
        <f>+L317*TARIFAS!$K$2</f>
        <v>0</v>
      </c>
      <c r="O317" s="45">
        <f t="shared" si="1"/>
        <v>0</v>
      </c>
      <c r="P317" s="45">
        <f>+M317+O317+K317+(+I317-(I317*TARIFAS!$K$2))</f>
        <v>0</v>
      </c>
      <c r="Q317" s="42" t="str">
        <f>CONFERENCIAS!T317</f>
        <v/>
      </c>
      <c r="R317" s="45" t="str">
        <f>CONFERENCIAS!U317</f>
        <v/>
      </c>
      <c r="S317" s="45" t="str">
        <f>CONFERENCIAS!W317</f>
        <v/>
      </c>
      <c r="T317" s="48">
        <f>IF(Q317="",0,
   IF(E317=1,
      IF(H317="Presencial",
         VLOOKUP(D317,TARIFAS!A:K,3,FALSE) + IF(I317="Sí",VLOOKUP(D317,TARIFAS!A:K,5,FALSE),0),
         VLOOKUP(D317,TARIFAS!A:K,4,FALSE) + IF(I317="Sí",VLOOKUP(D317,TARIFAS!A:K,5,FALSE),0)
      ),
      IF(H317="Presencial",
         VLOOKUP(D317,TARIFAS!A:K,9,FALSE) + IF(I317="Sí",VLOOKUP(D317,TARIFAS!A:K,11,FALSE),0),
         VLOOKUP(D317,TARIFAS!A:K,10,FALSE) + IF(I317="Sí",VLOOKUP(D317,TARIFAS!A:K,11,FALSE),0)
      )
   )
)
</f>
        <v>0</v>
      </c>
      <c r="U317" s="45">
        <f>IF(R317="",0,MAX(0,R317 - TARIFAS!G$2) * TARIFAS!F$2)
</f>
        <v>0</v>
      </c>
      <c r="V317" s="45">
        <f>+T317*TARIFAS!$K$2</f>
        <v>0</v>
      </c>
      <c r="W317" s="45">
        <f t="shared" si="2"/>
        <v>0</v>
      </c>
      <c r="X317" s="45">
        <f t="shared" si="3"/>
        <v>0</v>
      </c>
      <c r="Y317" s="45">
        <f t="shared" si="4"/>
        <v>0</v>
      </c>
      <c r="Z317" s="42" t="str">
        <f>CONFERENCIAS!AB317</f>
        <v/>
      </c>
      <c r="AA317" s="42" t="str">
        <f>CONFERENCIAS!AC317</f>
        <v/>
      </c>
      <c r="AB317" s="47" t="str">
        <f t="shared" si="5"/>
        <v/>
      </c>
      <c r="AC317" s="9" t="str">
        <f t="shared" si="6"/>
        <v/>
      </c>
    </row>
    <row r="318">
      <c r="A318" s="42" t="str">
        <f>CONFERENCIAS!A318</f>
        <v/>
      </c>
      <c r="D318" s="42" t="str">
        <f>CONFERENCIAS!C318</f>
        <v/>
      </c>
      <c r="E318" s="42" t="str">
        <f>CONFERENCIAS!K318</f>
        <v/>
      </c>
      <c r="F318" s="49" t="str">
        <f>CONFERENCIAS!J318</f>
        <v/>
      </c>
      <c r="G318" s="42" t="str">
        <f>CONFERENCIAS!O318</f>
        <v/>
      </c>
      <c r="H318" s="42" t="str">
        <f>CONFERENCIAS!X318</f>
        <v/>
      </c>
      <c r="I318" s="42" t="str">
        <f>CONFERENCIAS!AA318</f>
        <v/>
      </c>
      <c r="J318" s="44" t="str">
        <f>CONFERENCIAS!P318</f>
        <v/>
      </c>
      <c r="K318" s="45" t="str">
        <f>CONFERENCIAS!R318</f>
        <v/>
      </c>
      <c r="L318" s="45">
        <f>IF(D318="",0,
 IF(E318=1,
   IF(H318="Presencial",
      VLOOKUP(D318,TARIFAS!A:K,3,FALSE) + IF(I318="Sí",VLOOKUP(D318,TARIFAS!A:K,5,FALSE),0),
      VLOOKUP(D318,TARIFAS!A:K,4,FALSE) + IF(I318="Sí",VLOOKUP(D318,TARIFAS!A:K,5,FALSE),0)
   ),
   IF(H318="Presencial",
      VLOOKUP(D318,TARIFAS!A:K,9,FALSE) + IF(I318="Sí",VLOOKUP(D318,TARIFAS!A:K,11,FALSE),0),
      VLOOKUP(D318,TARIFAS!A:K,10,FALSE) + IF(I318="Sí",VLOOKUP(D318,TARIFAS!A:K,11,FALSE),0)
   )
 )
)
</f>
        <v>0</v>
      </c>
      <c r="M318" s="45">
        <f>IF(J318="",0,MAX(0,J318 - TARIFAS!G$2) * TARIFAS!F$2)
</f>
        <v>0</v>
      </c>
      <c r="N318" s="45">
        <f>+L318*TARIFAS!$K$2</f>
        <v>0</v>
      </c>
      <c r="O318" s="45">
        <f t="shared" si="1"/>
        <v>0</v>
      </c>
      <c r="P318" s="45">
        <f>+M318+O318+K318+(+I318-(I318*TARIFAS!$K$2))</f>
        <v>0</v>
      </c>
      <c r="Q318" s="42" t="str">
        <f>CONFERENCIAS!T318</f>
        <v/>
      </c>
      <c r="R318" s="45" t="str">
        <f>CONFERENCIAS!U318</f>
        <v/>
      </c>
      <c r="S318" s="45" t="str">
        <f>CONFERENCIAS!W318</f>
        <v/>
      </c>
      <c r="T318" s="48">
        <f>IF(Q318="",0,
   IF(E318=1,
      IF(H318="Presencial",
         VLOOKUP(D318,TARIFAS!A:K,3,FALSE) + IF(I318="Sí",VLOOKUP(D318,TARIFAS!A:K,5,FALSE),0),
         VLOOKUP(D318,TARIFAS!A:K,4,FALSE) + IF(I318="Sí",VLOOKUP(D318,TARIFAS!A:K,5,FALSE),0)
      ),
      IF(H318="Presencial",
         VLOOKUP(D318,TARIFAS!A:K,9,FALSE) + IF(I318="Sí",VLOOKUP(D318,TARIFAS!A:K,11,FALSE),0),
         VLOOKUP(D318,TARIFAS!A:K,10,FALSE) + IF(I318="Sí",VLOOKUP(D318,TARIFAS!A:K,11,FALSE),0)
      )
   )
)
</f>
        <v>0</v>
      </c>
      <c r="U318" s="45">
        <f>IF(R318="",0,MAX(0,R318 - TARIFAS!G$2) * TARIFAS!F$2)
</f>
        <v>0</v>
      </c>
      <c r="V318" s="45">
        <f>+T318*TARIFAS!$K$2</f>
        <v>0</v>
      </c>
      <c r="W318" s="45">
        <f t="shared" si="2"/>
        <v>0</v>
      </c>
      <c r="X318" s="45">
        <f t="shared" si="3"/>
        <v>0</v>
      </c>
      <c r="Y318" s="45">
        <f t="shared" si="4"/>
        <v>0</v>
      </c>
      <c r="Z318" s="42" t="str">
        <f>CONFERENCIAS!AB318</f>
        <v/>
      </c>
      <c r="AA318" s="42" t="str">
        <f>CONFERENCIAS!AC318</f>
        <v/>
      </c>
      <c r="AB318" s="47" t="str">
        <f t="shared" si="5"/>
        <v/>
      </c>
      <c r="AC318" s="9" t="str">
        <f t="shared" si="6"/>
        <v/>
      </c>
    </row>
    <row r="319">
      <c r="A319" s="42" t="str">
        <f>CONFERENCIAS!A319</f>
        <v/>
      </c>
      <c r="D319" s="42" t="str">
        <f>CONFERENCIAS!C319</f>
        <v/>
      </c>
      <c r="E319" s="42" t="str">
        <f>CONFERENCIAS!K319</f>
        <v/>
      </c>
      <c r="F319" s="49" t="str">
        <f>CONFERENCIAS!J319</f>
        <v/>
      </c>
      <c r="G319" s="42" t="str">
        <f>CONFERENCIAS!O319</f>
        <v/>
      </c>
      <c r="H319" s="42" t="str">
        <f>CONFERENCIAS!X319</f>
        <v/>
      </c>
      <c r="I319" s="42" t="str">
        <f>CONFERENCIAS!AA319</f>
        <v/>
      </c>
      <c r="J319" s="44" t="str">
        <f>CONFERENCIAS!P319</f>
        <v/>
      </c>
      <c r="K319" s="45" t="str">
        <f>CONFERENCIAS!R319</f>
        <v/>
      </c>
      <c r="L319" s="45">
        <f>IF(D319="",0,
 IF(E319=1,
   IF(H319="Presencial",
      VLOOKUP(D319,TARIFAS!A:K,3,FALSE) + IF(I319="Sí",VLOOKUP(D319,TARIFAS!A:K,5,FALSE),0),
      VLOOKUP(D319,TARIFAS!A:K,4,FALSE) + IF(I319="Sí",VLOOKUP(D319,TARIFAS!A:K,5,FALSE),0)
   ),
   IF(H319="Presencial",
      VLOOKUP(D319,TARIFAS!A:K,9,FALSE) + IF(I319="Sí",VLOOKUP(D319,TARIFAS!A:K,11,FALSE),0),
      VLOOKUP(D319,TARIFAS!A:K,10,FALSE) + IF(I319="Sí",VLOOKUP(D319,TARIFAS!A:K,11,FALSE),0)
   )
 )
)
</f>
        <v>0</v>
      </c>
      <c r="M319" s="45">
        <f>IF(J319="",0,MAX(0,J319 - TARIFAS!G$2) * TARIFAS!F$2)
</f>
        <v>0</v>
      </c>
      <c r="N319" s="45">
        <f>+L319*TARIFAS!$K$2</f>
        <v>0</v>
      </c>
      <c r="O319" s="45">
        <f t="shared" si="1"/>
        <v>0</v>
      </c>
      <c r="P319" s="45">
        <f>+M319+O319+K319+(+I319-(I319*TARIFAS!$K$2))</f>
        <v>0</v>
      </c>
      <c r="Q319" s="42" t="str">
        <f>CONFERENCIAS!T319</f>
        <v/>
      </c>
      <c r="R319" s="45" t="str">
        <f>CONFERENCIAS!U319</f>
        <v/>
      </c>
      <c r="S319" s="45" t="str">
        <f>CONFERENCIAS!W319</f>
        <v/>
      </c>
      <c r="T319" s="48">
        <f>IF(Q319="",0,
   IF(E319=1,
      IF(H319="Presencial",
         VLOOKUP(D319,TARIFAS!A:K,3,FALSE) + IF(I319="Sí",VLOOKUP(D319,TARIFAS!A:K,5,FALSE),0),
         VLOOKUP(D319,TARIFAS!A:K,4,FALSE) + IF(I319="Sí",VLOOKUP(D319,TARIFAS!A:K,5,FALSE),0)
      ),
      IF(H319="Presencial",
         VLOOKUP(D319,TARIFAS!A:K,9,FALSE) + IF(I319="Sí",VLOOKUP(D319,TARIFAS!A:K,11,FALSE),0),
         VLOOKUP(D319,TARIFAS!A:K,10,FALSE) + IF(I319="Sí",VLOOKUP(D319,TARIFAS!A:K,11,FALSE),0)
      )
   )
)
</f>
        <v>0</v>
      </c>
      <c r="U319" s="45">
        <f>IF(R319="",0,MAX(0,R319 - TARIFAS!G$2) * TARIFAS!F$2)
</f>
        <v>0</v>
      </c>
      <c r="V319" s="45">
        <f>+T319*TARIFAS!$K$2</f>
        <v>0</v>
      </c>
      <c r="W319" s="45">
        <f t="shared" si="2"/>
        <v>0</v>
      </c>
      <c r="X319" s="45">
        <f t="shared" si="3"/>
        <v>0</v>
      </c>
      <c r="Y319" s="45">
        <f t="shared" si="4"/>
        <v>0</v>
      </c>
      <c r="Z319" s="42" t="str">
        <f>CONFERENCIAS!AB319</f>
        <v/>
      </c>
      <c r="AA319" s="42" t="str">
        <f>CONFERENCIAS!AC319</f>
        <v/>
      </c>
      <c r="AB319" s="47" t="str">
        <f t="shared" si="5"/>
        <v/>
      </c>
      <c r="AC319" s="9" t="str">
        <f t="shared" si="6"/>
        <v/>
      </c>
    </row>
    <row r="320">
      <c r="A320" s="42" t="str">
        <f>CONFERENCIAS!A320</f>
        <v/>
      </c>
      <c r="D320" s="42" t="str">
        <f>CONFERENCIAS!C320</f>
        <v/>
      </c>
      <c r="E320" s="42" t="str">
        <f>CONFERENCIAS!K320</f>
        <v/>
      </c>
      <c r="F320" s="49" t="str">
        <f>CONFERENCIAS!J320</f>
        <v/>
      </c>
      <c r="G320" s="42" t="str">
        <f>CONFERENCIAS!O320</f>
        <v/>
      </c>
      <c r="H320" s="42" t="str">
        <f>CONFERENCIAS!X320</f>
        <v/>
      </c>
      <c r="I320" s="42" t="str">
        <f>CONFERENCIAS!AA320</f>
        <v/>
      </c>
      <c r="J320" s="44" t="str">
        <f>CONFERENCIAS!P320</f>
        <v/>
      </c>
      <c r="K320" s="45" t="str">
        <f>CONFERENCIAS!R320</f>
        <v/>
      </c>
      <c r="L320" s="45">
        <f>IF(D320="",0,
 IF(E320=1,
   IF(H320="Presencial",
      VLOOKUP(D320,TARIFAS!A:K,3,FALSE) + IF(I320="Sí",VLOOKUP(D320,TARIFAS!A:K,5,FALSE),0),
      VLOOKUP(D320,TARIFAS!A:K,4,FALSE) + IF(I320="Sí",VLOOKUP(D320,TARIFAS!A:K,5,FALSE),0)
   ),
   IF(H320="Presencial",
      VLOOKUP(D320,TARIFAS!A:K,9,FALSE) + IF(I320="Sí",VLOOKUP(D320,TARIFAS!A:K,11,FALSE),0),
      VLOOKUP(D320,TARIFAS!A:K,10,FALSE) + IF(I320="Sí",VLOOKUP(D320,TARIFAS!A:K,11,FALSE),0)
   )
 )
)
</f>
        <v>0</v>
      </c>
      <c r="M320" s="45">
        <f>IF(J320="",0,MAX(0,J320 - TARIFAS!G$2) * TARIFAS!F$2)
</f>
        <v>0</v>
      </c>
      <c r="N320" s="45">
        <f>+L320*TARIFAS!$K$2</f>
        <v>0</v>
      </c>
      <c r="O320" s="45">
        <f t="shared" si="1"/>
        <v>0</v>
      </c>
      <c r="P320" s="45">
        <f>+M320+O320+K320+(+I320-(I320*TARIFAS!$K$2))</f>
        <v>0</v>
      </c>
      <c r="Q320" s="42" t="str">
        <f>CONFERENCIAS!T320</f>
        <v/>
      </c>
      <c r="R320" s="45" t="str">
        <f>CONFERENCIAS!U320</f>
        <v/>
      </c>
      <c r="S320" s="45" t="str">
        <f>CONFERENCIAS!W320</f>
        <v/>
      </c>
      <c r="T320" s="48">
        <f>IF(Q320="",0,
   IF(E320=1,
      IF(H320="Presencial",
         VLOOKUP(D320,TARIFAS!A:K,3,FALSE) + IF(I320="Sí",VLOOKUP(D320,TARIFAS!A:K,5,FALSE),0),
         VLOOKUP(D320,TARIFAS!A:K,4,FALSE) + IF(I320="Sí",VLOOKUP(D320,TARIFAS!A:K,5,FALSE),0)
      ),
      IF(H320="Presencial",
         VLOOKUP(D320,TARIFAS!A:K,9,FALSE) + IF(I320="Sí",VLOOKUP(D320,TARIFAS!A:K,11,FALSE),0),
         VLOOKUP(D320,TARIFAS!A:K,10,FALSE) + IF(I320="Sí",VLOOKUP(D320,TARIFAS!A:K,11,FALSE),0)
      )
   )
)
</f>
        <v>0</v>
      </c>
      <c r="U320" s="45">
        <f>IF(R320="",0,MAX(0,R320 - TARIFAS!G$2) * TARIFAS!F$2)
</f>
        <v>0</v>
      </c>
      <c r="V320" s="45">
        <f>+T320*TARIFAS!$K$2</f>
        <v>0</v>
      </c>
      <c r="W320" s="45">
        <f t="shared" si="2"/>
        <v>0</v>
      </c>
      <c r="X320" s="45">
        <f t="shared" si="3"/>
        <v>0</v>
      </c>
      <c r="Y320" s="45">
        <f t="shared" si="4"/>
        <v>0</v>
      </c>
      <c r="Z320" s="42" t="str">
        <f>CONFERENCIAS!AB320</f>
        <v/>
      </c>
      <c r="AA320" s="42" t="str">
        <f>CONFERENCIAS!AC320</f>
        <v/>
      </c>
      <c r="AB320" s="47" t="str">
        <f t="shared" si="5"/>
        <v/>
      </c>
      <c r="AC320" s="9" t="str">
        <f t="shared" si="6"/>
        <v/>
      </c>
    </row>
    <row r="321">
      <c r="A321" s="42" t="str">
        <f>CONFERENCIAS!A321</f>
        <v/>
      </c>
      <c r="D321" s="42" t="str">
        <f>CONFERENCIAS!C321</f>
        <v/>
      </c>
      <c r="E321" s="42" t="str">
        <f>CONFERENCIAS!K321</f>
        <v/>
      </c>
      <c r="F321" s="49" t="str">
        <f>CONFERENCIAS!J321</f>
        <v/>
      </c>
      <c r="G321" s="42" t="str">
        <f>CONFERENCIAS!O321</f>
        <v/>
      </c>
      <c r="H321" s="42" t="str">
        <f>CONFERENCIAS!X321</f>
        <v/>
      </c>
      <c r="I321" s="42" t="str">
        <f>CONFERENCIAS!AA321</f>
        <v/>
      </c>
      <c r="J321" s="44" t="str">
        <f>CONFERENCIAS!P321</f>
        <v/>
      </c>
      <c r="K321" s="45" t="str">
        <f>CONFERENCIAS!R321</f>
        <v/>
      </c>
      <c r="L321" s="45">
        <f>IF(D321="",0,
 IF(E321=1,
   IF(H321="Presencial",
      VLOOKUP(D321,TARIFAS!A:K,3,FALSE) + IF(I321="Sí",VLOOKUP(D321,TARIFAS!A:K,5,FALSE),0),
      VLOOKUP(D321,TARIFAS!A:K,4,FALSE) + IF(I321="Sí",VLOOKUP(D321,TARIFAS!A:K,5,FALSE),0)
   ),
   IF(H321="Presencial",
      VLOOKUP(D321,TARIFAS!A:K,9,FALSE) + IF(I321="Sí",VLOOKUP(D321,TARIFAS!A:K,11,FALSE),0),
      VLOOKUP(D321,TARIFAS!A:K,10,FALSE) + IF(I321="Sí",VLOOKUP(D321,TARIFAS!A:K,11,FALSE),0)
   )
 )
)
</f>
        <v>0</v>
      </c>
      <c r="M321" s="45">
        <f>IF(J321="",0,MAX(0,J321 - TARIFAS!G$2) * TARIFAS!F$2)
</f>
        <v>0</v>
      </c>
      <c r="N321" s="45">
        <f>+L321*TARIFAS!$K$2</f>
        <v>0</v>
      </c>
      <c r="O321" s="45">
        <f t="shared" si="1"/>
        <v>0</v>
      </c>
      <c r="P321" s="45">
        <f>+M321+O321+K321+(+I321-(I321*TARIFAS!$K$2))</f>
        <v>0</v>
      </c>
      <c r="Q321" s="42" t="str">
        <f>CONFERENCIAS!T321</f>
        <v/>
      </c>
      <c r="R321" s="45" t="str">
        <f>CONFERENCIAS!U321</f>
        <v/>
      </c>
      <c r="S321" s="45" t="str">
        <f>CONFERENCIAS!W321</f>
        <v/>
      </c>
      <c r="T321" s="48">
        <f>IF(Q321="",0,
   IF(E321=1,
      IF(H321="Presencial",
         VLOOKUP(D321,TARIFAS!A:K,3,FALSE) + IF(I321="Sí",VLOOKUP(D321,TARIFAS!A:K,5,FALSE),0),
         VLOOKUP(D321,TARIFAS!A:K,4,FALSE) + IF(I321="Sí",VLOOKUP(D321,TARIFAS!A:K,5,FALSE),0)
      ),
      IF(H321="Presencial",
         VLOOKUP(D321,TARIFAS!A:K,9,FALSE) + IF(I321="Sí",VLOOKUP(D321,TARIFAS!A:K,11,FALSE),0),
         VLOOKUP(D321,TARIFAS!A:K,10,FALSE) + IF(I321="Sí",VLOOKUP(D321,TARIFAS!A:K,11,FALSE),0)
      )
   )
)
</f>
        <v>0</v>
      </c>
      <c r="U321" s="45">
        <f>IF(R321="",0,MAX(0,R321 - TARIFAS!G$2) * TARIFAS!F$2)
</f>
        <v>0</v>
      </c>
      <c r="V321" s="45">
        <f>+T321*TARIFAS!$K$2</f>
        <v>0</v>
      </c>
      <c r="W321" s="45">
        <f t="shared" si="2"/>
        <v>0</v>
      </c>
      <c r="X321" s="45">
        <f t="shared" si="3"/>
        <v>0</v>
      </c>
      <c r="Y321" s="45">
        <f t="shared" si="4"/>
        <v>0</v>
      </c>
      <c r="Z321" s="42" t="str">
        <f>CONFERENCIAS!AB321</f>
        <v/>
      </c>
      <c r="AA321" s="42" t="str">
        <f>CONFERENCIAS!AC321</f>
        <v/>
      </c>
      <c r="AB321" s="47" t="str">
        <f t="shared" si="5"/>
        <v/>
      </c>
      <c r="AC321" s="9" t="str">
        <f t="shared" si="6"/>
        <v/>
      </c>
    </row>
    <row r="322">
      <c r="A322" s="42" t="str">
        <f>CONFERENCIAS!A322</f>
        <v/>
      </c>
      <c r="D322" s="42" t="str">
        <f>CONFERENCIAS!C322</f>
        <v/>
      </c>
      <c r="E322" s="42" t="str">
        <f>CONFERENCIAS!K322</f>
        <v/>
      </c>
      <c r="F322" s="49" t="str">
        <f>CONFERENCIAS!J322</f>
        <v/>
      </c>
      <c r="G322" s="42" t="str">
        <f>CONFERENCIAS!O322</f>
        <v/>
      </c>
      <c r="H322" s="42" t="str">
        <f>CONFERENCIAS!X322</f>
        <v/>
      </c>
      <c r="I322" s="42" t="str">
        <f>CONFERENCIAS!AA322</f>
        <v/>
      </c>
      <c r="J322" s="44" t="str">
        <f>CONFERENCIAS!P322</f>
        <v/>
      </c>
      <c r="K322" s="45" t="str">
        <f>CONFERENCIAS!R322</f>
        <v/>
      </c>
      <c r="L322" s="45">
        <f>IF(D322="",0,
 IF(E322=1,
   IF(H322="Presencial",
      VLOOKUP(D322,TARIFAS!A:K,3,FALSE) + IF(I322="Sí",VLOOKUP(D322,TARIFAS!A:K,5,FALSE),0),
      VLOOKUP(D322,TARIFAS!A:K,4,FALSE) + IF(I322="Sí",VLOOKUP(D322,TARIFAS!A:K,5,FALSE),0)
   ),
   IF(H322="Presencial",
      VLOOKUP(D322,TARIFAS!A:K,9,FALSE) + IF(I322="Sí",VLOOKUP(D322,TARIFAS!A:K,11,FALSE),0),
      VLOOKUP(D322,TARIFAS!A:K,10,FALSE) + IF(I322="Sí",VLOOKUP(D322,TARIFAS!A:K,11,FALSE),0)
   )
 )
)
</f>
        <v>0</v>
      </c>
      <c r="M322" s="45">
        <f>IF(J322="",0,MAX(0,J322 - TARIFAS!G$2) * TARIFAS!F$2)
</f>
        <v>0</v>
      </c>
      <c r="N322" s="45">
        <f>+L322*TARIFAS!$K$2</f>
        <v>0</v>
      </c>
      <c r="O322" s="45">
        <f t="shared" si="1"/>
        <v>0</v>
      </c>
      <c r="P322" s="45">
        <f>+M322+O322+K322+(+I322-(I322*TARIFAS!$K$2))</f>
        <v>0</v>
      </c>
      <c r="Q322" s="42" t="str">
        <f>CONFERENCIAS!T322</f>
        <v/>
      </c>
      <c r="R322" s="45" t="str">
        <f>CONFERENCIAS!U322</f>
        <v/>
      </c>
      <c r="S322" s="45" t="str">
        <f>CONFERENCIAS!W322</f>
        <v/>
      </c>
      <c r="T322" s="48">
        <f>IF(Q322="",0,
   IF(E322=1,
      IF(H322="Presencial",
         VLOOKUP(D322,TARIFAS!A:K,3,FALSE) + IF(I322="Sí",VLOOKUP(D322,TARIFAS!A:K,5,FALSE),0),
         VLOOKUP(D322,TARIFAS!A:K,4,FALSE) + IF(I322="Sí",VLOOKUP(D322,TARIFAS!A:K,5,FALSE),0)
      ),
      IF(H322="Presencial",
         VLOOKUP(D322,TARIFAS!A:K,9,FALSE) + IF(I322="Sí",VLOOKUP(D322,TARIFAS!A:K,11,FALSE),0),
         VLOOKUP(D322,TARIFAS!A:K,10,FALSE) + IF(I322="Sí",VLOOKUP(D322,TARIFAS!A:K,11,FALSE),0)
      )
   )
)
</f>
        <v>0</v>
      </c>
      <c r="U322" s="45">
        <f>IF(R322="",0,MAX(0,R322 - TARIFAS!G$2) * TARIFAS!F$2)
</f>
        <v>0</v>
      </c>
      <c r="V322" s="45">
        <f>+T322*TARIFAS!$K$2</f>
        <v>0</v>
      </c>
      <c r="W322" s="45">
        <f t="shared" si="2"/>
        <v>0</v>
      </c>
      <c r="X322" s="45">
        <f t="shared" si="3"/>
        <v>0</v>
      </c>
      <c r="Y322" s="45">
        <f t="shared" si="4"/>
        <v>0</v>
      </c>
      <c r="Z322" s="42" t="str">
        <f>CONFERENCIAS!AB322</f>
        <v/>
      </c>
      <c r="AA322" s="42" t="str">
        <f>CONFERENCIAS!AC322</f>
        <v/>
      </c>
      <c r="AB322" s="47" t="str">
        <f t="shared" si="5"/>
        <v/>
      </c>
      <c r="AC322" s="9" t="str">
        <f t="shared" si="6"/>
        <v/>
      </c>
    </row>
    <row r="323">
      <c r="A323" s="42" t="str">
        <f>CONFERENCIAS!A323</f>
        <v/>
      </c>
      <c r="D323" s="42" t="str">
        <f>CONFERENCIAS!C323</f>
        <v/>
      </c>
      <c r="E323" s="42" t="str">
        <f>CONFERENCIAS!K323</f>
        <v/>
      </c>
      <c r="F323" s="49" t="str">
        <f>CONFERENCIAS!J323</f>
        <v/>
      </c>
      <c r="G323" s="42" t="str">
        <f>CONFERENCIAS!O323</f>
        <v/>
      </c>
      <c r="H323" s="42" t="str">
        <f>CONFERENCIAS!X323</f>
        <v/>
      </c>
      <c r="I323" s="42" t="str">
        <f>CONFERENCIAS!AA323</f>
        <v/>
      </c>
      <c r="J323" s="44" t="str">
        <f>CONFERENCIAS!P323</f>
        <v/>
      </c>
      <c r="K323" s="45" t="str">
        <f>CONFERENCIAS!R323</f>
        <v/>
      </c>
      <c r="L323" s="45">
        <f>IF(D323="",0,
 IF(E323=1,
   IF(H323="Presencial",
      VLOOKUP(D323,TARIFAS!A:K,3,FALSE) + IF(I323="Sí",VLOOKUP(D323,TARIFAS!A:K,5,FALSE),0),
      VLOOKUP(D323,TARIFAS!A:K,4,FALSE) + IF(I323="Sí",VLOOKUP(D323,TARIFAS!A:K,5,FALSE),0)
   ),
   IF(H323="Presencial",
      VLOOKUP(D323,TARIFAS!A:K,9,FALSE) + IF(I323="Sí",VLOOKUP(D323,TARIFAS!A:K,11,FALSE),0),
      VLOOKUP(D323,TARIFAS!A:K,10,FALSE) + IF(I323="Sí",VLOOKUP(D323,TARIFAS!A:K,11,FALSE),0)
   )
 )
)
</f>
        <v>0</v>
      </c>
      <c r="M323" s="45">
        <f>IF(J323="",0,MAX(0,J323 - TARIFAS!G$2) * TARIFAS!F$2)
</f>
        <v>0</v>
      </c>
      <c r="N323" s="45">
        <f>+L323*TARIFAS!$K$2</f>
        <v>0</v>
      </c>
      <c r="O323" s="45">
        <f t="shared" si="1"/>
        <v>0</v>
      </c>
      <c r="P323" s="45">
        <f>+M323+O323+K323+(+I323-(I323*TARIFAS!$K$2))</f>
        <v>0</v>
      </c>
      <c r="Q323" s="42" t="str">
        <f>CONFERENCIAS!T323</f>
        <v/>
      </c>
      <c r="R323" s="45" t="str">
        <f>CONFERENCIAS!U323</f>
        <v/>
      </c>
      <c r="S323" s="45" t="str">
        <f>CONFERENCIAS!W323</f>
        <v/>
      </c>
      <c r="T323" s="48">
        <f>IF(Q323="",0,
   IF(E323=1,
      IF(H323="Presencial",
         VLOOKUP(D323,TARIFAS!A:K,3,FALSE) + IF(I323="Sí",VLOOKUP(D323,TARIFAS!A:K,5,FALSE),0),
         VLOOKUP(D323,TARIFAS!A:K,4,FALSE) + IF(I323="Sí",VLOOKUP(D323,TARIFAS!A:K,5,FALSE),0)
      ),
      IF(H323="Presencial",
         VLOOKUP(D323,TARIFAS!A:K,9,FALSE) + IF(I323="Sí",VLOOKUP(D323,TARIFAS!A:K,11,FALSE),0),
         VLOOKUP(D323,TARIFAS!A:K,10,FALSE) + IF(I323="Sí",VLOOKUP(D323,TARIFAS!A:K,11,FALSE),0)
      )
   )
)
</f>
        <v>0</v>
      </c>
      <c r="U323" s="45">
        <f>IF(R323="",0,MAX(0,R323 - TARIFAS!G$2) * TARIFAS!F$2)
</f>
        <v>0</v>
      </c>
      <c r="V323" s="45">
        <f>+T323*TARIFAS!$K$2</f>
        <v>0</v>
      </c>
      <c r="W323" s="45">
        <f t="shared" si="2"/>
        <v>0</v>
      </c>
      <c r="X323" s="45">
        <f t="shared" si="3"/>
        <v>0</v>
      </c>
      <c r="Y323" s="45">
        <f t="shared" si="4"/>
        <v>0</v>
      </c>
      <c r="Z323" s="42" t="str">
        <f>CONFERENCIAS!AB323</f>
        <v/>
      </c>
      <c r="AA323" s="42" t="str">
        <f>CONFERENCIAS!AC323</f>
        <v/>
      </c>
      <c r="AB323" s="47" t="str">
        <f t="shared" si="5"/>
        <v/>
      </c>
      <c r="AC323" s="9" t="str">
        <f t="shared" si="6"/>
        <v/>
      </c>
    </row>
    <row r="324">
      <c r="A324" s="42" t="str">
        <f>CONFERENCIAS!A324</f>
        <v/>
      </c>
      <c r="D324" s="42" t="str">
        <f>CONFERENCIAS!C324</f>
        <v/>
      </c>
      <c r="E324" s="42" t="str">
        <f>CONFERENCIAS!K324</f>
        <v/>
      </c>
      <c r="F324" s="49" t="str">
        <f>CONFERENCIAS!J324</f>
        <v/>
      </c>
      <c r="G324" s="42" t="str">
        <f>CONFERENCIAS!O324</f>
        <v/>
      </c>
      <c r="H324" s="42" t="str">
        <f>CONFERENCIAS!X324</f>
        <v/>
      </c>
      <c r="I324" s="42" t="str">
        <f>CONFERENCIAS!AA324</f>
        <v/>
      </c>
      <c r="J324" s="44" t="str">
        <f>CONFERENCIAS!P324</f>
        <v/>
      </c>
      <c r="K324" s="45" t="str">
        <f>CONFERENCIAS!R324</f>
        <v/>
      </c>
      <c r="L324" s="45">
        <f>IF(D324="",0,
 IF(E324=1,
   IF(H324="Presencial",
      VLOOKUP(D324,TARIFAS!A:K,3,FALSE) + IF(I324="Sí",VLOOKUP(D324,TARIFAS!A:K,5,FALSE),0),
      VLOOKUP(D324,TARIFAS!A:K,4,FALSE) + IF(I324="Sí",VLOOKUP(D324,TARIFAS!A:K,5,FALSE),0)
   ),
   IF(H324="Presencial",
      VLOOKUP(D324,TARIFAS!A:K,9,FALSE) + IF(I324="Sí",VLOOKUP(D324,TARIFAS!A:K,11,FALSE),0),
      VLOOKUP(D324,TARIFAS!A:K,10,FALSE) + IF(I324="Sí",VLOOKUP(D324,TARIFAS!A:K,11,FALSE),0)
   )
 )
)
</f>
        <v>0</v>
      </c>
      <c r="M324" s="45">
        <f>IF(J324="",0,MAX(0,J324 - TARIFAS!G$2) * TARIFAS!F$2)
</f>
        <v>0</v>
      </c>
      <c r="N324" s="45">
        <f>+L324*TARIFAS!$K$2</f>
        <v>0</v>
      </c>
      <c r="O324" s="45">
        <f t="shared" si="1"/>
        <v>0</v>
      </c>
      <c r="P324" s="45">
        <f>+M324+O324+K324+(+I324-(I324*TARIFAS!$K$2))</f>
        <v>0</v>
      </c>
      <c r="Q324" s="42" t="str">
        <f>CONFERENCIAS!T324</f>
        <v/>
      </c>
      <c r="R324" s="45" t="str">
        <f>CONFERENCIAS!U324</f>
        <v/>
      </c>
      <c r="S324" s="45" t="str">
        <f>CONFERENCIAS!W324</f>
        <v/>
      </c>
      <c r="T324" s="48">
        <f>IF(Q324="",0,
   IF(E324=1,
      IF(H324="Presencial",
         VLOOKUP(D324,TARIFAS!A:K,3,FALSE) + IF(I324="Sí",VLOOKUP(D324,TARIFAS!A:K,5,FALSE),0),
         VLOOKUP(D324,TARIFAS!A:K,4,FALSE) + IF(I324="Sí",VLOOKUP(D324,TARIFAS!A:K,5,FALSE),0)
      ),
      IF(H324="Presencial",
         VLOOKUP(D324,TARIFAS!A:K,9,FALSE) + IF(I324="Sí",VLOOKUP(D324,TARIFAS!A:K,11,FALSE),0),
         VLOOKUP(D324,TARIFAS!A:K,10,FALSE) + IF(I324="Sí",VLOOKUP(D324,TARIFAS!A:K,11,FALSE),0)
      )
   )
)
</f>
        <v>0</v>
      </c>
      <c r="U324" s="45">
        <f>IF(R324="",0,MAX(0,R324 - TARIFAS!G$2) * TARIFAS!F$2)
</f>
        <v>0</v>
      </c>
      <c r="V324" s="45">
        <f>+T324*TARIFAS!$K$2</f>
        <v>0</v>
      </c>
      <c r="W324" s="45">
        <f t="shared" si="2"/>
        <v>0</v>
      </c>
      <c r="X324" s="45">
        <f t="shared" si="3"/>
        <v>0</v>
      </c>
      <c r="Y324" s="45">
        <f t="shared" si="4"/>
        <v>0</v>
      </c>
      <c r="Z324" s="42" t="str">
        <f>CONFERENCIAS!AB324</f>
        <v/>
      </c>
      <c r="AA324" s="42" t="str">
        <f>CONFERENCIAS!AC324</f>
        <v/>
      </c>
      <c r="AB324" s="47" t="str">
        <f t="shared" si="5"/>
        <v/>
      </c>
      <c r="AC324" s="9" t="str">
        <f t="shared" si="6"/>
        <v/>
      </c>
    </row>
    <row r="325">
      <c r="A325" s="42" t="str">
        <f>CONFERENCIAS!A325</f>
        <v/>
      </c>
      <c r="D325" s="42" t="str">
        <f>CONFERENCIAS!C325</f>
        <v/>
      </c>
      <c r="E325" s="42" t="str">
        <f>CONFERENCIAS!K325</f>
        <v/>
      </c>
      <c r="F325" s="49" t="str">
        <f>CONFERENCIAS!J325</f>
        <v/>
      </c>
      <c r="G325" s="42" t="str">
        <f>CONFERENCIAS!O325</f>
        <v/>
      </c>
      <c r="H325" s="42" t="str">
        <f>CONFERENCIAS!X325</f>
        <v/>
      </c>
      <c r="I325" s="42" t="str">
        <f>CONFERENCIAS!AA325</f>
        <v/>
      </c>
      <c r="J325" s="44" t="str">
        <f>CONFERENCIAS!P325</f>
        <v/>
      </c>
      <c r="K325" s="45" t="str">
        <f>CONFERENCIAS!R325</f>
        <v/>
      </c>
      <c r="L325" s="45">
        <f>IF(D325="",0,
 IF(E325=1,
   IF(H325="Presencial",
      VLOOKUP(D325,TARIFAS!A:K,3,FALSE) + IF(I325="Sí",VLOOKUP(D325,TARIFAS!A:K,5,FALSE),0),
      VLOOKUP(D325,TARIFAS!A:K,4,FALSE) + IF(I325="Sí",VLOOKUP(D325,TARIFAS!A:K,5,FALSE),0)
   ),
   IF(H325="Presencial",
      VLOOKUP(D325,TARIFAS!A:K,9,FALSE) + IF(I325="Sí",VLOOKUP(D325,TARIFAS!A:K,11,FALSE),0),
      VLOOKUP(D325,TARIFAS!A:K,10,FALSE) + IF(I325="Sí",VLOOKUP(D325,TARIFAS!A:K,11,FALSE),0)
   )
 )
)
</f>
        <v>0</v>
      </c>
      <c r="M325" s="45">
        <f>IF(J325="",0,MAX(0,J325 - TARIFAS!G$2) * TARIFAS!F$2)
</f>
        <v>0</v>
      </c>
      <c r="N325" s="45">
        <f>+L325*TARIFAS!$K$2</f>
        <v>0</v>
      </c>
      <c r="O325" s="45">
        <f t="shared" si="1"/>
        <v>0</v>
      </c>
      <c r="P325" s="45">
        <f>+M325+O325+K325+(+I325-(I325*TARIFAS!$K$2))</f>
        <v>0</v>
      </c>
      <c r="Q325" s="42" t="str">
        <f>CONFERENCIAS!T325</f>
        <v/>
      </c>
      <c r="R325" s="45" t="str">
        <f>CONFERENCIAS!U325</f>
        <v/>
      </c>
      <c r="S325" s="45" t="str">
        <f>CONFERENCIAS!W325</f>
        <v/>
      </c>
      <c r="T325" s="48">
        <f>IF(Q325="",0,
   IF(E325=1,
      IF(H325="Presencial",
         VLOOKUP(D325,TARIFAS!A:K,3,FALSE) + IF(I325="Sí",VLOOKUP(D325,TARIFAS!A:K,5,FALSE),0),
         VLOOKUP(D325,TARIFAS!A:K,4,FALSE) + IF(I325="Sí",VLOOKUP(D325,TARIFAS!A:K,5,FALSE),0)
      ),
      IF(H325="Presencial",
         VLOOKUP(D325,TARIFAS!A:K,9,FALSE) + IF(I325="Sí",VLOOKUP(D325,TARIFAS!A:K,11,FALSE),0),
         VLOOKUP(D325,TARIFAS!A:K,10,FALSE) + IF(I325="Sí",VLOOKUP(D325,TARIFAS!A:K,11,FALSE),0)
      )
   )
)
</f>
        <v>0</v>
      </c>
      <c r="U325" s="45">
        <f>IF(R325="",0,MAX(0,R325 - TARIFAS!G$2) * TARIFAS!F$2)
</f>
        <v>0</v>
      </c>
      <c r="V325" s="45">
        <f>+T325*TARIFAS!$K$2</f>
        <v>0</v>
      </c>
      <c r="W325" s="45">
        <f t="shared" si="2"/>
        <v>0</v>
      </c>
      <c r="X325" s="45">
        <f t="shared" si="3"/>
        <v>0</v>
      </c>
      <c r="Y325" s="45">
        <f t="shared" si="4"/>
        <v>0</v>
      </c>
      <c r="Z325" s="42" t="str">
        <f>CONFERENCIAS!AB325</f>
        <v/>
      </c>
      <c r="AA325" s="42" t="str">
        <f>CONFERENCIAS!AC325</f>
        <v/>
      </c>
      <c r="AB325" s="47" t="str">
        <f t="shared" si="5"/>
        <v/>
      </c>
      <c r="AC325" s="9" t="str">
        <f t="shared" si="6"/>
        <v/>
      </c>
    </row>
    <row r="326">
      <c r="A326" s="42" t="str">
        <f>CONFERENCIAS!A326</f>
        <v/>
      </c>
      <c r="D326" s="42" t="str">
        <f>CONFERENCIAS!C326</f>
        <v/>
      </c>
      <c r="E326" s="42" t="str">
        <f>CONFERENCIAS!K326</f>
        <v/>
      </c>
      <c r="F326" s="49" t="str">
        <f>CONFERENCIAS!J326</f>
        <v/>
      </c>
      <c r="G326" s="42" t="str">
        <f>CONFERENCIAS!O326</f>
        <v/>
      </c>
      <c r="H326" s="42" t="str">
        <f>CONFERENCIAS!X326</f>
        <v/>
      </c>
      <c r="I326" s="42" t="str">
        <f>CONFERENCIAS!AA326</f>
        <v/>
      </c>
      <c r="J326" s="44" t="str">
        <f>CONFERENCIAS!P326</f>
        <v/>
      </c>
      <c r="K326" s="45" t="str">
        <f>CONFERENCIAS!R326</f>
        <v/>
      </c>
      <c r="L326" s="45">
        <f>IF(D326="",0,
 IF(E326=1,
   IF(H326="Presencial",
      VLOOKUP(D326,TARIFAS!A:K,3,FALSE) + IF(I326="Sí",VLOOKUP(D326,TARIFAS!A:K,5,FALSE),0),
      VLOOKUP(D326,TARIFAS!A:K,4,FALSE) + IF(I326="Sí",VLOOKUP(D326,TARIFAS!A:K,5,FALSE),0)
   ),
   IF(H326="Presencial",
      VLOOKUP(D326,TARIFAS!A:K,9,FALSE) + IF(I326="Sí",VLOOKUP(D326,TARIFAS!A:K,11,FALSE),0),
      VLOOKUP(D326,TARIFAS!A:K,10,FALSE) + IF(I326="Sí",VLOOKUP(D326,TARIFAS!A:K,11,FALSE),0)
   )
 )
)
</f>
        <v>0</v>
      </c>
      <c r="M326" s="45">
        <f>IF(J326="",0,MAX(0,J326 - TARIFAS!G$2) * TARIFAS!F$2)
</f>
        <v>0</v>
      </c>
      <c r="N326" s="45">
        <f>+L326*TARIFAS!$K$2</f>
        <v>0</v>
      </c>
      <c r="O326" s="45">
        <f t="shared" si="1"/>
        <v>0</v>
      </c>
      <c r="P326" s="45">
        <f>+M326+O326+K326+(+I326-(I326*TARIFAS!$K$2))</f>
        <v>0</v>
      </c>
      <c r="Q326" s="42" t="str">
        <f>CONFERENCIAS!T326</f>
        <v/>
      </c>
      <c r="R326" s="45" t="str">
        <f>CONFERENCIAS!U326</f>
        <v/>
      </c>
      <c r="S326" s="45" t="str">
        <f>CONFERENCIAS!W326</f>
        <v/>
      </c>
      <c r="T326" s="48">
        <f>IF(Q326="",0,
   IF(E326=1,
      IF(H326="Presencial",
         VLOOKUP(D326,TARIFAS!A:K,3,FALSE) + IF(I326="Sí",VLOOKUP(D326,TARIFAS!A:K,5,FALSE),0),
         VLOOKUP(D326,TARIFAS!A:K,4,FALSE) + IF(I326="Sí",VLOOKUP(D326,TARIFAS!A:K,5,FALSE),0)
      ),
      IF(H326="Presencial",
         VLOOKUP(D326,TARIFAS!A:K,9,FALSE) + IF(I326="Sí",VLOOKUP(D326,TARIFAS!A:K,11,FALSE),0),
         VLOOKUP(D326,TARIFAS!A:K,10,FALSE) + IF(I326="Sí",VLOOKUP(D326,TARIFAS!A:K,11,FALSE),0)
      )
   )
)
</f>
        <v>0</v>
      </c>
      <c r="U326" s="45">
        <f>IF(R326="",0,MAX(0,R326 - TARIFAS!G$2) * TARIFAS!F$2)
</f>
        <v>0</v>
      </c>
      <c r="V326" s="45">
        <f>+T326*TARIFAS!$K$2</f>
        <v>0</v>
      </c>
      <c r="W326" s="45">
        <f t="shared" si="2"/>
        <v>0</v>
      </c>
      <c r="X326" s="45">
        <f t="shared" si="3"/>
        <v>0</v>
      </c>
      <c r="Y326" s="45">
        <f t="shared" si="4"/>
        <v>0</v>
      </c>
      <c r="Z326" s="42" t="str">
        <f>CONFERENCIAS!AB326</f>
        <v/>
      </c>
      <c r="AA326" s="42" t="str">
        <f>CONFERENCIAS!AC326</f>
        <v/>
      </c>
      <c r="AB326" s="47" t="str">
        <f t="shared" si="5"/>
        <v/>
      </c>
      <c r="AC326" s="9" t="str">
        <f t="shared" si="6"/>
        <v/>
      </c>
    </row>
    <row r="327">
      <c r="A327" s="42" t="str">
        <f>CONFERENCIAS!A327</f>
        <v/>
      </c>
      <c r="D327" s="42" t="str">
        <f>CONFERENCIAS!C327</f>
        <v/>
      </c>
      <c r="E327" s="42" t="str">
        <f>CONFERENCIAS!K327</f>
        <v/>
      </c>
      <c r="F327" s="49" t="str">
        <f>CONFERENCIAS!J327</f>
        <v/>
      </c>
      <c r="G327" s="42" t="str">
        <f>CONFERENCIAS!O327</f>
        <v/>
      </c>
      <c r="H327" s="42" t="str">
        <f>CONFERENCIAS!X327</f>
        <v/>
      </c>
      <c r="I327" s="42" t="str">
        <f>CONFERENCIAS!AA327</f>
        <v/>
      </c>
      <c r="J327" s="44" t="str">
        <f>CONFERENCIAS!P327</f>
        <v/>
      </c>
      <c r="K327" s="45" t="str">
        <f>CONFERENCIAS!R327</f>
        <v/>
      </c>
      <c r="L327" s="45">
        <f>IF(D327="",0,
 IF(E327=1,
   IF(H327="Presencial",
      VLOOKUP(D327,TARIFAS!A:K,3,FALSE) + IF(I327="Sí",VLOOKUP(D327,TARIFAS!A:K,5,FALSE),0),
      VLOOKUP(D327,TARIFAS!A:K,4,FALSE) + IF(I327="Sí",VLOOKUP(D327,TARIFAS!A:K,5,FALSE),0)
   ),
   IF(H327="Presencial",
      VLOOKUP(D327,TARIFAS!A:K,9,FALSE) + IF(I327="Sí",VLOOKUP(D327,TARIFAS!A:K,11,FALSE),0),
      VLOOKUP(D327,TARIFAS!A:K,10,FALSE) + IF(I327="Sí",VLOOKUP(D327,TARIFAS!A:K,11,FALSE),0)
   )
 )
)
</f>
        <v>0</v>
      </c>
      <c r="M327" s="45">
        <f>IF(J327="",0,MAX(0,J327 - TARIFAS!G$2) * TARIFAS!F$2)
</f>
        <v>0</v>
      </c>
      <c r="N327" s="45">
        <f>+L327*TARIFAS!$K$2</f>
        <v>0</v>
      </c>
      <c r="O327" s="45">
        <f t="shared" si="1"/>
        <v>0</v>
      </c>
      <c r="P327" s="45">
        <f>+M327+O327+K327+(+I327-(I327*TARIFAS!$K$2))</f>
        <v>0</v>
      </c>
      <c r="Q327" s="42" t="str">
        <f>CONFERENCIAS!T327</f>
        <v/>
      </c>
      <c r="R327" s="45" t="str">
        <f>CONFERENCIAS!U327</f>
        <v/>
      </c>
      <c r="S327" s="45" t="str">
        <f>CONFERENCIAS!W327</f>
        <v/>
      </c>
      <c r="T327" s="48">
        <f>IF(Q327="",0,
   IF(E327=1,
      IF(H327="Presencial",
         VLOOKUP(D327,TARIFAS!A:K,3,FALSE) + IF(I327="Sí",VLOOKUP(D327,TARIFAS!A:K,5,FALSE),0),
         VLOOKUP(D327,TARIFAS!A:K,4,FALSE) + IF(I327="Sí",VLOOKUP(D327,TARIFAS!A:K,5,FALSE),0)
      ),
      IF(H327="Presencial",
         VLOOKUP(D327,TARIFAS!A:K,9,FALSE) + IF(I327="Sí",VLOOKUP(D327,TARIFAS!A:K,11,FALSE),0),
         VLOOKUP(D327,TARIFAS!A:K,10,FALSE) + IF(I327="Sí",VLOOKUP(D327,TARIFAS!A:K,11,FALSE),0)
      )
   )
)
</f>
        <v>0</v>
      </c>
      <c r="U327" s="45">
        <f>IF(R327="",0,MAX(0,R327 - TARIFAS!G$2) * TARIFAS!F$2)
</f>
        <v>0</v>
      </c>
      <c r="V327" s="45">
        <f>+T327*TARIFAS!$K$2</f>
        <v>0</v>
      </c>
      <c r="W327" s="45">
        <f t="shared" si="2"/>
        <v>0</v>
      </c>
      <c r="X327" s="45">
        <f t="shared" si="3"/>
        <v>0</v>
      </c>
      <c r="Y327" s="45">
        <f t="shared" si="4"/>
        <v>0</v>
      </c>
      <c r="Z327" s="42" t="str">
        <f>CONFERENCIAS!AB327</f>
        <v/>
      </c>
      <c r="AA327" s="42" t="str">
        <f>CONFERENCIAS!AC327</f>
        <v/>
      </c>
      <c r="AB327" s="47" t="str">
        <f t="shared" si="5"/>
        <v/>
      </c>
      <c r="AC327" s="9" t="str">
        <f t="shared" si="6"/>
        <v/>
      </c>
    </row>
    <row r="328">
      <c r="A328" s="42" t="str">
        <f>CONFERENCIAS!A328</f>
        <v/>
      </c>
      <c r="D328" s="42" t="str">
        <f>CONFERENCIAS!C328</f>
        <v/>
      </c>
      <c r="E328" s="42" t="str">
        <f>CONFERENCIAS!K328</f>
        <v/>
      </c>
      <c r="F328" s="49" t="str">
        <f>CONFERENCIAS!J328</f>
        <v/>
      </c>
      <c r="G328" s="42" t="str">
        <f>CONFERENCIAS!O328</f>
        <v/>
      </c>
      <c r="H328" s="42" t="str">
        <f>CONFERENCIAS!X328</f>
        <v/>
      </c>
      <c r="I328" s="42" t="str">
        <f>CONFERENCIAS!AA328</f>
        <v/>
      </c>
      <c r="J328" s="44" t="str">
        <f>CONFERENCIAS!P328</f>
        <v/>
      </c>
      <c r="K328" s="45" t="str">
        <f>CONFERENCIAS!R328</f>
        <v/>
      </c>
      <c r="L328" s="45">
        <f>IF(D328="",0,
 IF(E328=1,
   IF(H328="Presencial",
      VLOOKUP(D328,TARIFAS!A:K,3,FALSE) + IF(I328="Sí",VLOOKUP(D328,TARIFAS!A:K,5,FALSE),0),
      VLOOKUP(D328,TARIFAS!A:K,4,FALSE) + IF(I328="Sí",VLOOKUP(D328,TARIFAS!A:K,5,FALSE),0)
   ),
   IF(H328="Presencial",
      VLOOKUP(D328,TARIFAS!A:K,9,FALSE) + IF(I328="Sí",VLOOKUP(D328,TARIFAS!A:K,11,FALSE),0),
      VLOOKUP(D328,TARIFAS!A:K,10,FALSE) + IF(I328="Sí",VLOOKUP(D328,TARIFAS!A:K,11,FALSE),0)
   )
 )
)
</f>
        <v>0</v>
      </c>
      <c r="M328" s="45">
        <f>IF(J328="",0,MAX(0,J328 - TARIFAS!G$2) * TARIFAS!F$2)
</f>
        <v>0</v>
      </c>
      <c r="N328" s="45">
        <f>+L328*TARIFAS!$K$2</f>
        <v>0</v>
      </c>
      <c r="O328" s="45">
        <f t="shared" si="1"/>
        <v>0</v>
      </c>
      <c r="P328" s="45">
        <f>+M328+O328+K328+(+I328-(I328*TARIFAS!$K$2))</f>
        <v>0</v>
      </c>
      <c r="Q328" s="42" t="str">
        <f>CONFERENCIAS!T328</f>
        <v/>
      </c>
      <c r="R328" s="45" t="str">
        <f>CONFERENCIAS!U328</f>
        <v/>
      </c>
      <c r="S328" s="45" t="str">
        <f>CONFERENCIAS!W328</f>
        <v/>
      </c>
      <c r="T328" s="48">
        <f>IF(Q328="",0,
   IF(E328=1,
      IF(H328="Presencial",
         VLOOKUP(D328,TARIFAS!A:K,3,FALSE) + IF(I328="Sí",VLOOKUP(D328,TARIFAS!A:K,5,FALSE),0),
         VLOOKUP(D328,TARIFAS!A:K,4,FALSE) + IF(I328="Sí",VLOOKUP(D328,TARIFAS!A:K,5,FALSE),0)
      ),
      IF(H328="Presencial",
         VLOOKUP(D328,TARIFAS!A:K,9,FALSE) + IF(I328="Sí",VLOOKUP(D328,TARIFAS!A:K,11,FALSE),0),
         VLOOKUP(D328,TARIFAS!A:K,10,FALSE) + IF(I328="Sí",VLOOKUP(D328,TARIFAS!A:K,11,FALSE),0)
      )
   )
)
</f>
        <v>0</v>
      </c>
      <c r="U328" s="45">
        <f>IF(R328="",0,MAX(0,R328 - TARIFAS!G$2) * TARIFAS!F$2)
</f>
        <v>0</v>
      </c>
      <c r="V328" s="45">
        <f>+T328*TARIFAS!$K$2</f>
        <v>0</v>
      </c>
      <c r="W328" s="45">
        <f t="shared" si="2"/>
        <v>0</v>
      </c>
      <c r="X328" s="45">
        <f t="shared" si="3"/>
        <v>0</v>
      </c>
      <c r="Y328" s="45">
        <f t="shared" si="4"/>
        <v>0</v>
      </c>
      <c r="Z328" s="42" t="str">
        <f>CONFERENCIAS!AB328</f>
        <v/>
      </c>
      <c r="AA328" s="42" t="str">
        <f>CONFERENCIAS!AC328</f>
        <v/>
      </c>
      <c r="AB328" s="47" t="str">
        <f t="shared" si="5"/>
        <v/>
      </c>
      <c r="AC328" s="9" t="str">
        <f t="shared" si="6"/>
        <v/>
      </c>
    </row>
    <row r="329">
      <c r="A329" s="42" t="str">
        <f>CONFERENCIAS!A329</f>
        <v/>
      </c>
      <c r="D329" s="42" t="str">
        <f>CONFERENCIAS!C329</f>
        <v/>
      </c>
      <c r="E329" s="42" t="str">
        <f>CONFERENCIAS!K329</f>
        <v/>
      </c>
      <c r="F329" s="49" t="str">
        <f>CONFERENCIAS!J329</f>
        <v/>
      </c>
      <c r="G329" s="42" t="str">
        <f>CONFERENCIAS!O329</f>
        <v/>
      </c>
      <c r="H329" s="42" t="str">
        <f>CONFERENCIAS!X329</f>
        <v/>
      </c>
      <c r="I329" s="42" t="str">
        <f>CONFERENCIAS!AA329</f>
        <v/>
      </c>
      <c r="J329" s="44" t="str">
        <f>CONFERENCIAS!P329</f>
        <v/>
      </c>
      <c r="K329" s="45" t="str">
        <f>CONFERENCIAS!R329</f>
        <v/>
      </c>
      <c r="L329" s="45">
        <f>IF(D329="",0,
 IF(E329=1,
   IF(H329="Presencial",
      VLOOKUP(D329,TARIFAS!A:K,3,FALSE) + IF(I329="Sí",VLOOKUP(D329,TARIFAS!A:K,5,FALSE),0),
      VLOOKUP(D329,TARIFAS!A:K,4,FALSE) + IF(I329="Sí",VLOOKUP(D329,TARIFAS!A:K,5,FALSE),0)
   ),
   IF(H329="Presencial",
      VLOOKUP(D329,TARIFAS!A:K,9,FALSE) + IF(I329="Sí",VLOOKUP(D329,TARIFAS!A:K,11,FALSE),0),
      VLOOKUP(D329,TARIFAS!A:K,10,FALSE) + IF(I329="Sí",VLOOKUP(D329,TARIFAS!A:K,11,FALSE),0)
   )
 )
)
</f>
        <v>0</v>
      </c>
      <c r="M329" s="45">
        <f>IF(J329="",0,MAX(0,J329 - TARIFAS!G$2) * TARIFAS!F$2)
</f>
        <v>0</v>
      </c>
      <c r="N329" s="45">
        <f>+L329*TARIFAS!$K$2</f>
        <v>0</v>
      </c>
      <c r="O329" s="45">
        <f t="shared" si="1"/>
        <v>0</v>
      </c>
      <c r="P329" s="45">
        <f>+M329+O329+K329+(+I329-(I329*TARIFAS!$K$2))</f>
        <v>0</v>
      </c>
      <c r="Q329" s="42" t="str">
        <f>CONFERENCIAS!T329</f>
        <v/>
      </c>
      <c r="R329" s="45" t="str">
        <f>CONFERENCIAS!U329</f>
        <v/>
      </c>
      <c r="S329" s="45" t="str">
        <f>CONFERENCIAS!W329</f>
        <v/>
      </c>
      <c r="T329" s="48">
        <f>IF(Q329="",0,
   IF(E329=1,
      IF(H329="Presencial",
         VLOOKUP(D329,TARIFAS!A:K,3,FALSE) + IF(I329="Sí",VLOOKUP(D329,TARIFAS!A:K,5,FALSE),0),
         VLOOKUP(D329,TARIFAS!A:K,4,FALSE) + IF(I329="Sí",VLOOKUP(D329,TARIFAS!A:K,5,FALSE),0)
      ),
      IF(H329="Presencial",
         VLOOKUP(D329,TARIFAS!A:K,9,FALSE) + IF(I329="Sí",VLOOKUP(D329,TARIFAS!A:K,11,FALSE),0),
         VLOOKUP(D329,TARIFAS!A:K,10,FALSE) + IF(I329="Sí",VLOOKUP(D329,TARIFAS!A:K,11,FALSE),0)
      )
   )
)
</f>
        <v>0</v>
      </c>
      <c r="U329" s="45">
        <f>IF(R329="",0,MAX(0,R329 - TARIFAS!G$2) * TARIFAS!F$2)
</f>
        <v>0</v>
      </c>
      <c r="V329" s="45">
        <f>+T329*TARIFAS!$K$2</f>
        <v>0</v>
      </c>
      <c r="W329" s="45">
        <f t="shared" si="2"/>
        <v>0</v>
      </c>
      <c r="X329" s="45">
        <f t="shared" si="3"/>
        <v>0</v>
      </c>
      <c r="Y329" s="45">
        <f t="shared" si="4"/>
        <v>0</v>
      </c>
      <c r="Z329" s="42" t="str">
        <f>CONFERENCIAS!AB329</f>
        <v/>
      </c>
      <c r="AA329" s="42" t="str">
        <f>CONFERENCIAS!AC329</f>
        <v/>
      </c>
      <c r="AB329" s="47" t="str">
        <f t="shared" si="5"/>
        <v/>
      </c>
      <c r="AC329" s="9" t="str">
        <f t="shared" si="6"/>
        <v/>
      </c>
    </row>
    <row r="330">
      <c r="A330" s="42" t="str">
        <f>CONFERENCIAS!A330</f>
        <v/>
      </c>
      <c r="D330" s="42" t="str">
        <f>CONFERENCIAS!C330</f>
        <v/>
      </c>
      <c r="E330" s="42" t="str">
        <f>CONFERENCIAS!K330</f>
        <v/>
      </c>
      <c r="F330" s="49" t="str">
        <f>CONFERENCIAS!J330</f>
        <v/>
      </c>
      <c r="G330" s="42" t="str">
        <f>CONFERENCIAS!O330</f>
        <v/>
      </c>
      <c r="H330" s="42" t="str">
        <f>CONFERENCIAS!X330</f>
        <v/>
      </c>
      <c r="I330" s="42" t="str">
        <f>CONFERENCIAS!AA330</f>
        <v/>
      </c>
      <c r="J330" s="44" t="str">
        <f>CONFERENCIAS!P330</f>
        <v/>
      </c>
      <c r="K330" s="45" t="str">
        <f>CONFERENCIAS!R330</f>
        <v/>
      </c>
      <c r="L330" s="45">
        <f>IF(D330="",0,
 IF(E330=1,
   IF(H330="Presencial",
      VLOOKUP(D330,TARIFAS!A:K,3,FALSE) + IF(I330="Sí",VLOOKUP(D330,TARIFAS!A:K,5,FALSE),0),
      VLOOKUP(D330,TARIFAS!A:K,4,FALSE) + IF(I330="Sí",VLOOKUP(D330,TARIFAS!A:K,5,FALSE),0)
   ),
   IF(H330="Presencial",
      VLOOKUP(D330,TARIFAS!A:K,9,FALSE) + IF(I330="Sí",VLOOKUP(D330,TARIFAS!A:K,11,FALSE),0),
      VLOOKUP(D330,TARIFAS!A:K,10,FALSE) + IF(I330="Sí",VLOOKUP(D330,TARIFAS!A:K,11,FALSE),0)
   )
 )
)
</f>
        <v>0</v>
      </c>
      <c r="M330" s="45">
        <f>IF(J330="",0,MAX(0,J330 - TARIFAS!G$2) * TARIFAS!F$2)
</f>
        <v>0</v>
      </c>
      <c r="N330" s="45">
        <f>+L330*TARIFAS!$K$2</f>
        <v>0</v>
      </c>
      <c r="O330" s="45">
        <f t="shared" si="1"/>
        <v>0</v>
      </c>
      <c r="P330" s="45">
        <f>+M330+O330+K330+(+I330-(I330*TARIFAS!$K$2))</f>
        <v>0</v>
      </c>
      <c r="Q330" s="42" t="str">
        <f>CONFERENCIAS!T330</f>
        <v/>
      </c>
      <c r="R330" s="45" t="str">
        <f>CONFERENCIAS!U330</f>
        <v/>
      </c>
      <c r="S330" s="45" t="str">
        <f>CONFERENCIAS!W330</f>
        <v/>
      </c>
      <c r="T330" s="48">
        <f>IF(Q330="",0,
   IF(E330=1,
      IF(H330="Presencial",
         VLOOKUP(D330,TARIFAS!A:K,3,FALSE) + IF(I330="Sí",VLOOKUP(D330,TARIFAS!A:K,5,FALSE),0),
         VLOOKUP(D330,TARIFAS!A:K,4,FALSE) + IF(I330="Sí",VLOOKUP(D330,TARIFAS!A:K,5,FALSE),0)
      ),
      IF(H330="Presencial",
         VLOOKUP(D330,TARIFAS!A:K,9,FALSE) + IF(I330="Sí",VLOOKUP(D330,TARIFAS!A:K,11,FALSE),0),
         VLOOKUP(D330,TARIFAS!A:K,10,FALSE) + IF(I330="Sí",VLOOKUP(D330,TARIFAS!A:K,11,FALSE),0)
      )
   )
)
</f>
        <v>0</v>
      </c>
      <c r="U330" s="45">
        <f>IF(R330="",0,MAX(0,R330 - TARIFAS!G$2) * TARIFAS!F$2)
</f>
        <v>0</v>
      </c>
      <c r="V330" s="45">
        <f>+T330*TARIFAS!$K$2</f>
        <v>0</v>
      </c>
      <c r="W330" s="45">
        <f t="shared" si="2"/>
        <v>0</v>
      </c>
      <c r="X330" s="45">
        <f t="shared" si="3"/>
        <v>0</v>
      </c>
      <c r="Y330" s="45">
        <f t="shared" si="4"/>
        <v>0</v>
      </c>
      <c r="Z330" s="42" t="str">
        <f>CONFERENCIAS!AB330</f>
        <v/>
      </c>
      <c r="AA330" s="42" t="str">
        <f>CONFERENCIAS!AC330</f>
        <v/>
      </c>
      <c r="AB330" s="47" t="str">
        <f t="shared" si="5"/>
        <v/>
      </c>
      <c r="AC330" s="9" t="str">
        <f t="shared" si="6"/>
        <v/>
      </c>
    </row>
    <row r="331">
      <c r="A331" s="42" t="str">
        <f>CONFERENCIAS!A331</f>
        <v/>
      </c>
      <c r="D331" s="42" t="str">
        <f>CONFERENCIAS!C331</f>
        <v/>
      </c>
      <c r="E331" s="42" t="str">
        <f>CONFERENCIAS!K331</f>
        <v/>
      </c>
      <c r="F331" s="49" t="str">
        <f>CONFERENCIAS!J331</f>
        <v/>
      </c>
      <c r="G331" s="42" t="str">
        <f>CONFERENCIAS!O331</f>
        <v/>
      </c>
      <c r="H331" s="42" t="str">
        <f>CONFERENCIAS!X331</f>
        <v/>
      </c>
      <c r="I331" s="42" t="str">
        <f>CONFERENCIAS!AA331</f>
        <v/>
      </c>
      <c r="J331" s="44" t="str">
        <f>CONFERENCIAS!P331</f>
        <v/>
      </c>
      <c r="K331" s="45" t="str">
        <f>CONFERENCIAS!R331</f>
        <v/>
      </c>
      <c r="L331" s="45">
        <f>IF(D331="",0,
 IF(E331=1,
   IF(H331="Presencial",
      VLOOKUP(D331,TARIFAS!A:K,3,FALSE) + IF(I331="Sí",VLOOKUP(D331,TARIFAS!A:K,5,FALSE),0),
      VLOOKUP(D331,TARIFAS!A:K,4,FALSE) + IF(I331="Sí",VLOOKUP(D331,TARIFAS!A:K,5,FALSE),0)
   ),
   IF(H331="Presencial",
      VLOOKUP(D331,TARIFAS!A:K,9,FALSE) + IF(I331="Sí",VLOOKUP(D331,TARIFAS!A:K,11,FALSE),0),
      VLOOKUP(D331,TARIFAS!A:K,10,FALSE) + IF(I331="Sí",VLOOKUP(D331,TARIFAS!A:K,11,FALSE),0)
   )
 )
)
</f>
        <v>0</v>
      </c>
      <c r="M331" s="45">
        <f>IF(J331="",0,MAX(0,J331 - TARIFAS!G$2) * TARIFAS!F$2)
</f>
        <v>0</v>
      </c>
      <c r="N331" s="45">
        <f>+L331*TARIFAS!$K$2</f>
        <v>0</v>
      </c>
      <c r="O331" s="45">
        <f t="shared" si="1"/>
        <v>0</v>
      </c>
      <c r="P331" s="45">
        <f>+M331+O331+K331+(+I331-(I331*TARIFAS!$K$2))</f>
        <v>0</v>
      </c>
      <c r="Q331" s="42" t="str">
        <f>CONFERENCIAS!T331</f>
        <v/>
      </c>
      <c r="R331" s="45" t="str">
        <f>CONFERENCIAS!U331</f>
        <v/>
      </c>
      <c r="S331" s="45" t="str">
        <f>CONFERENCIAS!W331</f>
        <v/>
      </c>
      <c r="T331" s="48">
        <f>IF(Q331="",0,
   IF(E331=1,
      IF(H331="Presencial",
         VLOOKUP(D331,TARIFAS!A:K,3,FALSE) + IF(I331="Sí",VLOOKUP(D331,TARIFAS!A:K,5,FALSE),0),
         VLOOKUP(D331,TARIFAS!A:K,4,FALSE) + IF(I331="Sí",VLOOKUP(D331,TARIFAS!A:K,5,FALSE),0)
      ),
      IF(H331="Presencial",
         VLOOKUP(D331,TARIFAS!A:K,9,FALSE) + IF(I331="Sí",VLOOKUP(D331,TARIFAS!A:K,11,FALSE),0),
         VLOOKUP(D331,TARIFAS!A:K,10,FALSE) + IF(I331="Sí",VLOOKUP(D331,TARIFAS!A:K,11,FALSE),0)
      )
   )
)
</f>
        <v>0</v>
      </c>
      <c r="U331" s="45">
        <f>IF(R331="",0,MAX(0,R331 - TARIFAS!G$2) * TARIFAS!F$2)
</f>
        <v>0</v>
      </c>
      <c r="V331" s="45">
        <f>+T331*TARIFAS!$K$2</f>
        <v>0</v>
      </c>
      <c r="W331" s="45">
        <f t="shared" si="2"/>
        <v>0</v>
      </c>
      <c r="X331" s="45">
        <f t="shared" si="3"/>
        <v>0</v>
      </c>
      <c r="Y331" s="45">
        <f t="shared" si="4"/>
        <v>0</v>
      </c>
      <c r="Z331" s="42" t="str">
        <f>CONFERENCIAS!AB331</f>
        <v/>
      </c>
      <c r="AA331" s="42" t="str">
        <f>CONFERENCIAS!AC331</f>
        <v/>
      </c>
      <c r="AB331" s="47" t="str">
        <f t="shared" si="5"/>
        <v/>
      </c>
      <c r="AC331" s="9" t="str">
        <f t="shared" si="6"/>
        <v/>
      </c>
    </row>
    <row r="332">
      <c r="A332" s="42" t="str">
        <f>CONFERENCIAS!A332</f>
        <v/>
      </c>
      <c r="D332" s="42" t="str">
        <f>CONFERENCIAS!C332</f>
        <v/>
      </c>
      <c r="E332" s="42" t="str">
        <f>CONFERENCIAS!K332</f>
        <v/>
      </c>
      <c r="F332" s="49" t="str">
        <f>CONFERENCIAS!J332</f>
        <v/>
      </c>
      <c r="G332" s="42" t="str">
        <f>CONFERENCIAS!O332</f>
        <v/>
      </c>
      <c r="H332" s="42" t="str">
        <f>CONFERENCIAS!X332</f>
        <v/>
      </c>
      <c r="I332" s="42" t="str">
        <f>CONFERENCIAS!AA332</f>
        <v/>
      </c>
      <c r="J332" s="44" t="str">
        <f>CONFERENCIAS!P332</f>
        <v/>
      </c>
      <c r="K332" s="45" t="str">
        <f>CONFERENCIAS!R332</f>
        <v/>
      </c>
      <c r="L332" s="45">
        <f>IF(D332="",0,
 IF(E332=1,
   IF(H332="Presencial",
      VLOOKUP(D332,TARIFAS!A:K,3,FALSE) + IF(I332="Sí",VLOOKUP(D332,TARIFAS!A:K,5,FALSE),0),
      VLOOKUP(D332,TARIFAS!A:K,4,FALSE) + IF(I332="Sí",VLOOKUP(D332,TARIFAS!A:K,5,FALSE),0)
   ),
   IF(H332="Presencial",
      VLOOKUP(D332,TARIFAS!A:K,9,FALSE) + IF(I332="Sí",VLOOKUP(D332,TARIFAS!A:K,11,FALSE),0),
      VLOOKUP(D332,TARIFAS!A:K,10,FALSE) + IF(I332="Sí",VLOOKUP(D332,TARIFAS!A:K,11,FALSE),0)
   )
 )
)
</f>
        <v>0</v>
      </c>
      <c r="M332" s="45">
        <f>IF(J332="",0,MAX(0,J332 - TARIFAS!G$2) * TARIFAS!F$2)
</f>
        <v>0</v>
      </c>
      <c r="N332" s="45">
        <f>+L332*TARIFAS!$K$2</f>
        <v>0</v>
      </c>
      <c r="O332" s="45">
        <f t="shared" si="1"/>
        <v>0</v>
      </c>
      <c r="P332" s="45">
        <f>+M332+O332+K332+(+I332-(I332*TARIFAS!$K$2))</f>
        <v>0</v>
      </c>
      <c r="Q332" s="42" t="str">
        <f>CONFERENCIAS!T332</f>
        <v/>
      </c>
      <c r="R332" s="45" t="str">
        <f>CONFERENCIAS!U332</f>
        <v/>
      </c>
      <c r="S332" s="45" t="str">
        <f>CONFERENCIAS!W332</f>
        <v/>
      </c>
      <c r="T332" s="48">
        <f>IF(Q332="",0,
   IF(E332=1,
      IF(H332="Presencial",
         VLOOKUP(D332,TARIFAS!A:K,3,FALSE) + IF(I332="Sí",VLOOKUP(D332,TARIFAS!A:K,5,FALSE),0),
         VLOOKUP(D332,TARIFAS!A:K,4,FALSE) + IF(I332="Sí",VLOOKUP(D332,TARIFAS!A:K,5,FALSE),0)
      ),
      IF(H332="Presencial",
         VLOOKUP(D332,TARIFAS!A:K,9,FALSE) + IF(I332="Sí",VLOOKUP(D332,TARIFAS!A:K,11,FALSE),0),
         VLOOKUP(D332,TARIFAS!A:K,10,FALSE) + IF(I332="Sí",VLOOKUP(D332,TARIFAS!A:K,11,FALSE),0)
      )
   )
)
</f>
        <v>0</v>
      </c>
      <c r="U332" s="45">
        <f>IF(R332="",0,MAX(0,R332 - TARIFAS!G$2) * TARIFAS!F$2)
</f>
        <v>0</v>
      </c>
      <c r="V332" s="45">
        <f>+T332*TARIFAS!$K$2</f>
        <v>0</v>
      </c>
      <c r="W332" s="45">
        <f t="shared" si="2"/>
        <v>0</v>
      </c>
      <c r="X332" s="45">
        <f t="shared" si="3"/>
        <v>0</v>
      </c>
      <c r="Y332" s="45">
        <f t="shared" si="4"/>
        <v>0</v>
      </c>
      <c r="Z332" s="42" t="str">
        <f>CONFERENCIAS!AB332</f>
        <v/>
      </c>
      <c r="AA332" s="42" t="str">
        <f>CONFERENCIAS!AC332</f>
        <v/>
      </c>
      <c r="AB332" s="47" t="str">
        <f t="shared" si="5"/>
        <v/>
      </c>
      <c r="AC332" s="9" t="str">
        <f t="shared" si="6"/>
        <v/>
      </c>
    </row>
    <row r="333">
      <c r="A333" s="42" t="str">
        <f>CONFERENCIAS!A333</f>
        <v/>
      </c>
      <c r="D333" s="42" t="str">
        <f>CONFERENCIAS!C333</f>
        <v/>
      </c>
      <c r="E333" s="42" t="str">
        <f>CONFERENCIAS!K333</f>
        <v/>
      </c>
      <c r="F333" s="49" t="str">
        <f>CONFERENCIAS!J333</f>
        <v/>
      </c>
      <c r="G333" s="42" t="str">
        <f>CONFERENCIAS!O333</f>
        <v/>
      </c>
      <c r="H333" s="42" t="str">
        <f>CONFERENCIAS!X333</f>
        <v/>
      </c>
      <c r="I333" s="42" t="str">
        <f>CONFERENCIAS!AA333</f>
        <v/>
      </c>
      <c r="J333" s="44" t="str">
        <f>CONFERENCIAS!P333</f>
        <v/>
      </c>
      <c r="K333" s="45" t="str">
        <f>CONFERENCIAS!R333</f>
        <v/>
      </c>
      <c r="L333" s="45">
        <f>IF(D333="",0,
 IF(E333=1,
   IF(H333="Presencial",
      VLOOKUP(D333,TARIFAS!A:K,3,FALSE) + IF(I333="Sí",VLOOKUP(D333,TARIFAS!A:K,5,FALSE),0),
      VLOOKUP(D333,TARIFAS!A:K,4,FALSE) + IF(I333="Sí",VLOOKUP(D333,TARIFAS!A:K,5,FALSE),0)
   ),
   IF(H333="Presencial",
      VLOOKUP(D333,TARIFAS!A:K,9,FALSE) + IF(I333="Sí",VLOOKUP(D333,TARIFAS!A:K,11,FALSE),0),
      VLOOKUP(D333,TARIFAS!A:K,10,FALSE) + IF(I333="Sí",VLOOKUP(D333,TARIFAS!A:K,11,FALSE),0)
   )
 )
)
</f>
        <v>0</v>
      </c>
      <c r="M333" s="45">
        <f>IF(J333="",0,MAX(0,J333 - TARIFAS!G$2) * TARIFAS!F$2)
</f>
        <v>0</v>
      </c>
      <c r="N333" s="45">
        <f>+L333*TARIFAS!$K$2</f>
        <v>0</v>
      </c>
      <c r="O333" s="45">
        <f t="shared" si="1"/>
        <v>0</v>
      </c>
      <c r="P333" s="45">
        <f>+M333+O333+K333+(+I333-(I333*TARIFAS!$K$2))</f>
        <v>0</v>
      </c>
      <c r="Q333" s="42" t="str">
        <f>CONFERENCIAS!T333</f>
        <v/>
      </c>
      <c r="R333" s="45" t="str">
        <f>CONFERENCIAS!U333</f>
        <v/>
      </c>
      <c r="S333" s="45" t="str">
        <f>CONFERENCIAS!W333</f>
        <v/>
      </c>
      <c r="T333" s="48">
        <f>IF(Q333="",0,
   IF(E333=1,
      IF(H333="Presencial",
         VLOOKUP(D333,TARIFAS!A:K,3,FALSE) + IF(I333="Sí",VLOOKUP(D333,TARIFAS!A:K,5,FALSE),0),
         VLOOKUP(D333,TARIFAS!A:K,4,FALSE) + IF(I333="Sí",VLOOKUP(D333,TARIFAS!A:K,5,FALSE),0)
      ),
      IF(H333="Presencial",
         VLOOKUP(D333,TARIFAS!A:K,9,FALSE) + IF(I333="Sí",VLOOKUP(D333,TARIFAS!A:K,11,FALSE),0),
         VLOOKUP(D333,TARIFAS!A:K,10,FALSE) + IF(I333="Sí",VLOOKUP(D333,TARIFAS!A:K,11,FALSE),0)
      )
   )
)
</f>
        <v>0</v>
      </c>
      <c r="U333" s="45">
        <f>IF(R333="",0,MAX(0,R333 - TARIFAS!G$2) * TARIFAS!F$2)
</f>
        <v>0</v>
      </c>
      <c r="V333" s="45">
        <f>+T333*TARIFAS!$K$2</f>
        <v>0</v>
      </c>
      <c r="W333" s="45">
        <f t="shared" si="2"/>
        <v>0</v>
      </c>
      <c r="X333" s="45">
        <f t="shared" si="3"/>
        <v>0</v>
      </c>
      <c r="Y333" s="45">
        <f t="shared" si="4"/>
        <v>0</v>
      </c>
      <c r="Z333" s="42" t="str">
        <f>CONFERENCIAS!AB333</f>
        <v/>
      </c>
      <c r="AA333" s="42" t="str">
        <f>CONFERENCIAS!AC333</f>
        <v/>
      </c>
      <c r="AB333" s="47" t="str">
        <f t="shared" si="5"/>
        <v/>
      </c>
      <c r="AC333" s="9" t="str">
        <f t="shared" si="6"/>
        <v/>
      </c>
    </row>
    <row r="334">
      <c r="A334" s="42" t="str">
        <f>CONFERENCIAS!A334</f>
        <v/>
      </c>
      <c r="D334" s="42" t="str">
        <f>CONFERENCIAS!C334</f>
        <v/>
      </c>
      <c r="E334" s="42" t="str">
        <f>CONFERENCIAS!K334</f>
        <v/>
      </c>
      <c r="F334" s="49" t="str">
        <f>CONFERENCIAS!J334</f>
        <v/>
      </c>
      <c r="G334" s="42" t="str">
        <f>CONFERENCIAS!O334</f>
        <v/>
      </c>
      <c r="H334" s="42" t="str">
        <f>CONFERENCIAS!X334</f>
        <v/>
      </c>
      <c r="I334" s="42" t="str">
        <f>CONFERENCIAS!AA334</f>
        <v/>
      </c>
      <c r="J334" s="44" t="str">
        <f>CONFERENCIAS!P334</f>
        <v/>
      </c>
      <c r="K334" s="45" t="str">
        <f>CONFERENCIAS!R334</f>
        <v/>
      </c>
      <c r="L334" s="45">
        <f>IF(D334="",0,
 IF(E334=1,
   IF(H334="Presencial",
      VLOOKUP(D334,TARIFAS!A:K,3,FALSE) + IF(I334="Sí",VLOOKUP(D334,TARIFAS!A:K,5,FALSE),0),
      VLOOKUP(D334,TARIFAS!A:K,4,FALSE) + IF(I334="Sí",VLOOKUP(D334,TARIFAS!A:K,5,FALSE),0)
   ),
   IF(H334="Presencial",
      VLOOKUP(D334,TARIFAS!A:K,9,FALSE) + IF(I334="Sí",VLOOKUP(D334,TARIFAS!A:K,11,FALSE),0),
      VLOOKUP(D334,TARIFAS!A:K,10,FALSE) + IF(I334="Sí",VLOOKUP(D334,TARIFAS!A:K,11,FALSE),0)
   )
 )
)
</f>
        <v>0</v>
      </c>
      <c r="M334" s="45">
        <f>IF(J334="",0,MAX(0,J334 - TARIFAS!G$2) * TARIFAS!F$2)
</f>
        <v>0</v>
      </c>
      <c r="N334" s="45">
        <f>+L334*TARIFAS!$K$2</f>
        <v>0</v>
      </c>
      <c r="O334" s="45">
        <f t="shared" si="1"/>
        <v>0</v>
      </c>
      <c r="P334" s="45">
        <f>+M334+O334+K334+(+I334-(I334*TARIFAS!$K$2))</f>
        <v>0</v>
      </c>
      <c r="Q334" s="42" t="str">
        <f>CONFERENCIAS!T334</f>
        <v/>
      </c>
      <c r="R334" s="45" t="str">
        <f>CONFERENCIAS!U334</f>
        <v/>
      </c>
      <c r="S334" s="45" t="str">
        <f>CONFERENCIAS!W334</f>
        <v/>
      </c>
      <c r="T334" s="48">
        <f>IF(Q334="",0,
   IF(E334=1,
      IF(H334="Presencial",
         VLOOKUP(D334,TARIFAS!A:K,3,FALSE) + IF(I334="Sí",VLOOKUP(D334,TARIFAS!A:K,5,FALSE),0),
         VLOOKUP(D334,TARIFAS!A:K,4,FALSE) + IF(I334="Sí",VLOOKUP(D334,TARIFAS!A:K,5,FALSE),0)
      ),
      IF(H334="Presencial",
         VLOOKUP(D334,TARIFAS!A:K,9,FALSE) + IF(I334="Sí",VLOOKUP(D334,TARIFAS!A:K,11,FALSE),0),
         VLOOKUP(D334,TARIFAS!A:K,10,FALSE) + IF(I334="Sí",VLOOKUP(D334,TARIFAS!A:K,11,FALSE),0)
      )
   )
)
</f>
        <v>0</v>
      </c>
      <c r="U334" s="45">
        <f>IF(R334="",0,MAX(0,R334 - TARIFAS!G$2) * TARIFAS!F$2)
</f>
        <v>0</v>
      </c>
      <c r="V334" s="45">
        <f>+T334*TARIFAS!$K$2</f>
        <v>0</v>
      </c>
      <c r="W334" s="45">
        <f t="shared" si="2"/>
        <v>0</v>
      </c>
      <c r="X334" s="45">
        <f t="shared" si="3"/>
        <v>0</v>
      </c>
      <c r="Y334" s="45">
        <f t="shared" si="4"/>
        <v>0</v>
      </c>
      <c r="Z334" s="42" t="str">
        <f>CONFERENCIAS!AB334</f>
        <v/>
      </c>
      <c r="AA334" s="42" t="str">
        <f>CONFERENCIAS!AC334</f>
        <v/>
      </c>
      <c r="AB334" s="47" t="str">
        <f t="shared" si="5"/>
        <v/>
      </c>
      <c r="AC334" s="9" t="str">
        <f t="shared" si="6"/>
        <v/>
      </c>
    </row>
    <row r="335">
      <c r="A335" s="42" t="str">
        <f>CONFERENCIAS!A335</f>
        <v/>
      </c>
      <c r="D335" s="42" t="str">
        <f>CONFERENCIAS!C335</f>
        <v/>
      </c>
      <c r="E335" s="42" t="str">
        <f>CONFERENCIAS!K335</f>
        <v/>
      </c>
      <c r="F335" s="49" t="str">
        <f>CONFERENCIAS!J335</f>
        <v/>
      </c>
      <c r="G335" s="42" t="str">
        <f>CONFERENCIAS!O335</f>
        <v/>
      </c>
      <c r="H335" s="42" t="str">
        <f>CONFERENCIAS!X335</f>
        <v/>
      </c>
      <c r="I335" s="42" t="str">
        <f>CONFERENCIAS!AA335</f>
        <v/>
      </c>
      <c r="J335" s="44" t="str">
        <f>CONFERENCIAS!P335</f>
        <v/>
      </c>
      <c r="K335" s="45" t="str">
        <f>CONFERENCIAS!R335</f>
        <v/>
      </c>
      <c r="L335" s="45">
        <f>IF(D335="",0,
 IF(E335=1,
   IF(H335="Presencial",
      VLOOKUP(D335,TARIFAS!A:K,3,FALSE) + IF(I335="Sí",VLOOKUP(D335,TARIFAS!A:K,5,FALSE),0),
      VLOOKUP(D335,TARIFAS!A:K,4,FALSE) + IF(I335="Sí",VLOOKUP(D335,TARIFAS!A:K,5,FALSE),0)
   ),
   IF(H335="Presencial",
      VLOOKUP(D335,TARIFAS!A:K,9,FALSE) + IF(I335="Sí",VLOOKUP(D335,TARIFAS!A:K,11,FALSE),0),
      VLOOKUP(D335,TARIFAS!A:K,10,FALSE) + IF(I335="Sí",VLOOKUP(D335,TARIFAS!A:K,11,FALSE),0)
   )
 )
)
</f>
        <v>0</v>
      </c>
      <c r="M335" s="45">
        <f>IF(J335="",0,MAX(0,J335 - TARIFAS!G$2) * TARIFAS!F$2)
</f>
        <v>0</v>
      </c>
      <c r="N335" s="45">
        <f>+L335*TARIFAS!$K$2</f>
        <v>0</v>
      </c>
      <c r="O335" s="45">
        <f t="shared" si="1"/>
        <v>0</v>
      </c>
      <c r="P335" s="45">
        <f>+M335+O335+K335+(+I335-(I335*TARIFAS!$K$2))</f>
        <v>0</v>
      </c>
      <c r="Q335" s="42" t="str">
        <f>CONFERENCIAS!T335</f>
        <v/>
      </c>
      <c r="R335" s="45" t="str">
        <f>CONFERENCIAS!U335</f>
        <v/>
      </c>
      <c r="S335" s="45" t="str">
        <f>CONFERENCIAS!W335</f>
        <v/>
      </c>
      <c r="T335" s="48">
        <f>IF(Q335="",0,
   IF(E335=1,
      IF(H335="Presencial",
         VLOOKUP(D335,TARIFAS!A:K,3,FALSE) + IF(I335="Sí",VLOOKUP(D335,TARIFAS!A:K,5,FALSE),0),
         VLOOKUP(D335,TARIFAS!A:K,4,FALSE) + IF(I335="Sí",VLOOKUP(D335,TARIFAS!A:K,5,FALSE),0)
      ),
      IF(H335="Presencial",
         VLOOKUP(D335,TARIFAS!A:K,9,FALSE) + IF(I335="Sí",VLOOKUP(D335,TARIFAS!A:K,11,FALSE),0),
         VLOOKUP(D335,TARIFAS!A:K,10,FALSE) + IF(I335="Sí",VLOOKUP(D335,TARIFAS!A:K,11,FALSE),0)
      )
   )
)
</f>
        <v>0</v>
      </c>
      <c r="U335" s="45">
        <f>IF(R335="",0,MAX(0,R335 - TARIFAS!G$2) * TARIFAS!F$2)
</f>
        <v>0</v>
      </c>
      <c r="V335" s="45">
        <f>+T335*TARIFAS!$K$2</f>
        <v>0</v>
      </c>
      <c r="W335" s="45">
        <f t="shared" si="2"/>
        <v>0</v>
      </c>
      <c r="X335" s="45">
        <f t="shared" si="3"/>
        <v>0</v>
      </c>
      <c r="Y335" s="45">
        <f t="shared" si="4"/>
        <v>0</v>
      </c>
      <c r="Z335" s="42" t="str">
        <f>CONFERENCIAS!AB335</f>
        <v/>
      </c>
      <c r="AA335" s="42" t="str">
        <f>CONFERENCIAS!AC335</f>
        <v/>
      </c>
      <c r="AB335" s="47" t="str">
        <f t="shared" si="5"/>
        <v/>
      </c>
      <c r="AC335" s="9" t="str">
        <f t="shared" si="6"/>
        <v/>
      </c>
    </row>
    <row r="336">
      <c r="A336" s="42" t="str">
        <f>CONFERENCIAS!A336</f>
        <v/>
      </c>
      <c r="D336" s="42" t="str">
        <f>CONFERENCIAS!C336</f>
        <v/>
      </c>
      <c r="E336" s="42" t="str">
        <f>CONFERENCIAS!K336</f>
        <v/>
      </c>
      <c r="F336" s="49" t="str">
        <f>CONFERENCIAS!J336</f>
        <v/>
      </c>
      <c r="G336" s="42" t="str">
        <f>CONFERENCIAS!O336</f>
        <v/>
      </c>
      <c r="H336" s="42" t="str">
        <f>CONFERENCIAS!X336</f>
        <v/>
      </c>
      <c r="I336" s="42" t="str">
        <f>CONFERENCIAS!AA336</f>
        <v/>
      </c>
      <c r="J336" s="44" t="str">
        <f>CONFERENCIAS!P336</f>
        <v/>
      </c>
      <c r="K336" s="45" t="str">
        <f>CONFERENCIAS!R336</f>
        <v/>
      </c>
      <c r="L336" s="45">
        <f>IF(D336="",0,
 IF(E336=1,
   IF(H336="Presencial",
      VLOOKUP(D336,TARIFAS!A:K,3,FALSE) + IF(I336="Sí",VLOOKUP(D336,TARIFAS!A:K,5,FALSE),0),
      VLOOKUP(D336,TARIFAS!A:K,4,FALSE) + IF(I336="Sí",VLOOKUP(D336,TARIFAS!A:K,5,FALSE),0)
   ),
   IF(H336="Presencial",
      VLOOKUP(D336,TARIFAS!A:K,9,FALSE) + IF(I336="Sí",VLOOKUP(D336,TARIFAS!A:K,11,FALSE),0),
      VLOOKUP(D336,TARIFAS!A:K,10,FALSE) + IF(I336="Sí",VLOOKUP(D336,TARIFAS!A:K,11,FALSE),0)
   )
 )
)
</f>
        <v>0</v>
      </c>
      <c r="M336" s="45">
        <f>IF(J336="",0,MAX(0,J336 - TARIFAS!G$2) * TARIFAS!F$2)
</f>
        <v>0</v>
      </c>
      <c r="N336" s="45">
        <f>+L336*TARIFAS!$K$2</f>
        <v>0</v>
      </c>
      <c r="O336" s="45">
        <f t="shared" si="1"/>
        <v>0</v>
      </c>
      <c r="P336" s="45">
        <f>+M336+O336+K336+(+I336-(I336*TARIFAS!$K$2))</f>
        <v>0</v>
      </c>
      <c r="Q336" s="42" t="str">
        <f>CONFERENCIAS!T336</f>
        <v/>
      </c>
      <c r="R336" s="45" t="str">
        <f>CONFERENCIAS!U336</f>
        <v/>
      </c>
      <c r="S336" s="45" t="str">
        <f>CONFERENCIAS!W336</f>
        <v/>
      </c>
      <c r="T336" s="48">
        <f>IF(Q336="",0,
   IF(E336=1,
      IF(H336="Presencial",
         VLOOKUP(D336,TARIFAS!A:K,3,FALSE) + IF(I336="Sí",VLOOKUP(D336,TARIFAS!A:K,5,FALSE),0),
         VLOOKUP(D336,TARIFAS!A:K,4,FALSE) + IF(I336="Sí",VLOOKUP(D336,TARIFAS!A:K,5,FALSE),0)
      ),
      IF(H336="Presencial",
         VLOOKUP(D336,TARIFAS!A:K,9,FALSE) + IF(I336="Sí",VLOOKUP(D336,TARIFAS!A:K,11,FALSE),0),
         VLOOKUP(D336,TARIFAS!A:K,10,FALSE) + IF(I336="Sí",VLOOKUP(D336,TARIFAS!A:K,11,FALSE),0)
      )
   )
)
</f>
        <v>0</v>
      </c>
      <c r="U336" s="45">
        <f>IF(R336="",0,MAX(0,R336 - TARIFAS!G$2) * TARIFAS!F$2)
</f>
        <v>0</v>
      </c>
      <c r="V336" s="45">
        <f>+T336*TARIFAS!$K$2</f>
        <v>0</v>
      </c>
      <c r="W336" s="45">
        <f t="shared" si="2"/>
        <v>0</v>
      </c>
      <c r="X336" s="45">
        <f t="shared" si="3"/>
        <v>0</v>
      </c>
      <c r="Y336" s="45">
        <f t="shared" si="4"/>
        <v>0</v>
      </c>
      <c r="Z336" s="42" t="str">
        <f>CONFERENCIAS!AB336</f>
        <v/>
      </c>
      <c r="AA336" s="42" t="str">
        <f>CONFERENCIAS!AC336</f>
        <v/>
      </c>
      <c r="AB336" s="47" t="str">
        <f t="shared" si="5"/>
        <v/>
      </c>
      <c r="AC336" s="9" t="str">
        <f t="shared" si="6"/>
        <v/>
      </c>
    </row>
    <row r="337">
      <c r="A337" s="42" t="str">
        <f>CONFERENCIAS!A337</f>
        <v/>
      </c>
      <c r="D337" s="42" t="str">
        <f>CONFERENCIAS!C337</f>
        <v/>
      </c>
      <c r="E337" s="42" t="str">
        <f>CONFERENCIAS!K337</f>
        <v/>
      </c>
      <c r="F337" s="49" t="str">
        <f>CONFERENCIAS!J337</f>
        <v/>
      </c>
      <c r="G337" s="42" t="str">
        <f>CONFERENCIAS!O337</f>
        <v/>
      </c>
      <c r="H337" s="42" t="str">
        <f>CONFERENCIAS!X337</f>
        <v/>
      </c>
      <c r="I337" s="42" t="str">
        <f>CONFERENCIAS!AA337</f>
        <v/>
      </c>
      <c r="J337" s="44" t="str">
        <f>CONFERENCIAS!P337</f>
        <v/>
      </c>
      <c r="K337" s="45" t="str">
        <f>CONFERENCIAS!R337</f>
        <v/>
      </c>
      <c r="L337" s="45">
        <f>IF(D337="",0,
 IF(E337=1,
   IF(H337="Presencial",
      VLOOKUP(D337,TARIFAS!A:K,3,FALSE) + IF(I337="Sí",VLOOKUP(D337,TARIFAS!A:K,5,FALSE),0),
      VLOOKUP(D337,TARIFAS!A:K,4,FALSE) + IF(I337="Sí",VLOOKUP(D337,TARIFAS!A:K,5,FALSE),0)
   ),
   IF(H337="Presencial",
      VLOOKUP(D337,TARIFAS!A:K,9,FALSE) + IF(I337="Sí",VLOOKUP(D337,TARIFAS!A:K,11,FALSE),0),
      VLOOKUP(D337,TARIFAS!A:K,10,FALSE) + IF(I337="Sí",VLOOKUP(D337,TARIFAS!A:K,11,FALSE),0)
   )
 )
)
</f>
        <v>0</v>
      </c>
      <c r="M337" s="45">
        <f>IF(J337="",0,MAX(0,J337 - TARIFAS!G$2) * TARIFAS!F$2)
</f>
        <v>0</v>
      </c>
      <c r="N337" s="45">
        <f>+L337*TARIFAS!$K$2</f>
        <v>0</v>
      </c>
      <c r="O337" s="45">
        <f t="shared" si="1"/>
        <v>0</v>
      </c>
      <c r="P337" s="45">
        <f>+M337+O337+K337+(+I337-(I337*TARIFAS!$K$2))</f>
        <v>0</v>
      </c>
      <c r="Q337" s="42" t="str">
        <f>CONFERENCIAS!T337</f>
        <v/>
      </c>
      <c r="R337" s="45" t="str">
        <f>CONFERENCIAS!U337</f>
        <v/>
      </c>
      <c r="S337" s="45" t="str">
        <f>CONFERENCIAS!W337</f>
        <v/>
      </c>
      <c r="T337" s="48">
        <f>IF(Q337="",0,
   IF(E337=1,
      IF(H337="Presencial",
         VLOOKUP(D337,TARIFAS!A:K,3,FALSE) + IF(I337="Sí",VLOOKUP(D337,TARIFAS!A:K,5,FALSE),0),
         VLOOKUP(D337,TARIFAS!A:K,4,FALSE) + IF(I337="Sí",VLOOKUP(D337,TARIFAS!A:K,5,FALSE),0)
      ),
      IF(H337="Presencial",
         VLOOKUP(D337,TARIFAS!A:K,9,FALSE) + IF(I337="Sí",VLOOKUP(D337,TARIFAS!A:K,11,FALSE),0),
         VLOOKUP(D337,TARIFAS!A:K,10,FALSE) + IF(I337="Sí",VLOOKUP(D337,TARIFAS!A:K,11,FALSE),0)
      )
   )
)
</f>
        <v>0</v>
      </c>
      <c r="U337" s="45">
        <f>IF(R337="",0,MAX(0,R337 - TARIFAS!G$2) * TARIFAS!F$2)
</f>
        <v>0</v>
      </c>
      <c r="V337" s="45">
        <f>+T337*TARIFAS!$K$2</f>
        <v>0</v>
      </c>
      <c r="W337" s="45">
        <f t="shared" si="2"/>
        <v>0</v>
      </c>
      <c r="X337" s="45">
        <f t="shared" si="3"/>
        <v>0</v>
      </c>
      <c r="Y337" s="45">
        <f t="shared" si="4"/>
        <v>0</v>
      </c>
      <c r="Z337" s="42" t="str">
        <f>CONFERENCIAS!AB337</f>
        <v/>
      </c>
      <c r="AA337" s="42" t="str">
        <f>CONFERENCIAS!AC337</f>
        <v/>
      </c>
      <c r="AB337" s="47" t="str">
        <f t="shared" si="5"/>
        <v/>
      </c>
      <c r="AC337" s="9" t="str">
        <f t="shared" si="6"/>
        <v/>
      </c>
    </row>
    <row r="338">
      <c r="A338" s="42" t="str">
        <f>CONFERENCIAS!A338</f>
        <v/>
      </c>
      <c r="D338" s="42" t="str">
        <f>CONFERENCIAS!C338</f>
        <v/>
      </c>
      <c r="E338" s="42" t="str">
        <f>CONFERENCIAS!K338</f>
        <v/>
      </c>
      <c r="F338" s="49" t="str">
        <f>CONFERENCIAS!J338</f>
        <v/>
      </c>
      <c r="G338" s="42" t="str">
        <f>CONFERENCIAS!O338</f>
        <v/>
      </c>
      <c r="H338" s="42" t="str">
        <f>CONFERENCIAS!X338</f>
        <v/>
      </c>
      <c r="I338" s="42" t="str">
        <f>CONFERENCIAS!AA338</f>
        <v/>
      </c>
      <c r="J338" s="44" t="str">
        <f>CONFERENCIAS!P338</f>
        <v/>
      </c>
      <c r="K338" s="45" t="str">
        <f>CONFERENCIAS!R338</f>
        <v/>
      </c>
      <c r="L338" s="45">
        <f>IF(D338="",0,
 IF(E338=1,
   IF(H338="Presencial",
      VLOOKUP(D338,TARIFAS!A:K,3,FALSE) + IF(I338="Sí",VLOOKUP(D338,TARIFAS!A:K,5,FALSE),0),
      VLOOKUP(D338,TARIFAS!A:K,4,FALSE) + IF(I338="Sí",VLOOKUP(D338,TARIFAS!A:K,5,FALSE),0)
   ),
   IF(H338="Presencial",
      VLOOKUP(D338,TARIFAS!A:K,9,FALSE) + IF(I338="Sí",VLOOKUP(D338,TARIFAS!A:K,11,FALSE),0),
      VLOOKUP(D338,TARIFAS!A:K,10,FALSE) + IF(I338="Sí",VLOOKUP(D338,TARIFAS!A:K,11,FALSE),0)
   )
 )
)
</f>
        <v>0</v>
      </c>
      <c r="M338" s="45">
        <f>IF(J338="",0,MAX(0,J338 - TARIFAS!G$2) * TARIFAS!F$2)
</f>
        <v>0</v>
      </c>
      <c r="N338" s="45">
        <f>+L338*TARIFAS!$K$2</f>
        <v>0</v>
      </c>
      <c r="O338" s="45">
        <f t="shared" si="1"/>
        <v>0</v>
      </c>
      <c r="P338" s="45">
        <f>+M338+O338+K338+(+I338-(I338*TARIFAS!$K$2))</f>
        <v>0</v>
      </c>
      <c r="Q338" s="42" t="str">
        <f>CONFERENCIAS!T338</f>
        <v/>
      </c>
      <c r="R338" s="45" t="str">
        <f>CONFERENCIAS!U338</f>
        <v/>
      </c>
      <c r="S338" s="45" t="str">
        <f>CONFERENCIAS!W338</f>
        <v/>
      </c>
      <c r="T338" s="48">
        <f>IF(Q338="",0,
   IF(E338=1,
      IF(H338="Presencial",
         VLOOKUP(D338,TARIFAS!A:K,3,FALSE) + IF(I338="Sí",VLOOKUP(D338,TARIFAS!A:K,5,FALSE),0),
         VLOOKUP(D338,TARIFAS!A:K,4,FALSE) + IF(I338="Sí",VLOOKUP(D338,TARIFAS!A:K,5,FALSE),0)
      ),
      IF(H338="Presencial",
         VLOOKUP(D338,TARIFAS!A:K,9,FALSE) + IF(I338="Sí",VLOOKUP(D338,TARIFAS!A:K,11,FALSE),0),
         VLOOKUP(D338,TARIFAS!A:K,10,FALSE) + IF(I338="Sí",VLOOKUP(D338,TARIFAS!A:K,11,FALSE),0)
      )
   )
)
</f>
        <v>0</v>
      </c>
      <c r="U338" s="45">
        <f>IF(R338="",0,MAX(0,R338 - TARIFAS!G$2) * TARIFAS!F$2)
</f>
        <v>0</v>
      </c>
      <c r="V338" s="45">
        <f>+T338*TARIFAS!$K$2</f>
        <v>0</v>
      </c>
      <c r="W338" s="45">
        <f t="shared" si="2"/>
        <v>0</v>
      </c>
      <c r="X338" s="45">
        <f t="shared" si="3"/>
        <v>0</v>
      </c>
      <c r="Y338" s="45">
        <f t="shared" si="4"/>
        <v>0</v>
      </c>
      <c r="Z338" s="42" t="str">
        <f>CONFERENCIAS!AB338</f>
        <v/>
      </c>
      <c r="AA338" s="42" t="str">
        <f>CONFERENCIAS!AC338</f>
        <v/>
      </c>
      <c r="AB338" s="47" t="str">
        <f t="shared" si="5"/>
        <v/>
      </c>
      <c r="AC338" s="9" t="str">
        <f t="shared" si="6"/>
        <v/>
      </c>
    </row>
    <row r="339">
      <c r="A339" s="42" t="str">
        <f>CONFERENCIAS!A339</f>
        <v/>
      </c>
      <c r="D339" s="42" t="str">
        <f>CONFERENCIAS!C339</f>
        <v/>
      </c>
      <c r="E339" s="42" t="str">
        <f>CONFERENCIAS!K339</f>
        <v/>
      </c>
      <c r="F339" s="49" t="str">
        <f>CONFERENCIAS!J339</f>
        <v/>
      </c>
      <c r="G339" s="42" t="str">
        <f>CONFERENCIAS!O339</f>
        <v/>
      </c>
      <c r="H339" s="42" t="str">
        <f>CONFERENCIAS!X339</f>
        <v/>
      </c>
      <c r="I339" s="42" t="str">
        <f>CONFERENCIAS!AA339</f>
        <v/>
      </c>
      <c r="J339" s="44" t="str">
        <f>CONFERENCIAS!P339</f>
        <v/>
      </c>
      <c r="K339" s="45" t="str">
        <f>CONFERENCIAS!R339</f>
        <v/>
      </c>
      <c r="L339" s="45">
        <f>IF(D339="",0,
 IF(E339=1,
   IF(H339="Presencial",
      VLOOKUP(D339,TARIFAS!A:K,3,FALSE) + IF(I339="Sí",VLOOKUP(D339,TARIFAS!A:K,5,FALSE),0),
      VLOOKUP(D339,TARIFAS!A:K,4,FALSE) + IF(I339="Sí",VLOOKUP(D339,TARIFAS!A:K,5,FALSE),0)
   ),
   IF(H339="Presencial",
      VLOOKUP(D339,TARIFAS!A:K,9,FALSE) + IF(I339="Sí",VLOOKUP(D339,TARIFAS!A:K,11,FALSE),0),
      VLOOKUP(D339,TARIFAS!A:K,10,FALSE) + IF(I339="Sí",VLOOKUP(D339,TARIFAS!A:K,11,FALSE),0)
   )
 )
)
</f>
        <v>0</v>
      </c>
      <c r="M339" s="45">
        <f>IF(J339="",0,MAX(0,J339 - TARIFAS!G$2) * TARIFAS!F$2)
</f>
        <v>0</v>
      </c>
      <c r="N339" s="45">
        <f>+L339*TARIFAS!$K$2</f>
        <v>0</v>
      </c>
      <c r="O339" s="45">
        <f t="shared" si="1"/>
        <v>0</v>
      </c>
      <c r="P339" s="45">
        <f>+M339+O339+K339+(+I339-(I339*TARIFAS!$K$2))</f>
        <v>0</v>
      </c>
      <c r="Q339" s="42" t="str">
        <f>CONFERENCIAS!T339</f>
        <v/>
      </c>
      <c r="R339" s="45" t="str">
        <f>CONFERENCIAS!U339</f>
        <v/>
      </c>
      <c r="S339" s="45" t="str">
        <f>CONFERENCIAS!W339</f>
        <v/>
      </c>
      <c r="T339" s="48">
        <f>IF(Q339="",0,
   IF(E339=1,
      IF(H339="Presencial",
         VLOOKUP(D339,TARIFAS!A:K,3,FALSE) + IF(I339="Sí",VLOOKUP(D339,TARIFAS!A:K,5,FALSE),0),
         VLOOKUP(D339,TARIFAS!A:K,4,FALSE) + IF(I339="Sí",VLOOKUP(D339,TARIFAS!A:K,5,FALSE),0)
      ),
      IF(H339="Presencial",
         VLOOKUP(D339,TARIFAS!A:K,9,FALSE) + IF(I339="Sí",VLOOKUP(D339,TARIFAS!A:K,11,FALSE),0),
         VLOOKUP(D339,TARIFAS!A:K,10,FALSE) + IF(I339="Sí",VLOOKUP(D339,TARIFAS!A:K,11,FALSE),0)
      )
   )
)
</f>
        <v>0</v>
      </c>
      <c r="U339" s="45">
        <f>IF(R339="",0,MAX(0,R339 - TARIFAS!G$2) * TARIFAS!F$2)
</f>
        <v>0</v>
      </c>
      <c r="V339" s="45">
        <f>+T339*TARIFAS!$K$2</f>
        <v>0</v>
      </c>
      <c r="W339" s="45">
        <f t="shared" si="2"/>
        <v>0</v>
      </c>
      <c r="X339" s="45">
        <f t="shared" si="3"/>
        <v>0</v>
      </c>
      <c r="Y339" s="45">
        <f t="shared" si="4"/>
        <v>0</v>
      </c>
      <c r="Z339" s="42" t="str">
        <f>CONFERENCIAS!AB339</f>
        <v/>
      </c>
      <c r="AA339" s="42" t="str">
        <f>CONFERENCIAS!AC339</f>
        <v/>
      </c>
      <c r="AB339" s="47" t="str">
        <f t="shared" si="5"/>
        <v/>
      </c>
      <c r="AC339" s="9" t="str">
        <f t="shared" si="6"/>
        <v/>
      </c>
    </row>
    <row r="340">
      <c r="A340" s="42" t="str">
        <f>CONFERENCIAS!A340</f>
        <v/>
      </c>
      <c r="D340" s="42" t="str">
        <f>CONFERENCIAS!C340</f>
        <v/>
      </c>
      <c r="E340" s="42" t="str">
        <f>CONFERENCIAS!K340</f>
        <v/>
      </c>
      <c r="F340" s="49" t="str">
        <f>CONFERENCIAS!J340</f>
        <v/>
      </c>
      <c r="G340" s="42" t="str">
        <f>CONFERENCIAS!O340</f>
        <v/>
      </c>
      <c r="H340" s="42" t="str">
        <f>CONFERENCIAS!X340</f>
        <v/>
      </c>
      <c r="I340" s="42" t="str">
        <f>CONFERENCIAS!AA340</f>
        <v/>
      </c>
      <c r="J340" s="44" t="str">
        <f>CONFERENCIAS!P340</f>
        <v/>
      </c>
      <c r="K340" s="45" t="str">
        <f>CONFERENCIAS!R340</f>
        <v/>
      </c>
      <c r="L340" s="45">
        <f>IF(D340="",0,
 IF(E340=1,
   IF(H340="Presencial",
      VLOOKUP(D340,TARIFAS!A:K,3,FALSE) + IF(I340="Sí",VLOOKUP(D340,TARIFAS!A:K,5,FALSE),0),
      VLOOKUP(D340,TARIFAS!A:K,4,FALSE) + IF(I340="Sí",VLOOKUP(D340,TARIFAS!A:K,5,FALSE),0)
   ),
   IF(H340="Presencial",
      VLOOKUP(D340,TARIFAS!A:K,9,FALSE) + IF(I340="Sí",VLOOKUP(D340,TARIFAS!A:K,11,FALSE),0),
      VLOOKUP(D340,TARIFAS!A:K,10,FALSE) + IF(I340="Sí",VLOOKUP(D340,TARIFAS!A:K,11,FALSE),0)
   )
 )
)
</f>
        <v>0</v>
      </c>
      <c r="M340" s="45">
        <f>IF(J340="",0,MAX(0,J340 - TARIFAS!G$2) * TARIFAS!F$2)
</f>
        <v>0</v>
      </c>
      <c r="N340" s="45">
        <f>+L340*TARIFAS!$K$2</f>
        <v>0</v>
      </c>
      <c r="O340" s="45">
        <f t="shared" si="1"/>
        <v>0</v>
      </c>
      <c r="P340" s="45">
        <f>+M340+O340+K340+(+I340-(I340*TARIFAS!$K$2))</f>
        <v>0</v>
      </c>
      <c r="Q340" s="42" t="str">
        <f>CONFERENCIAS!T340</f>
        <v/>
      </c>
      <c r="R340" s="45" t="str">
        <f>CONFERENCIAS!U340</f>
        <v/>
      </c>
      <c r="S340" s="45" t="str">
        <f>CONFERENCIAS!W340</f>
        <v/>
      </c>
      <c r="T340" s="48">
        <f>IF(Q340="",0,
   IF(E340=1,
      IF(H340="Presencial",
         VLOOKUP(D340,TARIFAS!A:K,3,FALSE) + IF(I340="Sí",VLOOKUP(D340,TARIFAS!A:K,5,FALSE),0),
         VLOOKUP(D340,TARIFAS!A:K,4,FALSE) + IF(I340="Sí",VLOOKUP(D340,TARIFAS!A:K,5,FALSE),0)
      ),
      IF(H340="Presencial",
         VLOOKUP(D340,TARIFAS!A:K,9,FALSE) + IF(I340="Sí",VLOOKUP(D340,TARIFAS!A:K,11,FALSE),0),
         VLOOKUP(D340,TARIFAS!A:K,10,FALSE) + IF(I340="Sí",VLOOKUP(D340,TARIFAS!A:K,11,FALSE),0)
      )
   )
)
</f>
        <v>0</v>
      </c>
      <c r="U340" s="45">
        <f>IF(R340="",0,MAX(0,R340 - TARIFAS!G$2) * TARIFAS!F$2)
</f>
        <v>0</v>
      </c>
      <c r="V340" s="45">
        <f>+T340*TARIFAS!$K$2</f>
        <v>0</v>
      </c>
      <c r="W340" s="45">
        <f t="shared" si="2"/>
        <v>0</v>
      </c>
      <c r="X340" s="45">
        <f t="shared" si="3"/>
        <v>0</v>
      </c>
      <c r="Y340" s="45">
        <f t="shared" si="4"/>
        <v>0</v>
      </c>
      <c r="Z340" s="42" t="str">
        <f>CONFERENCIAS!AB340</f>
        <v/>
      </c>
      <c r="AA340" s="42" t="str">
        <f>CONFERENCIAS!AC340</f>
        <v/>
      </c>
      <c r="AB340" s="47" t="str">
        <f t="shared" si="5"/>
        <v/>
      </c>
      <c r="AC340" s="9" t="str">
        <f t="shared" si="6"/>
        <v/>
      </c>
    </row>
    <row r="341">
      <c r="A341" s="42" t="str">
        <f>CONFERENCIAS!A341</f>
        <v/>
      </c>
      <c r="D341" s="42" t="str">
        <f>CONFERENCIAS!C341</f>
        <v/>
      </c>
      <c r="E341" s="42" t="str">
        <f>CONFERENCIAS!K341</f>
        <v/>
      </c>
      <c r="F341" s="49" t="str">
        <f>CONFERENCIAS!J341</f>
        <v/>
      </c>
      <c r="G341" s="42" t="str">
        <f>CONFERENCIAS!O341</f>
        <v/>
      </c>
      <c r="H341" s="42" t="str">
        <f>CONFERENCIAS!X341</f>
        <v/>
      </c>
      <c r="I341" s="42" t="str">
        <f>CONFERENCIAS!AA341</f>
        <v/>
      </c>
      <c r="J341" s="44" t="str">
        <f>CONFERENCIAS!P341</f>
        <v/>
      </c>
      <c r="K341" s="45" t="str">
        <f>CONFERENCIAS!R341</f>
        <v/>
      </c>
      <c r="L341" s="45">
        <f>IF(D341="",0,
 IF(E341=1,
   IF(H341="Presencial",
      VLOOKUP(D341,TARIFAS!A:K,3,FALSE) + IF(I341="Sí",VLOOKUP(D341,TARIFAS!A:K,5,FALSE),0),
      VLOOKUP(D341,TARIFAS!A:K,4,FALSE) + IF(I341="Sí",VLOOKUP(D341,TARIFAS!A:K,5,FALSE),0)
   ),
   IF(H341="Presencial",
      VLOOKUP(D341,TARIFAS!A:K,9,FALSE) + IF(I341="Sí",VLOOKUP(D341,TARIFAS!A:K,11,FALSE),0),
      VLOOKUP(D341,TARIFAS!A:K,10,FALSE) + IF(I341="Sí",VLOOKUP(D341,TARIFAS!A:K,11,FALSE),0)
   )
 )
)
</f>
        <v>0</v>
      </c>
      <c r="M341" s="45">
        <f>IF(J341="",0,MAX(0,J341 - TARIFAS!G$2) * TARIFAS!F$2)
</f>
        <v>0</v>
      </c>
      <c r="N341" s="45">
        <f>+L341*TARIFAS!$K$2</f>
        <v>0</v>
      </c>
      <c r="O341" s="45">
        <f t="shared" si="1"/>
        <v>0</v>
      </c>
      <c r="P341" s="45">
        <f>+M341+O341+K341+(+I341-(I341*TARIFAS!$K$2))</f>
        <v>0</v>
      </c>
      <c r="Q341" s="42" t="str">
        <f>CONFERENCIAS!T341</f>
        <v/>
      </c>
      <c r="R341" s="45" t="str">
        <f>CONFERENCIAS!U341</f>
        <v/>
      </c>
      <c r="S341" s="45" t="str">
        <f>CONFERENCIAS!W341</f>
        <v/>
      </c>
      <c r="T341" s="48">
        <f>IF(Q341="",0,
   IF(E341=1,
      IF(H341="Presencial",
         VLOOKUP(D341,TARIFAS!A:K,3,FALSE) + IF(I341="Sí",VLOOKUP(D341,TARIFAS!A:K,5,FALSE),0),
         VLOOKUP(D341,TARIFAS!A:K,4,FALSE) + IF(I341="Sí",VLOOKUP(D341,TARIFAS!A:K,5,FALSE),0)
      ),
      IF(H341="Presencial",
         VLOOKUP(D341,TARIFAS!A:K,9,FALSE) + IF(I341="Sí",VLOOKUP(D341,TARIFAS!A:K,11,FALSE),0),
         VLOOKUP(D341,TARIFAS!A:K,10,FALSE) + IF(I341="Sí",VLOOKUP(D341,TARIFAS!A:K,11,FALSE),0)
      )
   )
)
</f>
        <v>0</v>
      </c>
      <c r="U341" s="45">
        <f>IF(R341="",0,MAX(0,R341 - TARIFAS!G$2) * TARIFAS!F$2)
</f>
        <v>0</v>
      </c>
      <c r="V341" s="45">
        <f>+T341*TARIFAS!$K$2</f>
        <v>0</v>
      </c>
      <c r="W341" s="45">
        <f t="shared" si="2"/>
        <v>0</v>
      </c>
      <c r="X341" s="45">
        <f t="shared" si="3"/>
        <v>0</v>
      </c>
      <c r="Y341" s="45">
        <f t="shared" si="4"/>
        <v>0</v>
      </c>
      <c r="Z341" s="42" t="str">
        <f>CONFERENCIAS!AB341</f>
        <v/>
      </c>
      <c r="AA341" s="42" t="str">
        <f>CONFERENCIAS!AC341</f>
        <v/>
      </c>
      <c r="AB341" s="47" t="str">
        <f t="shared" si="5"/>
        <v/>
      </c>
      <c r="AC341" s="9" t="str">
        <f t="shared" si="6"/>
        <v/>
      </c>
    </row>
    <row r="342">
      <c r="A342" s="42" t="str">
        <f>CONFERENCIAS!A342</f>
        <v/>
      </c>
      <c r="D342" s="42" t="str">
        <f>CONFERENCIAS!C342</f>
        <v/>
      </c>
      <c r="E342" s="42" t="str">
        <f>CONFERENCIAS!K342</f>
        <v/>
      </c>
      <c r="F342" s="49" t="str">
        <f>CONFERENCIAS!J342</f>
        <v/>
      </c>
      <c r="G342" s="42" t="str">
        <f>CONFERENCIAS!O342</f>
        <v/>
      </c>
      <c r="H342" s="42" t="str">
        <f>CONFERENCIAS!X342</f>
        <v/>
      </c>
      <c r="I342" s="42" t="str">
        <f>CONFERENCIAS!AA342</f>
        <v/>
      </c>
      <c r="J342" s="44" t="str">
        <f>CONFERENCIAS!P342</f>
        <v/>
      </c>
      <c r="K342" s="45" t="str">
        <f>CONFERENCIAS!R342</f>
        <v/>
      </c>
      <c r="L342" s="45">
        <f>IF(D342="",0,
 IF(E342=1,
   IF(H342="Presencial",
      VLOOKUP(D342,TARIFAS!A:K,3,FALSE) + IF(I342="Sí",VLOOKUP(D342,TARIFAS!A:K,5,FALSE),0),
      VLOOKUP(D342,TARIFAS!A:K,4,FALSE) + IF(I342="Sí",VLOOKUP(D342,TARIFAS!A:K,5,FALSE),0)
   ),
   IF(H342="Presencial",
      VLOOKUP(D342,TARIFAS!A:K,9,FALSE) + IF(I342="Sí",VLOOKUP(D342,TARIFAS!A:K,11,FALSE),0),
      VLOOKUP(D342,TARIFAS!A:K,10,FALSE) + IF(I342="Sí",VLOOKUP(D342,TARIFAS!A:K,11,FALSE),0)
   )
 )
)
</f>
        <v>0</v>
      </c>
      <c r="M342" s="45">
        <f>IF(J342="",0,MAX(0,J342 - TARIFAS!G$2) * TARIFAS!F$2)
</f>
        <v>0</v>
      </c>
      <c r="N342" s="45">
        <f>+L342*TARIFAS!$K$2</f>
        <v>0</v>
      </c>
      <c r="O342" s="45">
        <f t="shared" si="1"/>
        <v>0</v>
      </c>
      <c r="P342" s="45">
        <f>+M342+O342+K342+(+I342-(I342*TARIFAS!$K$2))</f>
        <v>0</v>
      </c>
      <c r="Q342" s="42" t="str">
        <f>CONFERENCIAS!T342</f>
        <v/>
      </c>
      <c r="R342" s="45" t="str">
        <f>CONFERENCIAS!U342</f>
        <v/>
      </c>
      <c r="S342" s="45" t="str">
        <f>CONFERENCIAS!W342</f>
        <v/>
      </c>
      <c r="T342" s="48">
        <f>IF(Q342="",0,
   IF(E342=1,
      IF(H342="Presencial",
         VLOOKUP(D342,TARIFAS!A:K,3,FALSE) + IF(I342="Sí",VLOOKUP(D342,TARIFAS!A:K,5,FALSE),0),
         VLOOKUP(D342,TARIFAS!A:K,4,FALSE) + IF(I342="Sí",VLOOKUP(D342,TARIFAS!A:K,5,FALSE),0)
      ),
      IF(H342="Presencial",
         VLOOKUP(D342,TARIFAS!A:K,9,FALSE) + IF(I342="Sí",VLOOKUP(D342,TARIFAS!A:K,11,FALSE),0),
         VLOOKUP(D342,TARIFAS!A:K,10,FALSE) + IF(I342="Sí",VLOOKUP(D342,TARIFAS!A:K,11,FALSE),0)
      )
   )
)
</f>
        <v>0</v>
      </c>
      <c r="U342" s="45">
        <f>IF(R342="",0,MAX(0,R342 - TARIFAS!G$2) * TARIFAS!F$2)
</f>
        <v>0</v>
      </c>
      <c r="V342" s="45">
        <f>+T342*TARIFAS!$K$2</f>
        <v>0</v>
      </c>
      <c r="W342" s="45">
        <f t="shared" si="2"/>
        <v>0</v>
      </c>
      <c r="X342" s="45">
        <f t="shared" si="3"/>
        <v>0</v>
      </c>
      <c r="Y342" s="45">
        <f t="shared" si="4"/>
        <v>0</v>
      </c>
      <c r="Z342" s="42" t="str">
        <f>CONFERENCIAS!AB342</f>
        <v/>
      </c>
      <c r="AA342" s="42" t="str">
        <f>CONFERENCIAS!AC342</f>
        <v/>
      </c>
      <c r="AB342" s="47" t="str">
        <f t="shared" si="5"/>
        <v/>
      </c>
      <c r="AC342" s="9" t="str">
        <f t="shared" si="6"/>
        <v/>
      </c>
    </row>
    <row r="343">
      <c r="A343" s="42" t="str">
        <f>CONFERENCIAS!A343</f>
        <v/>
      </c>
      <c r="D343" s="42" t="str">
        <f>CONFERENCIAS!C343</f>
        <v/>
      </c>
      <c r="E343" s="42" t="str">
        <f>CONFERENCIAS!K343</f>
        <v/>
      </c>
      <c r="F343" s="49" t="str">
        <f>CONFERENCIAS!J343</f>
        <v/>
      </c>
      <c r="G343" s="42" t="str">
        <f>CONFERENCIAS!O343</f>
        <v/>
      </c>
      <c r="H343" s="42" t="str">
        <f>CONFERENCIAS!X343</f>
        <v/>
      </c>
      <c r="I343" s="42" t="str">
        <f>CONFERENCIAS!AA343</f>
        <v/>
      </c>
      <c r="J343" s="44" t="str">
        <f>CONFERENCIAS!P343</f>
        <v/>
      </c>
      <c r="K343" s="45" t="str">
        <f>CONFERENCIAS!R343</f>
        <v/>
      </c>
      <c r="L343" s="45">
        <f>IF(D343="",0,
 IF(E343=1,
   IF(H343="Presencial",
      VLOOKUP(D343,TARIFAS!A:K,3,FALSE) + IF(I343="Sí",VLOOKUP(D343,TARIFAS!A:K,5,FALSE),0),
      VLOOKUP(D343,TARIFAS!A:K,4,FALSE) + IF(I343="Sí",VLOOKUP(D343,TARIFAS!A:K,5,FALSE),0)
   ),
   IF(H343="Presencial",
      VLOOKUP(D343,TARIFAS!A:K,9,FALSE) + IF(I343="Sí",VLOOKUP(D343,TARIFAS!A:K,11,FALSE),0),
      VLOOKUP(D343,TARIFAS!A:K,10,FALSE) + IF(I343="Sí",VLOOKUP(D343,TARIFAS!A:K,11,FALSE),0)
   )
 )
)
</f>
        <v>0</v>
      </c>
      <c r="M343" s="45">
        <f>IF(J343="",0,MAX(0,J343 - TARIFAS!G$2) * TARIFAS!F$2)
</f>
        <v>0</v>
      </c>
      <c r="N343" s="45">
        <f>+L343*TARIFAS!$K$2</f>
        <v>0</v>
      </c>
      <c r="O343" s="45">
        <f t="shared" si="1"/>
        <v>0</v>
      </c>
      <c r="P343" s="45">
        <f>+M343+O343+K343+(+I343-(I343*TARIFAS!$K$2))</f>
        <v>0</v>
      </c>
      <c r="Q343" s="42" t="str">
        <f>CONFERENCIAS!T343</f>
        <v/>
      </c>
      <c r="R343" s="45" t="str">
        <f>CONFERENCIAS!U343</f>
        <v/>
      </c>
      <c r="S343" s="45" t="str">
        <f>CONFERENCIAS!W343</f>
        <v/>
      </c>
      <c r="T343" s="48">
        <f>IF(Q343="",0,
   IF(E343=1,
      IF(H343="Presencial",
         VLOOKUP(D343,TARIFAS!A:K,3,FALSE) + IF(I343="Sí",VLOOKUP(D343,TARIFAS!A:K,5,FALSE),0),
         VLOOKUP(D343,TARIFAS!A:K,4,FALSE) + IF(I343="Sí",VLOOKUP(D343,TARIFAS!A:K,5,FALSE),0)
      ),
      IF(H343="Presencial",
         VLOOKUP(D343,TARIFAS!A:K,9,FALSE) + IF(I343="Sí",VLOOKUP(D343,TARIFAS!A:K,11,FALSE),0),
         VLOOKUP(D343,TARIFAS!A:K,10,FALSE) + IF(I343="Sí",VLOOKUP(D343,TARIFAS!A:K,11,FALSE),0)
      )
   )
)
</f>
        <v>0</v>
      </c>
      <c r="U343" s="45">
        <f>IF(R343="",0,MAX(0,R343 - TARIFAS!G$2) * TARIFAS!F$2)
</f>
        <v>0</v>
      </c>
      <c r="V343" s="45">
        <f>+T343*TARIFAS!$K$2</f>
        <v>0</v>
      </c>
      <c r="W343" s="45">
        <f t="shared" si="2"/>
        <v>0</v>
      </c>
      <c r="X343" s="45">
        <f t="shared" si="3"/>
        <v>0</v>
      </c>
      <c r="Y343" s="45">
        <f t="shared" si="4"/>
        <v>0</v>
      </c>
      <c r="Z343" s="42" t="str">
        <f>CONFERENCIAS!AB343</f>
        <v/>
      </c>
      <c r="AA343" s="42" t="str">
        <f>CONFERENCIAS!AC343</f>
        <v/>
      </c>
      <c r="AB343" s="47" t="str">
        <f t="shared" si="5"/>
        <v/>
      </c>
      <c r="AC343" s="9" t="str">
        <f t="shared" si="6"/>
        <v/>
      </c>
    </row>
    <row r="344">
      <c r="A344" s="42" t="str">
        <f>CONFERENCIAS!A344</f>
        <v/>
      </c>
      <c r="D344" s="42" t="str">
        <f>CONFERENCIAS!C344</f>
        <v/>
      </c>
      <c r="E344" s="42" t="str">
        <f>CONFERENCIAS!K344</f>
        <v/>
      </c>
      <c r="F344" s="49" t="str">
        <f>CONFERENCIAS!J344</f>
        <v/>
      </c>
      <c r="G344" s="42" t="str">
        <f>CONFERENCIAS!O344</f>
        <v/>
      </c>
      <c r="H344" s="42" t="str">
        <f>CONFERENCIAS!X344</f>
        <v/>
      </c>
      <c r="I344" s="42" t="str">
        <f>CONFERENCIAS!AA344</f>
        <v/>
      </c>
      <c r="J344" s="44" t="str">
        <f>CONFERENCIAS!P344</f>
        <v/>
      </c>
      <c r="K344" s="45" t="str">
        <f>CONFERENCIAS!R344</f>
        <v/>
      </c>
      <c r="L344" s="45">
        <f>IF(D344="",0,
 IF(E344=1,
   IF(H344="Presencial",
      VLOOKUP(D344,TARIFAS!A:K,3,FALSE) + IF(I344="Sí",VLOOKUP(D344,TARIFAS!A:K,5,FALSE),0),
      VLOOKUP(D344,TARIFAS!A:K,4,FALSE) + IF(I344="Sí",VLOOKUP(D344,TARIFAS!A:K,5,FALSE),0)
   ),
   IF(H344="Presencial",
      VLOOKUP(D344,TARIFAS!A:K,9,FALSE) + IF(I344="Sí",VLOOKUP(D344,TARIFAS!A:K,11,FALSE),0),
      VLOOKUP(D344,TARIFAS!A:K,10,FALSE) + IF(I344="Sí",VLOOKUP(D344,TARIFAS!A:K,11,FALSE),0)
   )
 )
)
</f>
        <v>0</v>
      </c>
      <c r="M344" s="45">
        <f>IF(J344="",0,MAX(0,J344 - TARIFAS!G$2) * TARIFAS!F$2)
</f>
        <v>0</v>
      </c>
      <c r="N344" s="45">
        <f>+L344*TARIFAS!$K$2</f>
        <v>0</v>
      </c>
      <c r="O344" s="45">
        <f t="shared" si="1"/>
        <v>0</v>
      </c>
      <c r="P344" s="45">
        <f>+M344+O344+K344+(+I344-(I344*TARIFAS!$K$2))</f>
        <v>0</v>
      </c>
      <c r="Q344" s="42" t="str">
        <f>CONFERENCIAS!T344</f>
        <v/>
      </c>
      <c r="R344" s="45" t="str">
        <f>CONFERENCIAS!U344</f>
        <v/>
      </c>
      <c r="S344" s="45" t="str">
        <f>CONFERENCIAS!W344</f>
        <v/>
      </c>
      <c r="T344" s="48">
        <f>IF(Q344="",0,
   IF(E344=1,
      IF(H344="Presencial",
         VLOOKUP(D344,TARIFAS!A:K,3,FALSE) + IF(I344="Sí",VLOOKUP(D344,TARIFAS!A:K,5,FALSE),0),
         VLOOKUP(D344,TARIFAS!A:K,4,FALSE) + IF(I344="Sí",VLOOKUP(D344,TARIFAS!A:K,5,FALSE),0)
      ),
      IF(H344="Presencial",
         VLOOKUP(D344,TARIFAS!A:K,9,FALSE) + IF(I344="Sí",VLOOKUP(D344,TARIFAS!A:K,11,FALSE),0),
         VLOOKUP(D344,TARIFAS!A:K,10,FALSE) + IF(I344="Sí",VLOOKUP(D344,TARIFAS!A:K,11,FALSE),0)
      )
   )
)
</f>
        <v>0</v>
      </c>
      <c r="U344" s="45">
        <f>IF(R344="",0,MAX(0,R344 - TARIFAS!G$2) * TARIFAS!F$2)
</f>
        <v>0</v>
      </c>
      <c r="V344" s="45">
        <f>+T344*TARIFAS!$K$2</f>
        <v>0</v>
      </c>
      <c r="W344" s="45">
        <f t="shared" si="2"/>
        <v>0</v>
      </c>
      <c r="X344" s="45">
        <f t="shared" si="3"/>
        <v>0</v>
      </c>
      <c r="Y344" s="45">
        <f t="shared" si="4"/>
        <v>0</v>
      </c>
      <c r="Z344" s="42" t="str">
        <f>CONFERENCIAS!AB344</f>
        <v/>
      </c>
      <c r="AA344" s="42" t="str">
        <f>CONFERENCIAS!AC344</f>
        <v/>
      </c>
      <c r="AB344" s="47" t="str">
        <f t="shared" si="5"/>
        <v/>
      </c>
      <c r="AC344" s="9" t="str">
        <f t="shared" si="6"/>
        <v/>
      </c>
    </row>
    <row r="345">
      <c r="A345" s="42" t="str">
        <f>CONFERENCIAS!A345</f>
        <v/>
      </c>
      <c r="D345" s="42" t="str">
        <f>CONFERENCIAS!C345</f>
        <v/>
      </c>
      <c r="E345" s="42" t="str">
        <f>CONFERENCIAS!K345</f>
        <v/>
      </c>
      <c r="F345" s="49" t="str">
        <f>CONFERENCIAS!J345</f>
        <v/>
      </c>
      <c r="G345" s="42" t="str">
        <f>CONFERENCIAS!O345</f>
        <v/>
      </c>
      <c r="H345" s="42" t="str">
        <f>CONFERENCIAS!X345</f>
        <v/>
      </c>
      <c r="I345" s="42" t="str">
        <f>CONFERENCIAS!AA345</f>
        <v/>
      </c>
      <c r="J345" s="44" t="str">
        <f>CONFERENCIAS!P345</f>
        <v/>
      </c>
      <c r="K345" s="45" t="str">
        <f>CONFERENCIAS!R345</f>
        <v/>
      </c>
      <c r="L345" s="45">
        <f>IF(D345="",0,
 IF(E345=1,
   IF(H345="Presencial",
      VLOOKUP(D345,TARIFAS!A:K,3,FALSE) + IF(I345="Sí",VLOOKUP(D345,TARIFAS!A:K,5,FALSE),0),
      VLOOKUP(D345,TARIFAS!A:K,4,FALSE) + IF(I345="Sí",VLOOKUP(D345,TARIFAS!A:K,5,FALSE),0)
   ),
   IF(H345="Presencial",
      VLOOKUP(D345,TARIFAS!A:K,9,FALSE) + IF(I345="Sí",VLOOKUP(D345,TARIFAS!A:K,11,FALSE),0),
      VLOOKUP(D345,TARIFAS!A:K,10,FALSE) + IF(I345="Sí",VLOOKUP(D345,TARIFAS!A:K,11,FALSE),0)
   )
 )
)
</f>
        <v>0</v>
      </c>
      <c r="M345" s="45">
        <f>IF(J345="",0,MAX(0,J345 - TARIFAS!G$2) * TARIFAS!F$2)
</f>
        <v>0</v>
      </c>
      <c r="N345" s="45">
        <f>+L345*TARIFAS!$K$2</f>
        <v>0</v>
      </c>
      <c r="O345" s="45">
        <f t="shared" si="1"/>
        <v>0</v>
      </c>
      <c r="P345" s="45">
        <f>+M345+O345+K345+(+I345-(I345*TARIFAS!$K$2))</f>
        <v>0</v>
      </c>
      <c r="Q345" s="42" t="str">
        <f>CONFERENCIAS!T345</f>
        <v/>
      </c>
      <c r="R345" s="45" t="str">
        <f>CONFERENCIAS!U345</f>
        <v/>
      </c>
      <c r="S345" s="45" t="str">
        <f>CONFERENCIAS!W345</f>
        <v/>
      </c>
      <c r="T345" s="48">
        <f>IF(Q345="",0,
   IF(E345=1,
      IF(H345="Presencial",
         VLOOKUP(D345,TARIFAS!A:K,3,FALSE) + IF(I345="Sí",VLOOKUP(D345,TARIFAS!A:K,5,FALSE),0),
         VLOOKUP(D345,TARIFAS!A:K,4,FALSE) + IF(I345="Sí",VLOOKUP(D345,TARIFAS!A:K,5,FALSE),0)
      ),
      IF(H345="Presencial",
         VLOOKUP(D345,TARIFAS!A:K,9,FALSE) + IF(I345="Sí",VLOOKUP(D345,TARIFAS!A:K,11,FALSE),0),
         VLOOKUP(D345,TARIFAS!A:K,10,FALSE) + IF(I345="Sí",VLOOKUP(D345,TARIFAS!A:K,11,FALSE),0)
      )
   )
)
</f>
        <v>0</v>
      </c>
      <c r="U345" s="45">
        <f>IF(R345="",0,MAX(0,R345 - TARIFAS!G$2) * TARIFAS!F$2)
</f>
        <v>0</v>
      </c>
      <c r="V345" s="45">
        <f>+T345*TARIFAS!$K$2</f>
        <v>0</v>
      </c>
      <c r="W345" s="45">
        <f t="shared" si="2"/>
        <v>0</v>
      </c>
      <c r="X345" s="45">
        <f t="shared" si="3"/>
        <v>0</v>
      </c>
      <c r="Y345" s="45">
        <f t="shared" si="4"/>
        <v>0</v>
      </c>
      <c r="Z345" s="42" t="str">
        <f>CONFERENCIAS!AB345</f>
        <v/>
      </c>
      <c r="AA345" s="42" t="str">
        <f>CONFERENCIAS!AC345</f>
        <v/>
      </c>
      <c r="AB345" s="47" t="str">
        <f t="shared" si="5"/>
        <v/>
      </c>
      <c r="AC345" s="9" t="str">
        <f t="shared" si="6"/>
        <v/>
      </c>
    </row>
    <row r="346">
      <c r="A346" s="42" t="str">
        <f>CONFERENCIAS!A346</f>
        <v/>
      </c>
      <c r="D346" s="42" t="str">
        <f>CONFERENCIAS!C346</f>
        <v/>
      </c>
      <c r="E346" s="42" t="str">
        <f>CONFERENCIAS!K346</f>
        <v/>
      </c>
      <c r="F346" s="49" t="str">
        <f>CONFERENCIAS!J346</f>
        <v/>
      </c>
      <c r="G346" s="42" t="str">
        <f>CONFERENCIAS!O346</f>
        <v/>
      </c>
      <c r="H346" s="42" t="str">
        <f>CONFERENCIAS!X346</f>
        <v/>
      </c>
      <c r="I346" s="42" t="str">
        <f>CONFERENCIAS!AA346</f>
        <v/>
      </c>
      <c r="J346" s="44" t="str">
        <f>CONFERENCIAS!P346</f>
        <v/>
      </c>
      <c r="K346" s="45" t="str">
        <f>CONFERENCIAS!R346</f>
        <v/>
      </c>
      <c r="L346" s="45">
        <f>IF(D346="",0,
 IF(E346=1,
   IF(H346="Presencial",
      VLOOKUP(D346,TARIFAS!A:K,3,FALSE) + IF(I346="Sí",VLOOKUP(D346,TARIFAS!A:K,5,FALSE),0),
      VLOOKUP(D346,TARIFAS!A:K,4,FALSE) + IF(I346="Sí",VLOOKUP(D346,TARIFAS!A:K,5,FALSE),0)
   ),
   IF(H346="Presencial",
      VLOOKUP(D346,TARIFAS!A:K,9,FALSE) + IF(I346="Sí",VLOOKUP(D346,TARIFAS!A:K,11,FALSE),0),
      VLOOKUP(D346,TARIFAS!A:K,10,FALSE) + IF(I346="Sí",VLOOKUP(D346,TARIFAS!A:K,11,FALSE),0)
   )
 )
)
</f>
        <v>0</v>
      </c>
      <c r="M346" s="45">
        <f>IF(J346="",0,MAX(0,J346 - TARIFAS!G$2) * TARIFAS!F$2)
</f>
        <v>0</v>
      </c>
      <c r="N346" s="45">
        <f>+L346*TARIFAS!$K$2</f>
        <v>0</v>
      </c>
      <c r="O346" s="45">
        <f t="shared" si="1"/>
        <v>0</v>
      </c>
      <c r="P346" s="45">
        <f>+M346+O346+K346+(+I346-(I346*TARIFAS!$K$2))</f>
        <v>0</v>
      </c>
      <c r="Q346" s="42" t="str">
        <f>CONFERENCIAS!T346</f>
        <v/>
      </c>
      <c r="R346" s="45" t="str">
        <f>CONFERENCIAS!U346</f>
        <v/>
      </c>
      <c r="S346" s="45" t="str">
        <f>CONFERENCIAS!W346</f>
        <v/>
      </c>
      <c r="T346" s="48">
        <f>IF(Q346="",0,
   IF(E346=1,
      IF(H346="Presencial",
         VLOOKUP(D346,TARIFAS!A:K,3,FALSE) + IF(I346="Sí",VLOOKUP(D346,TARIFAS!A:K,5,FALSE),0),
         VLOOKUP(D346,TARIFAS!A:K,4,FALSE) + IF(I346="Sí",VLOOKUP(D346,TARIFAS!A:K,5,FALSE),0)
      ),
      IF(H346="Presencial",
         VLOOKUP(D346,TARIFAS!A:K,9,FALSE) + IF(I346="Sí",VLOOKUP(D346,TARIFAS!A:K,11,FALSE),0),
         VLOOKUP(D346,TARIFAS!A:K,10,FALSE) + IF(I346="Sí",VLOOKUP(D346,TARIFAS!A:K,11,FALSE),0)
      )
   )
)
</f>
        <v>0</v>
      </c>
      <c r="U346" s="45">
        <f>IF(R346="",0,MAX(0,R346 - TARIFAS!G$2) * TARIFAS!F$2)
</f>
        <v>0</v>
      </c>
      <c r="V346" s="45">
        <f>+T346*TARIFAS!$K$2</f>
        <v>0</v>
      </c>
      <c r="W346" s="45">
        <f t="shared" si="2"/>
        <v>0</v>
      </c>
      <c r="X346" s="45">
        <f t="shared" si="3"/>
        <v>0</v>
      </c>
      <c r="Y346" s="45">
        <f t="shared" si="4"/>
        <v>0</v>
      </c>
      <c r="Z346" s="42" t="str">
        <f>CONFERENCIAS!AB346</f>
        <v/>
      </c>
      <c r="AA346" s="42" t="str">
        <f>CONFERENCIAS!AC346</f>
        <v/>
      </c>
      <c r="AB346" s="47" t="str">
        <f t="shared" si="5"/>
        <v/>
      </c>
      <c r="AC346" s="9" t="str">
        <f t="shared" si="6"/>
        <v/>
      </c>
    </row>
    <row r="347">
      <c r="A347" s="42" t="str">
        <f>CONFERENCIAS!A347</f>
        <v/>
      </c>
      <c r="D347" s="42" t="str">
        <f>CONFERENCIAS!C347</f>
        <v/>
      </c>
      <c r="E347" s="42" t="str">
        <f>CONFERENCIAS!K347</f>
        <v/>
      </c>
      <c r="F347" s="49" t="str">
        <f>CONFERENCIAS!J347</f>
        <v/>
      </c>
      <c r="G347" s="42" t="str">
        <f>CONFERENCIAS!O347</f>
        <v/>
      </c>
      <c r="H347" s="42" t="str">
        <f>CONFERENCIAS!X347</f>
        <v/>
      </c>
      <c r="I347" s="42" t="str">
        <f>CONFERENCIAS!AA347</f>
        <v/>
      </c>
      <c r="J347" s="44" t="str">
        <f>CONFERENCIAS!P347</f>
        <v/>
      </c>
      <c r="K347" s="45" t="str">
        <f>CONFERENCIAS!R347</f>
        <v/>
      </c>
      <c r="L347" s="45">
        <f>IF(D347="",0,
 IF(E347=1,
   IF(H347="Presencial",
      VLOOKUP(D347,TARIFAS!A:K,3,FALSE) + IF(I347="Sí",VLOOKUP(D347,TARIFAS!A:K,5,FALSE),0),
      VLOOKUP(D347,TARIFAS!A:K,4,FALSE) + IF(I347="Sí",VLOOKUP(D347,TARIFAS!A:K,5,FALSE),0)
   ),
   IF(H347="Presencial",
      VLOOKUP(D347,TARIFAS!A:K,9,FALSE) + IF(I347="Sí",VLOOKUP(D347,TARIFAS!A:K,11,FALSE),0),
      VLOOKUP(D347,TARIFAS!A:K,10,FALSE) + IF(I347="Sí",VLOOKUP(D347,TARIFAS!A:K,11,FALSE),0)
   )
 )
)
</f>
        <v>0</v>
      </c>
      <c r="M347" s="45">
        <f>IF(J347="",0,MAX(0,J347 - TARIFAS!G$2) * TARIFAS!F$2)
</f>
        <v>0</v>
      </c>
      <c r="N347" s="45">
        <f>+L347*TARIFAS!$K$2</f>
        <v>0</v>
      </c>
      <c r="O347" s="45">
        <f t="shared" si="1"/>
        <v>0</v>
      </c>
      <c r="P347" s="45">
        <f>+M347+O347+K347+(+I347-(I347*TARIFAS!$K$2))</f>
        <v>0</v>
      </c>
      <c r="Q347" s="42" t="str">
        <f>CONFERENCIAS!T347</f>
        <v/>
      </c>
      <c r="R347" s="45" t="str">
        <f>CONFERENCIAS!U347</f>
        <v/>
      </c>
      <c r="S347" s="45" t="str">
        <f>CONFERENCIAS!W347</f>
        <v/>
      </c>
      <c r="T347" s="48">
        <f>IF(Q347="",0,
   IF(E347=1,
      IF(H347="Presencial",
         VLOOKUP(D347,TARIFAS!A:K,3,FALSE) + IF(I347="Sí",VLOOKUP(D347,TARIFAS!A:K,5,FALSE),0),
         VLOOKUP(D347,TARIFAS!A:K,4,FALSE) + IF(I347="Sí",VLOOKUP(D347,TARIFAS!A:K,5,FALSE),0)
      ),
      IF(H347="Presencial",
         VLOOKUP(D347,TARIFAS!A:K,9,FALSE) + IF(I347="Sí",VLOOKUP(D347,TARIFAS!A:K,11,FALSE),0),
         VLOOKUP(D347,TARIFAS!A:K,10,FALSE) + IF(I347="Sí",VLOOKUP(D347,TARIFAS!A:K,11,FALSE),0)
      )
   )
)
</f>
        <v>0</v>
      </c>
      <c r="U347" s="45">
        <f>IF(R347="",0,MAX(0,R347 - TARIFAS!G$2) * TARIFAS!F$2)
</f>
        <v>0</v>
      </c>
      <c r="V347" s="45">
        <f>+T347*TARIFAS!$K$2</f>
        <v>0</v>
      </c>
      <c r="W347" s="45">
        <f t="shared" si="2"/>
        <v>0</v>
      </c>
      <c r="X347" s="45">
        <f t="shared" si="3"/>
        <v>0</v>
      </c>
      <c r="Y347" s="45">
        <f t="shared" si="4"/>
        <v>0</v>
      </c>
      <c r="Z347" s="42" t="str">
        <f>CONFERENCIAS!AB347</f>
        <v/>
      </c>
      <c r="AA347" s="42" t="str">
        <f>CONFERENCIAS!AC347</f>
        <v/>
      </c>
      <c r="AB347" s="47" t="str">
        <f t="shared" si="5"/>
        <v/>
      </c>
      <c r="AC347" s="9" t="str">
        <f t="shared" si="6"/>
        <v/>
      </c>
    </row>
    <row r="348">
      <c r="A348" s="42" t="str">
        <f>CONFERENCIAS!A348</f>
        <v/>
      </c>
      <c r="D348" s="42" t="str">
        <f>CONFERENCIAS!C348</f>
        <v/>
      </c>
      <c r="E348" s="42" t="str">
        <f>CONFERENCIAS!K348</f>
        <v/>
      </c>
      <c r="F348" s="49" t="str">
        <f>CONFERENCIAS!J348</f>
        <v/>
      </c>
      <c r="G348" s="42" t="str">
        <f>CONFERENCIAS!O348</f>
        <v/>
      </c>
      <c r="H348" s="42" t="str">
        <f>CONFERENCIAS!X348</f>
        <v/>
      </c>
      <c r="I348" s="42" t="str">
        <f>CONFERENCIAS!AA348</f>
        <v/>
      </c>
      <c r="J348" s="44" t="str">
        <f>CONFERENCIAS!P348</f>
        <v/>
      </c>
      <c r="K348" s="45" t="str">
        <f>CONFERENCIAS!R348</f>
        <v/>
      </c>
      <c r="L348" s="45">
        <f>IF(D348="",0,
 IF(E348=1,
   IF(H348="Presencial",
      VLOOKUP(D348,TARIFAS!A:K,3,FALSE) + IF(I348="Sí",VLOOKUP(D348,TARIFAS!A:K,5,FALSE),0),
      VLOOKUP(D348,TARIFAS!A:K,4,FALSE) + IF(I348="Sí",VLOOKUP(D348,TARIFAS!A:K,5,FALSE),0)
   ),
   IF(H348="Presencial",
      VLOOKUP(D348,TARIFAS!A:K,9,FALSE) + IF(I348="Sí",VLOOKUP(D348,TARIFAS!A:K,11,FALSE),0),
      VLOOKUP(D348,TARIFAS!A:K,10,FALSE) + IF(I348="Sí",VLOOKUP(D348,TARIFAS!A:K,11,FALSE),0)
   )
 )
)
</f>
        <v>0</v>
      </c>
      <c r="M348" s="45">
        <f>IF(J348="",0,MAX(0,J348 - TARIFAS!G$2) * TARIFAS!F$2)
</f>
        <v>0</v>
      </c>
      <c r="N348" s="45">
        <f>+L348*TARIFAS!$K$2</f>
        <v>0</v>
      </c>
      <c r="O348" s="45">
        <f t="shared" si="1"/>
        <v>0</v>
      </c>
      <c r="P348" s="45">
        <f>+M348+O348+K348+(+I348-(I348*TARIFAS!$K$2))</f>
        <v>0</v>
      </c>
      <c r="Q348" s="42" t="str">
        <f>CONFERENCIAS!T348</f>
        <v/>
      </c>
      <c r="R348" s="45" t="str">
        <f>CONFERENCIAS!U348</f>
        <v/>
      </c>
      <c r="S348" s="45" t="str">
        <f>CONFERENCIAS!W348</f>
        <v/>
      </c>
      <c r="T348" s="48">
        <f>IF(Q348="",0,
   IF(E348=1,
      IF(H348="Presencial",
         VLOOKUP(D348,TARIFAS!A:K,3,FALSE) + IF(I348="Sí",VLOOKUP(D348,TARIFAS!A:K,5,FALSE),0),
         VLOOKUP(D348,TARIFAS!A:K,4,FALSE) + IF(I348="Sí",VLOOKUP(D348,TARIFAS!A:K,5,FALSE),0)
      ),
      IF(H348="Presencial",
         VLOOKUP(D348,TARIFAS!A:K,9,FALSE) + IF(I348="Sí",VLOOKUP(D348,TARIFAS!A:K,11,FALSE),0),
         VLOOKUP(D348,TARIFAS!A:K,10,FALSE) + IF(I348="Sí",VLOOKUP(D348,TARIFAS!A:K,11,FALSE),0)
      )
   )
)
</f>
        <v>0</v>
      </c>
      <c r="U348" s="45">
        <f>IF(R348="",0,MAX(0,R348 - TARIFAS!G$2) * TARIFAS!F$2)
</f>
        <v>0</v>
      </c>
      <c r="V348" s="45">
        <f>+T348*TARIFAS!$K$2</f>
        <v>0</v>
      </c>
      <c r="W348" s="45">
        <f t="shared" si="2"/>
        <v>0</v>
      </c>
      <c r="X348" s="45">
        <f t="shared" si="3"/>
        <v>0</v>
      </c>
      <c r="Y348" s="45">
        <f t="shared" si="4"/>
        <v>0</v>
      </c>
      <c r="Z348" s="42" t="str">
        <f>CONFERENCIAS!AB348</f>
        <v/>
      </c>
      <c r="AA348" s="42" t="str">
        <f>CONFERENCIAS!AC348</f>
        <v/>
      </c>
      <c r="AB348" s="47" t="str">
        <f t="shared" si="5"/>
        <v/>
      </c>
      <c r="AC348" s="9" t="str">
        <f t="shared" si="6"/>
        <v/>
      </c>
    </row>
    <row r="349">
      <c r="A349" s="42" t="str">
        <f>CONFERENCIAS!A349</f>
        <v/>
      </c>
      <c r="D349" s="42" t="str">
        <f>CONFERENCIAS!C349</f>
        <v/>
      </c>
      <c r="E349" s="42" t="str">
        <f>CONFERENCIAS!K349</f>
        <v/>
      </c>
      <c r="F349" s="49" t="str">
        <f>CONFERENCIAS!J349</f>
        <v/>
      </c>
      <c r="G349" s="42" t="str">
        <f>CONFERENCIAS!O349</f>
        <v/>
      </c>
      <c r="H349" s="42" t="str">
        <f>CONFERENCIAS!X349</f>
        <v/>
      </c>
      <c r="I349" s="42" t="str">
        <f>CONFERENCIAS!AA349</f>
        <v/>
      </c>
      <c r="J349" s="44" t="str">
        <f>CONFERENCIAS!P349</f>
        <v/>
      </c>
      <c r="K349" s="45" t="str">
        <f>CONFERENCIAS!R349</f>
        <v/>
      </c>
      <c r="L349" s="45">
        <f>IF(D349="",0,
 IF(E349=1,
   IF(H349="Presencial",
      VLOOKUP(D349,TARIFAS!A:K,3,FALSE) + IF(I349="Sí",VLOOKUP(D349,TARIFAS!A:K,5,FALSE),0),
      VLOOKUP(D349,TARIFAS!A:K,4,FALSE) + IF(I349="Sí",VLOOKUP(D349,TARIFAS!A:K,5,FALSE),0)
   ),
   IF(H349="Presencial",
      VLOOKUP(D349,TARIFAS!A:K,9,FALSE) + IF(I349="Sí",VLOOKUP(D349,TARIFAS!A:K,11,FALSE),0),
      VLOOKUP(D349,TARIFAS!A:K,10,FALSE) + IF(I349="Sí",VLOOKUP(D349,TARIFAS!A:K,11,FALSE),0)
   )
 )
)
</f>
        <v>0</v>
      </c>
      <c r="M349" s="45">
        <f>IF(J349="",0,MAX(0,J349 - TARIFAS!G$2) * TARIFAS!F$2)
</f>
        <v>0</v>
      </c>
      <c r="N349" s="45">
        <f>+L349*TARIFAS!$K$2</f>
        <v>0</v>
      </c>
      <c r="O349" s="45">
        <f t="shared" si="1"/>
        <v>0</v>
      </c>
      <c r="P349" s="45">
        <f>+M349+O349+K349+(+I349-(I349*TARIFAS!$K$2))</f>
        <v>0</v>
      </c>
      <c r="Q349" s="42" t="str">
        <f>CONFERENCIAS!T349</f>
        <v/>
      </c>
      <c r="R349" s="45" t="str">
        <f>CONFERENCIAS!U349</f>
        <v/>
      </c>
      <c r="S349" s="45" t="str">
        <f>CONFERENCIAS!W349</f>
        <v/>
      </c>
      <c r="T349" s="48">
        <f>IF(Q349="",0,
   IF(E349=1,
      IF(H349="Presencial",
         VLOOKUP(D349,TARIFAS!A:K,3,FALSE) + IF(I349="Sí",VLOOKUP(D349,TARIFAS!A:K,5,FALSE),0),
         VLOOKUP(D349,TARIFAS!A:K,4,FALSE) + IF(I349="Sí",VLOOKUP(D349,TARIFAS!A:K,5,FALSE),0)
      ),
      IF(H349="Presencial",
         VLOOKUP(D349,TARIFAS!A:K,9,FALSE) + IF(I349="Sí",VLOOKUP(D349,TARIFAS!A:K,11,FALSE),0),
         VLOOKUP(D349,TARIFAS!A:K,10,FALSE) + IF(I349="Sí",VLOOKUP(D349,TARIFAS!A:K,11,FALSE),0)
      )
   )
)
</f>
        <v>0</v>
      </c>
      <c r="U349" s="45">
        <f>IF(R349="",0,MAX(0,R349 - TARIFAS!G$2) * TARIFAS!F$2)
</f>
        <v>0</v>
      </c>
      <c r="V349" s="45">
        <f>+T349*TARIFAS!$K$2</f>
        <v>0</v>
      </c>
      <c r="W349" s="45">
        <f t="shared" si="2"/>
        <v>0</v>
      </c>
      <c r="X349" s="45">
        <f t="shared" si="3"/>
        <v>0</v>
      </c>
      <c r="Y349" s="45">
        <f t="shared" si="4"/>
        <v>0</v>
      </c>
      <c r="Z349" s="42" t="str">
        <f>CONFERENCIAS!AB349</f>
        <v/>
      </c>
      <c r="AA349" s="42" t="str">
        <f>CONFERENCIAS!AC349</f>
        <v/>
      </c>
      <c r="AB349" s="47" t="str">
        <f t="shared" si="5"/>
        <v/>
      </c>
      <c r="AC349" s="9" t="str">
        <f t="shared" si="6"/>
        <v/>
      </c>
    </row>
    <row r="350">
      <c r="A350" s="42" t="str">
        <f>CONFERENCIAS!A350</f>
        <v/>
      </c>
      <c r="D350" s="42" t="str">
        <f>CONFERENCIAS!C350</f>
        <v/>
      </c>
      <c r="E350" s="42" t="str">
        <f>CONFERENCIAS!K350</f>
        <v/>
      </c>
      <c r="F350" s="49" t="str">
        <f>CONFERENCIAS!J350</f>
        <v/>
      </c>
      <c r="G350" s="42" t="str">
        <f>CONFERENCIAS!O350</f>
        <v/>
      </c>
      <c r="H350" s="42" t="str">
        <f>CONFERENCIAS!X350</f>
        <v/>
      </c>
      <c r="I350" s="42" t="str">
        <f>CONFERENCIAS!AA350</f>
        <v/>
      </c>
      <c r="J350" s="44" t="str">
        <f>CONFERENCIAS!P350</f>
        <v/>
      </c>
      <c r="K350" s="45" t="str">
        <f>CONFERENCIAS!R350</f>
        <v/>
      </c>
      <c r="L350" s="45">
        <f>IF(D350="",0,
 IF(E350=1,
   IF(H350="Presencial",
      VLOOKUP(D350,TARIFAS!A:K,3,FALSE) + IF(I350="Sí",VLOOKUP(D350,TARIFAS!A:K,5,FALSE),0),
      VLOOKUP(D350,TARIFAS!A:K,4,FALSE) + IF(I350="Sí",VLOOKUP(D350,TARIFAS!A:K,5,FALSE),0)
   ),
   IF(H350="Presencial",
      VLOOKUP(D350,TARIFAS!A:K,9,FALSE) + IF(I350="Sí",VLOOKUP(D350,TARIFAS!A:K,11,FALSE),0),
      VLOOKUP(D350,TARIFAS!A:K,10,FALSE) + IF(I350="Sí",VLOOKUP(D350,TARIFAS!A:K,11,FALSE),0)
   )
 )
)
</f>
        <v>0</v>
      </c>
      <c r="M350" s="45">
        <f>IF(J350="",0,MAX(0,J350 - TARIFAS!G$2) * TARIFAS!F$2)
</f>
        <v>0</v>
      </c>
      <c r="N350" s="45">
        <f>+L350*TARIFAS!$K$2</f>
        <v>0</v>
      </c>
      <c r="O350" s="45">
        <f t="shared" si="1"/>
        <v>0</v>
      </c>
      <c r="P350" s="45">
        <f>+M350+O350+K350+(+I350-(I350*TARIFAS!$K$2))</f>
        <v>0</v>
      </c>
      <c r="Q350" s="42" t="str">
        <f>CONFERENCIAS!T350</f>
        <v/>
      </c>
      <c r="R350" s="45" t="str">
        <f>CONFERENCIAS!U350</f>
        <v/>
      </c>
      <c r="S350" s="45" t="str">
        <f>CONFERENCIAS!W350</f>
        <v/>
      </c>
      <c r="T350" s="48">
        <f>IF(Q350="",0,
   IF(E350=1,
      IF(H350="Presencial",
         VLOOKUP(D350,TARIFAS!A:K,3,FALSE) + IF(I350="Sí",VLOOKUP(D350,TARIFAS!A:K,5,FALSE),0),
         VLOOKUP(D350,TARIFAS!A:K,4,FALSE) + IF(I350="Sí",VLOOKUP(D350,TARIFAS!A:K,5,FALSE),0)
      ),
      IF(H350="Presencial",
         VLOOKUP(D350,TARIFAS!A:K,9,FALSE) + IF(I350="Sí",VLOOKUP(D350,TARIFAS!A:K,11,FALSE),0),
         VLOOKUP(D350,TARIFAS!A:K,10,FALSE) + IF(I350="Sí",VLOOKUP(D350,TARIFAS!A:K,11,FALSE),0)
      )
   )
)
</f>
        <v>0</v>
      </c>
      <c r="U350" s="45">
        <f>IF(R350="",0,MAX(0,R350 - TARIFAS!G$2) * TARIFAS!F$2)
</f>
        <v>0</v>
      </c>
      <c r="V350" s="45">
        <f>+T350*TARIFAS!$K$2</f>
        <v>0</v>
      </c>
      <c r="W350" s="45">
        <f t="shared" si="2"/>
        <v>0</v>
      </c>
      <c r="X350" s="45">
        <f t="shared" si="3"/>
        <v>0</v>
      </c>
      <c r="Y350" s="45">
        <f t="shared" si="4"/>
        <v>0</v>
      </c>
      <c r="Z350" s="42" t="str">
        <f>CONFERENCIAS!AB350</f>
        <v/>
      </c>
      <c r="AA350" s="42" t="str">
        <f>CONFERENCIAS!AC350</f>
        <v/>
      </c>
      <c r="AB350" s="47" t="str">
        <f t="shared" si="5"/>
        <v/>
      </c>
      <c r="AC350" s="9" t="str">
        <f t="shared" si="6"/>
        <v/>
      </c>
    </row>
    <row r="351">
      <c r="A351" s="42" t="str">
        <f>CONFERENCIAS!A351</f>
        <v/>
      </c>
      <c r="D351" s="42" t="str">
        <f>CONFERENCIAS!C351</f>
        <v/>
      </c>
      <c r="E351" s="42" t="str">
        <f>CONFERENCIAS!K351</f>
        <v/>
      </c>
      <c r="F351" s="49" t="str">
        <f>CONFERENCIAS!J351</f>
        <v/>
      </c>
      <c r="G351" s="42" t="str">
        <f>CONFERENCIAS!O351</f>
        <v/>
      </c>
      <c r="H351" s="42" t="str">
        <f>CONFERENCIAS!X351</f>
        <v/>
      </c>
      <c r="I351" s="42" t="str">
        <f>CONFERENCIAS!AA351</f>
        <v/>
      </c>
      <c r="J351" s="44" t="str">
        <f>CONFERENCIAS!P351</f>
        <v/>
      </c>
      <c r="K351" s="45" t="str">
        <f>CONFERENCIAS!R351</f>
        <v/>
      </c>
      <c r="L351" s="45">
        <f>IF(D351="",0,
 IF(E351=1,
   IF(H351="Presencial",
      VLOOKUP(D351,TARIFAS!A:K,3,FALSE) + IF(I351="Sí",VLOOKUP(D351,TARIFAS!A:K,5,FALSE),0),
      VLOOKUP(D351,TARIFAS!A:K,4,FALSE) + IF(I351="Sí",VLOOKUP(D351,TARIFAS!A:K,5,FALSE),0)
   ),
   IF(H351="Presencial",
      VLOOKUP(D351,TARIFAS!A:K,9,FALSE) + IF(I351="Sí",VLOOKUP(D351,TARIFAS!A:K,11,FALSE),0),
      VLOOKUP(D351,TARIFAS!A:K,10,FALSE) + IF(I351="Sí",VLOOKUP(D351,TARIFAS!A:K,11,FALSE),0)
   )
 )
)
</f>
        <v>0</v>
      </c>
      <c r="M351" s="45">
        <f>IF(J351="",0,MAX(0,J351 - TARIFAS!G$2) * TARIFAS!F$2)
</f>
        <v>0</v>
      </c>
      <c r="N351" s="45">
        <f>+L351*TARIFAS!$K$2</f>
        <v>0</v>
      </c>
      <c r="O351" s="45">
        <f t="shared" si="1"/>
        <v>0</v>
      </c>
      <c r="P351" s="45">
        <f>+M351+O351+K351+(+I351-(I351*TARIFAS!$K$2))</f>
        <v>0</v>
      </c>
      <c r="Q351" s="42" t="str">
        <f>CONFERENCIAS!T351</f>
        <v/>
      </c>
      <c r="R351" s="45" t="str">
        <f>CONFERENCIAS!U351</f>
        <v/>
      </c>
      <c r="S351" s="45" t="str">
        <f>CONFERENCIAS!W351</f>
        <v/>
      </c>
      <c r="T351" s="48">
        <f>IF(Q351="",0,
   IF(E351=1,
      IF(H351="Presencial",
         VLOOKUP(D351,TARIFAS!A:K,3,FALSE) + IF(I351="Sí",VLOOKUP(D351,TARIFAS!A:K,5,FALSE),0),
         VLOOKUP(D351,TARIFAS!A:K,4,FALSE) + IF(I351="Sí",VLOOKUP(D351,TARIFAS!A:K,5,FALSE),0)
      ),
      IF(H351="Presencial",
         VLOOKUP(D351,TARIFAS!A:K,9,FALSE) + IF(I351="Sí",VLOOKUP(D351,TARIFAS!A:K,11,FALSE),0),
         VLOOKUP(D351,TARIFAS!A:K,10,FALSE) + IF(I351="Sí",VLOOKUP(D351,TARIFAS!A:K,11,FALSE),0)
      )
   )
)
</f>
        <v>0</v>
      </c>
      <c r="U351" s="45">
        <f>IF(R351="",0,MAX(0,R351 - TARIFAS!G$2) * TARIFAS!F$2)
</f>
        <v>0</v>
      </c>
      <c r="V351" s="45">
        <f>+T351*TARIFAS!$K$2</f>
        <v>0</v>
      </c>
      <c r="W351" s="45">
        <f t="shared" si="2"/>
        <v>0</v>
      </c>
      <c r="X351" s="45">
        <f t="shared" si="3"/>
        <v>0</v>
      </c>
      <c r="Y351" s="45">
        <f t="shared" si="4"/>
        <v>0</v>
      </c>
      <c r="Z351" s="42" t="str">
        <f>CONFERENCIAS!AB351</f>
        <v/>
      </c>
      <c r="AA351" s="42" t="str">
        <f>CONFERENCIAS!AC351</f>
        <v/>
      </c>
      <c r="AB351" s="47" t="str">
        <f t="shared" si="5"/>
        <v/>
      </c>
      <c r="AC351" s="9" t="str">
        <f t="shared" si="6"/>
        <v/>
      </c>
    </row>
    <row r="352">
      <c r="A352" s="42" t="str">
        <f>CONFERENCIAS!A352</f>
        <v/>
      </c>
      <c r="D352" s="42" t="str">
        <f>CONFERENCIAS!C352</f>
        <v/>
      </c>
      <c r="E352" s="42" t="str">
        <f>CONFERENCIAS!K352</f>
        <v/>
      </c>
      <c r="F352" s="49" t="str">
        <f>CONFERENCIAS!J352</f>
        <v/>
      </c>
      <c r="G352" s="42" t="str">
        <f>CONFERENCIAS!O352</f>
        <v/>
      </c>
      <c r="H352" s="42" t="str">
        <f>CONFERENCIAS!X352</f>
        <v/>
      </c>
      <c r="I352" s="42" t="str">
        <f>CONFERENCIAS!AA352</f>
        <v/>
      </c>
      <c r="J352" s="44" t="str">
        <f>CONFERENCIAS!P352</f>
        <v/>
      </c>
      <c r="K352" s="45" t="str">
        <f>CONFERENCIAS!R352</f>
        <v/>
      </c>
      <c r="L352" s="45">
        <f>IF(D352="",0,
 IF(E352=1,
   IF(H352="Presencial",
      VLOOKUP(D352,TARIFAS!A:K,3,FALSE) + IF(I352="Sí",VLOOKUP(D352,TARIFAS!A:K,5,FALSE),0),
      VLOOKUP(D352,TARIFAS!A:K,4,FALSE) + IF(I352="Sí",VLOOKUP(D352,TARIFAS!A:K,5,FALSE),0)
   ),
   IF(H352="Presencial",
      VLOOKUP(D352,TARIFAS!A:K,9,FALSE) + IF(I352="Sí",VLOOKUP(D352,TARIFAS!A:K,11,FALSE),0),
      VLOOKUP(D352,TARIFAS!A:K,10,FALSE) + IF(I352="Sí",VLOOKUP(D352,TARIFAS!A:K,11,FALSE),0)
   )
 )
)
</f>
        <v>0</v>
      </c>
      <c r="M352" s="45">
        <f>IF(J352="",0,MAX(0,J352 - TARIFAS!G$2) * TARIFAS!F$2)
</f>
        <v>0</v>
      </c>
      <c r="N352" s="45">
        <f>+L352*TARIFAS!$K$2</f>
        <v>0</v>
      </c>
      <c r="O352" s="45">
        <f t="shared" si="1"/>
        <v>0</v>
      </c>
      <c r="P352" s="45">
        <f>+M352+O352+K352+(+I352-(I352*TARIFAS!$K$2))</f>
        <v>0</v>
      </c>
      <c r="Q352" s="42" t="str">
        <f>CONFERENCIAS!T352</f>
        <v/>
      </c>
      <c r="R352" s="45" t="str">
        <f>CONFERENCIAS!U352</f>
        <v/>
      </c>
      <c r="S352" s="45" t="str">
        <f>CONFERENCIAS!W352</f>
        <v/>
      </c>
      <c r="T352" s="48">
        <f>IF(Q352="",0,
   IF(E352=1,
      IF(H352="Presencial",
         VLOOKUP(D352,TARIFAS!A:K,3,FALSE) + IF(I352="Sí",VLOOKUP(D352,TARIFAS!A:K,5,FALSE),0),
         VLOOKUP(D352,TARIFAS!A:K,4,FALSE) + IF(I352="Sí",VLOOKUP(D352,TARIFAS!A:K,5,FALSE),0)
      ),
      IF(H352="Presencial",
         VLOOKUP(D352,TARIFAS!A:K,9,FALSE) + IF(I352="Sí",VLOOKUP(D352,TARIFAS!A:K,11,FALSE),0),
         VLOOKUP(D352,TARIFAS!A:K,10,FALSE) + IF(I352="Sí",VLOOKUP(D352,TARIFAS!A:K,11,FALSE),0)
      )
   )
)
</f>
        <v>0</v>
      </c>
      <c r="U352" s="45">
        <f>IF(R352="",0,MAX(0,R352 - TARIFAS!G$2) * TARIFAS!F$2)
</f>
        <v>0</v>
      </c>
      <c r="V352" s="45">
        <f>+T352*TARIFAS!$K$2</f>
        <v>0</v>
      </c>
      <c r="W352" s="45">
        <f t="shared" si="2"/>
        <v>0</v>
      </c>
      <c r="X352" s="45">
        <f t="shared" si="3"/>
        <v>0</v>
      </c>
      <c r="Y352" s="45">
        <f t="shared" si="4"/>
        <v>0</v>
      </c>
      <c r="Z352" s="42" t="str">
        <f>CONFERENCIAS!AB352</f>
        <v/>
      </c>
      <c r="AA352" s="42" t="str">
        <f>CONFERENCIAS!AC352</f>
        <v/>
      </c>
      <c r="AB352" s="47" t="str">
        <f t="shared" si="5"/>
        <v/>
      </c>
      <c r="AC352" s="9" t="str">
        <f t="shared" si="6"/>
        <v/>
      </c>
    </row>
    <row r="353">
      <c r="A353" s="42" t="str">
        <f>CONFERENCIAS!A353</f>
        <v/>
      </c>
      <c r="D353" s="42" t="str">
        <f>CONFERENCIAS!C353</f>
        <v/>
      </c>
      <c r="E353" s="42" t="str">
        <f>CONFERENCIAS!K353</f>
        <v/>
      </c>
      <c r="F353" s="49" t="str">
        <f>CONFERENCIAS!J353</f>
        <v/>
      </c>
      <c r="G353" s="42" t="str">
        <f>CONFERENCIAS!O353</f>
        <v/>
      </c>
      <c r="H353" s="42" t="str">
        <f>CONFERENCIAS!X353</f>
        <v/>
      </c>
      <c r="I353" s="42" t="str">
        <f>CONFERENCIAS!AA353</f>
        <v/>
      </c>
      <c r="J353" s="44" t="str">
        <f>CONFERENCIAS!P353</f>
        <v/>
      </c>
      <c r="K353" s="45" t="str">
        <f>CONFERENCIAS!R353</f>
        <v/>
      </c>
      <c r="L353" s="45">
        <f>IF(D353="",0,
 IF(E353=1,
   IF(H353="Presencial",
      VLOOKUP(D353,TARIFAS!A:K,3,FALSE) + IF(I353="Sí",VLOOKUP(D353,TARIFAS!A:K,5,FALSE),0),
      VLOOKUP(D353,TARIFAS!A:K,4,FALSE) + IF(I353="Sí",VLOOKUP(D353,TARIFAS!A:K,5,FALSE),0)
   ),
   IF(H353="Presencial",
      VLOOKUP(D353,TARIFAS!A:K,9,FALSE) + IF(I353="Sí",VLOOKUP(D353,TARIFAS!A:K,11,FALSE),0),
      VLOOKUP(D353,TARIFAS!A:K,10,FALSE) + IF(I353="Sí",VLOOKUP(D353,TARIFAS!A:K,11,FALSE),0)
   )
 )
)
</f>
        <v>0</v>
      </c>
      <c r="M353" s="45">
        <f>IF(J353="",0,MAX(0,J353 - TARIFAS!G$2) * TARIFAS!F$2)
</f>
        <v>0</v>
      </c>
      <c r="N353" s="45">
        <f>+L353*TARIFAS!$K$2</f>
        <v>0</v>
      </c>
      <c r="O353" s="45">
        <f t="shared" si="1"/>
        <v>0</v>
      </c>
      <c r="P353" s="45">
        <f>+M353+O353+K353+(+I353-(I353*TARIFAS!$K$2))</f>
        <v>0</v>
      </c>
      <c r="Q353" s="42" t="str">
        <f>CONFERENCIAS!T353</f>
        <v/>
      </c>
      <c r="R353" s="45" t="str">
        <f>CONFERENCIAS!U353</f>
        <v/>
      </c>
      <c r="S353" s="45" t="str">
        <f>CONFERENCIAS!W353</f>
        <v/>
      </c>
      <c r="T353" s="48">
        <f>IF(Q353="",0,
   IF(E353=1,
      IF(H353="Presencial",
         VLOOKUP(D353,TARIFAS!A:K,3,FALSE) + IF(I353="Sí",VLOOKUP(D353,TARIFAS!A:K,5,FALSE),0),
         VLOOKUP(D353,TARIFAS!A:K,4,FALSE) + IF(I353="Sí",VLOOKUP(D353,TARIFAS!A:K,5,FALSE),0)
      ),
      IF(H353="Presencial",
         VLOOKUP(D353,TARIFAS!A:K,9,FALSE) + IF(I353="Sí",VLOOKUP(D353,TARIFAS!A:K,11,FALSE),0),
         VLOOKUP(D353,TARIFAS!A:K,10,FALSE) + IF(I353="Sí",VLOOKUP(D353,TARIFAS!A:K,11,FALSE),0)
      )
   )
)
</f>
        <v>0</v>
      </c>
      <c r="U353" s="45">
        <f>IF(R353="",0,MAX(0,R353 - TARIFAS!G$2) * TARIFAS!F$2)
</f>
        <v>0</v>
      </c>
      <c r="V353" s="45">
        <f>+T353*TARIFAS!$K$2</f>
        <v>0</v>
      </c>
      <c r="W353" s="45">
        <f t="shared" si="2"/>
        <v>0</v>
      </c>
      <c r="X353" s="45">
        <f t="shared" si="3"/>
        <v>0</v>
      </c>
      <c r="Y353" s="45">
        <f t="shared" si="4"/>
        <v>0</v>
      </c>
      <c r="Z353" s="42" t="str">
        <f>CONFERENCIAS!AB353</f>
        <v/>
      </c>
      <c r="AA353" s="42" t="str">
        <f>CONFERENCIAS!AC353</f>
        <v/>
      </c>
      <c r="AB353" s="47" t="str">
        <f t="shared" si="5"/>
        <v/>
      </c>
      <c r="AC353" s="9" t="str">
        <f t="shared" si="6"/>
        <v/>
      </c>
    </row>
    <row r="354">
      <c r="A354" s="42" t="str">
        <f>CONFERENCIAS!A354</f>
        <v/>
      </c>
      <c r="D354" s="42" t="str">
        <f>CONFERENCIAS!C354</f>
        <v/>
      </c>
      <c r="E354" s="42" t="str">
        <f>CONFERENCIAS!K354</f>
        <v/>
      </c>
      <c r="F354" s="49" t="str">
        <f>CONFERENCIAS!J354</f>
        <v/>
      </c>
      <c r="G354" s="42" t="str">
        <f>CONFERENCIAS!O354</f>
        <v/>
      </c>
      <c r="H354" s="42" t="str">
        <f>CONFERENCIAS!X354</f>
        <v/>
      </c>
      <c r="I354" s="42" t="str">
        <f>CONFERENCIAS!AA354</f>
        <v/>
      </c>
      <c r="J354" s="44" t="str">
        <f>CONFERENCIAS!P354</f>
        <v/>
      </c>
      <c r="K354" s="45" t="str">
        <f>CONFERENCIAS!R354</f>
        <v/>
      </c>
      <c r="L354" s="45">
        <f>IF(D354="",0,
 IF(E354=1,
   IF(H354="Presencial",
      VLOOKUP(D354,TARIFAS!A:K,3,FALSE) + IF(I354="Sí",VLOOKUP(D354,TARIFAS!A:K,5,FALSE),0),
      VLOOKUP(D354,TARIFAS!A:K,4,FALSE) + IF(I354="Sí",VLOOKUP(D354,TARIFAS!A:K,5,FALSE),0)
   ),
   IF(H354="Presencial",
      VLOOKUP(D354,TARIFAS!A:K,9,FALSE) + IF(I354="Sí",VLOOKUP(D354,TARIFAS!A:K,11,FALSE),0),
      VLOOKUP(D354,TARIFAS!A:K,10,FALSE) + IF(I354="Sí",VLOOKUP(D354,TARIFAS!A:K,11,FALSE),0)
   )
 )
)
</f>
        <v>0</v>
      </c>
      <c r="M354" s="45">
        <f>IF(J354="",0,MAX(0,J354 - TARIFAS!G$2) * TARIFAS!F$2)
</f>
        <v>0</v>
      </c>
      <c r="N354" s="45">
        <f>+L354*TARIFAS!$K$2</f>
        <v>0</v>
      </c>
      <c r="O354" s="45">
        <f t="shared" si="1"/>
        <v>0</v>
      </c>
      <c r="P354" s="45">
        <f>+M354+O354+K354+(+I354-(I354*TARIFAS!$K$2))</f>
        <v>0</v>
      </c>
      <c r="Q354" s="42" t="str">
        <f>CONFERENCIAS!T354</f>
        <v/>
      </c>
      <c r="R354" s="45" t="str">
        <f>CONFERENCIAS!U354</f>
        <v/>
      </c>
      <c r="S354" s="45" t="str">
        <f>CONFERENCIAS!W354</f>
        <v/>
      </c>
      <c r="T354" s="48">
        <f>IF(Q354="",0,
   IF(E354=1,
      IF(H354="Presencial",
         VLOOKUP(D354,TARIFAS!A:K,3,FALSE) + IF(I354="Sí",VLOOKUP(D354,TARIFAS!A:K,5,FALSE),0),
         VLOOKUP(D354,TARIFAS!A:K,4,FALSE) + IF(I354="Sí",VLOOKUP(D354,TARIFAS!A:K,5,FALSE),0)
      ),
      IF(H354="Presencial",
         VLOOKUP(D354,TARIFAS!A:K,9,FALSE) + IF(I354="Sí",VLOOKUP(D354,TARIFAS!A:K,11,FALSE),0),
         VLOOKUP(D354,TARIFAS!A:K,10,FALSE) + IF(I354="Sí",VLOOKUP(D354,TARIFAS!A:K,11,FALSE),0)
      )
   )
)
</f>
        <v>0</v>
      </c>
      <c r="U354" s="45">
        <f>IF(R354="",0,MAX(0,R354 - TARIFAS!G$2) * TARIFAS!F$2)
</f>
        <v>0</v>
      </c>
      <c r="V354" s="45">
        <f>+T354*TARIFAS!$K$2</f>
        <v>0</v>
      </c>
      <c r="W354" s="45">
        <f t="shared" si="2"/>
        <v>0</v>
      </c>
      <c r="X354" s="45">
        <f t="shared" si="3"/>
        <v>0</v>
      </c>
      <c r="Y354" s="45">
        <f t="shared" si="4"/>
        <v>0</v>
      </c>
      <c r="Z354" s="42" t="str">
        <f>CONFERENCIAS!AB354</f>
        <v/>
      </c>
      <c r="AA354" s="42" t="str">
        <f>CONFERENCIAS!AC354</f>
        <v/>
      </c>
      <c r="AB354" s="47" t="str">
        <f t="shared" si="5"/>
        <v/>
      </c>
      <c r="AC354" s="9" t="str">
        <f t="shared" si="6"/>
        <v/>
      </c>
    </row>
    <row r="355">
      <c r="A355" s="42" t="str">
        <f>CONFERENCIAS!A355</f>
        <v/>
      </c>
      <c r="D355" s="42" t="str">
        <f>CONFERENCIAS!C355</f>
        <v/>
      </c>
      <c r="E355" s="42" t="str">
        <f>CONFERENCIAS!K355</f>
        <v/>
      </c>
      <c r="F355" s="49" t="str">
        <f>CONFERENCIAS!J355</f>
        <v/>
      </c>
      <c r="G355" s="42" t="str">
        <f>CONFERENCIAS!O355</f>
        <v/>
      </c>
      <c r="H355" s="42" t="str">
        <f>CONFERENCIAS!X355</f>
        <v/>
      </c>
      <c r="I355" s="42" t="str">
        <f>CONFERENCIAS!AA355</f>
        <v/>
      </c>
      <c r="J355" s="44" t="str">
        <f>CONFERENCIAS!P355</f>
        <v/>
      </c>
      <c r="K355" s="45" t="str">
        <f>CONFERENCIAS!R355</f>
        <v/>
      </c>
      <c r="L355" s="45">
        <f>IF(D355="",0,
 IF(E355=1,
   IF(H355="Presencial",
      VLOOKUP(D355,TARIFAS!A:K,3,FALSE) + IF(I355="Sí",VLOOKUP(D355,TARIFAS!A:K,5,FALSE),0),
      VLOOKUP(D355,TARIFAS!A:K,4,FALSE) + IF(I355="Sí",VLOOKUP(D355,TARIFAS!A:K,5,FALSE),0)
   ),
   IF(H355="Presencial",
      VLOOKUP(D355,TARIFAS!A:K,9,FALSE) + IF(I355="Sí",VLOOKUP(D355,TARIFAS!A:K,11,FALSE),0),
      VLOOKUP(D355,TARIFAS!A:K,10,FALSE) + IF(I355="Sí",VLOOKUP(D355,TARIFAS!A:K,11,FALSE),0)
   )
 )
)
</f>
        <v>0</v>
      </c>
      <c r="M355" s="45">
        <f>IF(J355="",0,MAX(0,J355 - TARIFAS!G$2) * TARIFAS!F$2)
</f>
        <v>0</v>
      </c>
      <c r="N355" s="45">
        <f>+L355*TARIFAS!$K$2</f>
        <v>0</v>
      </c>
      <c r="O355" s="45">
        <f t="shared" si="1"/>
        <v>0</v>
      </c>
      <c r="P355" s="45">
        <f>+M355+O355+K355+(+I355-(I355*TARIFAS!$K$2))</f>
        <v>0</v>
      </c>
      <c r="Q355" s="42" t="str">
        <f>CONFERENCIAS!T355</f>
        <v/>
      </c>
      <c r="R355" s="45" t="str">
        <f>CONFERENCIAS!U355</f>
        <v/>
      </c>
      <c r="S355" s="45" t="str">
        <f>CONFERENCIAS!W355</f>
        <v/>
      </c>
      <c r="T355" s="48">
        <f>IF(Q355="",0,
   IF(E355=1,
      IF(H355="Presencial",
         VLOOKUP(D355,TARIFAS!A:K,3,FALSE) + IF(I355="Sí",VLOOKUP(D355,TARIFAS!A:K,5,FALSE),0),
         VLOOKUP(D355,TARIFAS!A:K,4,FALSE) + IF(I355="Sí",VLOOKUP(D355,TARIFAS!A:K,5,FALSE),0)
      ),
      IF(H355="Presencial",
         VLOOKUP(D355,TARIFAS!A:K,9,FALSE) + IF(I355="Sí",VLOOKUP(D355,TARIFAS!A:K,11,FALSE),0),
         VLOOKUP(D355,TARIFAS!A:K,10,FALSE) + IF(I355="Sí",VLOOKUP(D355,TARIFAS!A:K,11,FALSE),0)
      )
   )
)
</f>
        <v>0</v>
      </c>
      <c r="U355" s="45">
        <f>IF(R355="",0,MAX(0,R355 - TARIFAS!G$2) * TARIFAS!F$2)
</f>
        <v>0</v>
      </c>
      <c r="V355" s="45">
        <f>+T355*TARIFAS!$K$2</f>
        <v>0</v>
      </c>
      <c r="W355" s="45">
        <f t="shared" si="2"/>
        <v>0</v>
      </c>
      <c r="X355" s="45">
        <f t="shared" si="3"/>
        <v>0</v>
      </c>
      <c r="Y355" s="45">
        <f t="shared" si="4"/>
        <v>0</v>
      </c>
      <c r="Z355" s="42" t="str">
        <f>CONFERENCIAS!AB355</f>
        <v/>
      </c>
      <c r="AA355" s="42" t="str">
        <f>CONFERENCIAS!AC355</f>
        <v/>
      </c>
      <c r="AB355" s="47" t="str">
        <f t="shared" si="5"/>
        <v/>
      </c>
      <c r="AC355" s="9" t="str">
        <f t="shared" si="6"/>
        <v/>
      </c>
    </row>
    <row r="356">
      <c r="A356" s="42" t="str">
        <f>CONFERENCIAS!A356</f>
        <v/>
      </c>
      <c r="D356" s="42" t="str">
        <f>CONFERENCIAS!C356</f>
        <v/>
      </c>
      <c r="E356" s="42" t="str">
        <f>CONFERENCIAS!K356</f>
        <v/>
      </c>
      <c r="F356" s="49" t="str">
        <f>CONFERENCIAS!J356</f>
        <v/>
      </c>
      <c r="G356" s="42" t="str">
        <f>CONFERENCIAS!O356</f>
        <v/>
      </c>
      <c r="H356" s="42" t="str">
        <f>CONFERENCIAS!X356</f>
        <v/>
      </c>
      <c r="I356" s="42" t="str">
        <f>CONFERENCIAS!AA356</f>
        <v/>
      </c>
      <c r="J356" s="44" t="str">
        <f>CONFERENCIAS!P356</f>
        <v/>
      </c>
      <c r="K356" s="45" t="str">
        <f>CONFERENCIAS!R356</f>
        <v/>
      </c>
      <c r="L356" s="45">
        <f>IF(D356="",0,
 IF(E356=1,
   IF(H356="Presencial",
      VLOOKUP(D356,TARIFAS!A:K,3,FALSE) + IF(I356="Sí",VLOOKUP(D356,TARIFAS!A:K,5,FALSE),0),
      VLOOKUP(D356,TARIFAS!A:K,4,FALSE) + IF(I356="Sí",VLOOKUP(D356,TARIFAS!A:K,5,FALSE),0)
   ),
   IF(H356="Presencial",
      VLOOKUP(D356,TARIFAS!A:K,9,FALSE) + IF(I356="Sí",VLOOKUP(D356,TARIFAS!A:K,11,FALSE),0),
      VLOOKUP(D356,TARIFAS!A:K,10,FALSE) + IF(I356="Sí",VLOOKUP(D356,TARIFAS!A:K,11,FALSE),0)
   )
 )
)
</f>
        <v>0</v>
      </c>
      <c r="M356" s="45">
        <f>IF(J356="",0,MAX(0,J356 - TARIFAS!G$2) * TARIFAS!F$2)
</f>
        <v>0</v>
      </c>
      <c r="N356" s="45">
        <f>+L356*TARIFAS!$K$2</f>
        <v>0</v>
      </c>
      <c r="O356" s="45">
        <f t="shared" si="1"/>
        <v>0</v>
      </c>
      <c r="P356" s="45">
        <f>+M356+O356+K356+(+I356-(I356*TARIFAS!$K$2))</f>
        <v>0</v>
      </c>
      <c r="Q356" s="42" t="str">
        <f>CONFERENCIAS!T356</f>
        <v/>
      </c>
      <c r="R356" s="45" t="str">
        <f>CONFERENCIAS!U356</f>
        <v/>
      </c>
      <c r="S356" s="45" t="str">
        <f>CONFERENCIAS!W356</f>
        <v/>
      </c>
      <c r="T356" s="48">
        <f>IF(Q356="",0,
   IF(E356=1,
      IF(H356="Presencial",
         VLOOKUP(D356,TARIFAS!A:K,3,FALSE) + IF(I356="Sí",VLOOKUP(D356,TARIFAS!A:K,5,FALSE),0),
         VLOOKUP(D356,TARIFAS!A:K,4,FALSE) + IF(I356="Sí",VLOOKUP(D356,TARIFAS!A:K,5,FALSE),0)
      ),
      IF(H356="Presencial",
         VLOOKUP(D356,TARIFAS!A:K,9,FALSE) + IF(I356="Sí",VLOOKUP(D356,TARIFAS!A:K,11,FALSE),0),
         VLOOKUP(D356,TARIFAS!A:K,10,FALSE) + IF(I356="Sí",VLOOKUP(D356,TARIFAS!A:K,11,FALSE),0)
      )
   )
)
</f>
        <v>0</v>
      </c>
      <c r="U356" s="45">
        <f>IF(R356="",0,MAX(0,R356 - TARIFAS!G$2) * TARIFAS!F$2)
</f>
        <v>0</v>
      </c>
      <c r="V356" s="45">
        <f>+T356*TARIFAS!$K$2</f>
        <v>0</v>
      </c>
      <c r="W356" s="45">
        <f t="shared" si="2"/>
        <v>0</v>
      </c>
      <c r="X356" s="45">
        <f t="shared" si="3"/>
        <v>0</v>
      </c>
      <c r="Y356" s="45">
        <f t="shared" si="4"/>
        <v>0</v>
      </c>
      <c r="Z356" s="42" t="str">
        <f>CONFERENCIAS!AB356</f>
        <v/>
      </c>
      <c r="AA356" s="42" t="str">
        <f>CONFERENCIAS!AC356</f>
        <v/>
      </c>
      <c r="AB356" s="47" t="str">
        <f t="shared" si="5"/>
        <v/>
      </c>
      <c r="AC356" s="9" t="str">
        <f t="shared" si="6"/>
        <v/>
      </c>
    </row>
    <row r="357">
      <c r="A357" s="42" t="str">
        <f>CONFERENCIAS!A357</f>
        <v/>
      </c>
      <c r="D357" s="42" t="str">
        <f>CONFERENCIAS!C357</f>
        <v/>
      </c>
      <c r="E357" s="42" t="str">
        <f>CONFERENCIAS!K357</f>
        <v/>
      </c>
      <c r="F357" s="49" t="str">
        <f>CONFERENCIAS!J357</f>
        <v/>
      </c>
      <c r="G357" s="42" t="str">
        <f>CONFERENCIAS!O357</f>
        <v/>
      </c>
      <c r="H357" s="42" t="str">
        <f>CONFERENCIAS!X357</f>
        <v/>
      </c>
      <c r="I357" s="42" t="str">
        <f>CONFERENCIAS!AA357</f>
        <v/>
      </c>
      <c r="J357" s="44" t="str">
        <f>CONFERENCIAS!P357</f>
        <v/>
      </c>
      <c r="K357" s="45" t="str">
        <f>CONFERENCIAS!R357</f>
        <v/>
      </c>
      <c r="L357" s="45">
        <f>IF(D357="",0,
 IF(E357=1,
   IF(H357="Presencial",
      VLOOKUP(D357,TARIFAS!A:K,3,FALSE) + IF(I357="Sí",VLOOKUP(D357,TARIFAS!A:K,5,FALSE),0),
      VLOOKUP(D357,TARIFAS!A:K,4,FALSE) + IF(I357="Sí",VLOOKUP(D357,TARIFAS!A:K,5,FALSE),0)
   ),
   IF(H357="Presencial",
      VLOOKUP(D357,TARIFAS!A:K,9,FALSE) + IF(I357="Sí",VLOOKUP(D357,TARIFAS!A:K,11,FALSE),0),
      VLOOKUP(D357,TARIFAS!A:K,10,FALSE) + IF(I357="Sí",VLOOKUP(D357,TARIFAS!A:K,11,FALSE),0)
   )
 )
)
</f>
        <v>0</v>
      </c>
      <c r="M357" s="45">
        <f>IF(J357="",0,MAX(0,J357 - TARIFAS!G$2) * TARIFAS!F$2)
</f>
        <v>0</v>
      </c>
      <c r="N357" s="45">
        <f>+L357*TARIFAS!$K$2</f>
        <v>0</v>
      </c>
      <c r="O357" s="45">
        <f t="shared" si="1"/>
        <v>0</v>
      </c>
      <c r="P357" s="45">
        <f>+M357+O357+K357+(+I357-(I357*TARIFAS!$K$2))</f>
        <v>0</v>
      </c>
      <c r="Q357" s="42" t="str">
        <f>CONFERENCIAS!T357</f>
        <v/>
      </c>
      <c r="R357" s="45" t="str">
        <f>CONFERENCIAS!U357</f>
        <v/>
      </c>
      <c r="S357" s="45" t="str">
        <f>CONFERENCIAS!W357</f>
        <v/>
      </c>
      <c r="T357" s="48">
        <f>IF(Q357="",0,
   IF(E357=1,
      IF(H357="Presencial",
         VLOOKUP(D357,TARIFAS!A:K,3,FALSE) + IF(I357="Sí",VLOOKUP(D357,TARIFAS!A:K,5,FALSE),0),
         VLOOKUP(D357,TARIFAS!A:K,4,FALSE) + IF(I357="Sí",VLOOKUP(D357,TARIFAS!A:K,5,FALSE),0)
      ),
      IF(H357="Presencial",
         VLOOKUP(D357,TARIFAS!A:K,9,FALSE) + IF(I357="Sí",VLOOKUP(D357,TARIFAS!A:K,11,FALSE),0),
         VLOOKUP(D357,TARIFAS!A:K,10,FALSE) + IF(I357="Sí",VLOOKUP(D357,TARIFAS!A:K,11,FALSE),0)
      )
   )
)
</f>
        <v>0</v>
      </c>
      <c r="U357" s="45">
        <f>IF(R357="",0,MAX(0,R357 - TARIFAS!G$2) * TARIFAS!F$2)
</f>
        <v>0</v>
      </c>
      <c r="V357" s="45">
        <f>+T357*TARIFAS!$K$2</f>
        <v>0</v>
      </c>
      <c r="W357" s="45">
        <f t="shared" si="2"/>
        <v>0</v>
      </c>
      <c r="X357" s="45">
        <f t="shared" si="3"/>
        <v>0</v>
      </c>
      <c r="Y357" s="45">
        <f t="shared" si="4"/>
        <v>0</v>
      </c>
      <c r="Z357" s="42" t="str">
        <f>CONFERENCIAS!AB357</f>
        <v/>
      </c>
      <c r="AA357" s="42" t="str">
        <f>CONFERENCIAS!AC357</f>
        <v/>
      </c>
      <c r="AB357" s="47" t="str">
        <f t="shared" si="5"/>
        <v/>
      </c>
      <c r="AC357" s="9" t="str">
        <f t="shared" si="6"/>
        <v/>
      </c>
    </row>
    <row r="358">
      <c r="A358" s="42" t="str">
        <f>CONFERENCIAS!A358</f>
        <v/>
      </c>
      <c r="D358" s="42" t="str">
        <f>CONFERENCIAS!C358</f>
        <v/>
      </c>
      <c r="E358" s="42" t="str">
        <f>CONFERENCIAS!K358</f>
        <v/>
      </c>
      <c r="F358" s="49" t="str">
        <f>CONFERENCIAS!J358</f>
        <v/>
      </c>
      <c r="G358" s="42" t="str">
        <f>CONFERENCIAS!O358</f>
        <v/>
      </c>
      <c r="H358" s="42" t="str">
        <f>CONFERENCIAS!X358</f>
        <v/>
      </c>
      <c r="I358" s="42" t="str">
        <f>CONFERENCIAS!AA358</f>
        <v/>
      </c>
      <c r="J358" s="44" t="str">
        <f>CONFERENCIAS!P358</f>
        <v/>
      </c>
      <c r="K358" s="45" t="str">
        <f>CONFERENCIAS!R358</f>
        <v/>
      </c>
      <c r="L358" s="45">
        <f>IF(D358="",0,
 IF(E358=1,
   IF(H358="Presencial",
      VLOOKUP(D358,TARIFAS!A:K,3,FALSE) + IF(I358="Sí",VLOOKUP(D358,TARIFAS!A:K,5,FALSE),0),
      VLOOKUP(D358,TARIFAS!A:K,4,FALSE) + IF(I358="Sí",VLOOKUP(D358,TARIFAS!A:K,5,FALSE),0)
   ),
   IF(H358="Presencial",
      VLOOKUP(D358,TARIFAS!A:K,9,FALSE) + IF(I358="Sí",VLOOKUP(D358,TARIFAS!A:K,11,FALSE),0),
      VLOOKUP(D358,TARIFAS!A:K,10,FALSE) + IF(I358="Sí",VLOOKUP(D358,TARIFAS!A:K,11,FALSE),0)
   )
 )
)
</f>
        <v>0</v>
      </c>
      <c r="M358" s="45">
        <f>IF(J358="",0,MAX(0,J358 - TARIFAS!G$2) * TARIFAS!F$2)
</f>
        <v>0</v>
      </c>
      <c r="N358" s="45">
        <f>+L358*TARIFAS!$K$2</f>
        <v>0</v>
      </c>
      <c r="O358" s="45">
        <f t="shared" si="1"/>
        <v>0</v>
      </c>
      <c r="P358" s="45">
        <f>+M358+O358+K358+(+I358-(I358*TARIFAS!$K$2))</f>
        <v>0</v>
      </c>
      <c r="Q358" s="42" t="str">
        <f>CONFERENCIAS!T358</f>
        <v/>
      </c>
      <c r="R358" s="45" t="str">
        <f>CONFERENCIAS!U358</f>
        <v/>
      </c>
      <c r="S358" s="45" t="str">
        <f>CONFERENCIAS!W358</f>
        <v/>
      </c>
      <c r="T358" s="48">
        <f>IF(Q358="",0,
   IF(E358=1,
      IF(H358="Presencial",
         VLOOKUP(D358,TARIFAS!A:K,3,FALSE) + IF(I358="Sí",VLOOKUP(D358,TARIFAS!A:K,5,FALSE),0),
         VLOOKUP(D358,TARIFAS!A:K,4,FALSE) + IF(I358="Sí",VLOOKUP(D358,TARIFAS!A:K,5,FALSE),0)
      ),
      IF(H358="Presencial",
         VLOOKUP(D358,TARIFAS!A:K,9,FALSE) + IF(I358="Sí",VLOOKUP(D358,TARIFAS!A:K,11,FALSE),0),
         VLOOKUP(D358,TARIFAS!A:K,10,FALSE) + IF(I358="Sí",VLOOKUP(D358,TARIFAS!A:K,11,FALSE),0)
      )
   )
)
</f>
        <v>0</v>
      </c>
      <c r="U358" s="45">
        <f>IF(R358="",0,MAX(0,R358 - TARIFAS!G$2) * TARIFAS!F$2)
</f>
        <v>0</v>
      </c>
      <c r="V358" s="45">
        <f>+T358*TARIFAS!$K$2</f>
        <v>0</v>
      </c>
      <c r="W358" s="45">
        <f t="shared" si="2"/>
        <v>0</v>
      </c>
      <c r="X358" s="45">
        <f t="shared" si="3"/>
        <v>0</v>
      </c>
      <c r="Y358" s="45">
        <f t="shared" si="4"/>
        <v>0</v>
      </c>
      <c r="Z358" s="42" t="str">
        <f>CONFERENCIAS!AB358</f>
        <v/>
      </c>
      <c r="AA358" s="42" t="str">
        <f>CONFERENCIAS!AC358</f>
        <v/>
      </c>
      <c r="AB358" s="47" t="str">
        <f t="shared" si="5"/>
        <v/>
      </c>
      <c r="AC358" s="9" t="str">
        <f t="shared" si="6"/>
        <v/>
      </c>
    </row>
    <row r="359">
      <c r="A359" s="42" t="str">
        <f>CONFERENCIAS!A359</f>
        <v/>
      </c>
      <c r="D359" s="42" t="str">
        <f>CONFERENCIAS!C359</f>
        <v/>
      </c>
      <c r="E359" s="42" t="str">
        <f>CONFERENCIAS!K359</f>
        <v/>
      </c>
      <c r="F359" s="49" t="str">
        <f>CONFERENCIAS!J359</f>
        <v/>
      </c>
      <c r="G359" s="42" t="str">
        <f>CONFERENCIAS!O359</f>
        <v/>
      </c>
      <c r="H359" s="42" t="str">
        <f>CONFERENCIAS!X359</f>
        <v/>
      </c>
      <c r="I359" s="42" t="str">
        <f>CONFERENCIAS!AA359</f>
        <v/>
      </c>
      <c r="J359" s="44" t="str">
        <f>CONFERENCIAS!P359</f>
        <v/>
      </c>
      <c r="K359" s="45" t="str">
        <f>CONFERENCIAS!R359</f>
        <v/>
      </c>
      <c r="L359" s="45">
        <f>IF(D359="",0,
 IF(E359=1,
   IF(H359="Presencial",
      VLOOKUP(D359,TARIFAS!A:K,3,FALSE) + IF(I359="Sí",VLOOKUP(D359,TARIFAS!A:K,5,FALSE),0),
      VLOOKUP(D359,TARIFAS!A:K,4,FALSE) + IF(I359="Sí",VLOOKUP(D359,TARIFAS!A:K,5,FALSE),0)
   ),
   IF(H359="Presencial",
      VLOOKUP(D359,TARIFAS!A:K,9,FALSE) + IF(I359="Sí",VLOOKUP(D359,TARIFAS!A:K,11,FALSE),0),
      VLOOKUP(D359,TARIFAS!A:K,10,FALSE) + IF(I359="Sí",VLOOKUP(D359,TARIFAS!A:K,11,FALSE),0)
   )
 )
)
</f>
        <v>0</v>
      </c>
      <c r="M359" s="45">
        <f>IF(J359="",0,MAX(0,J359 - TARIFAS!G$2) * TARIFAS!F$2)
</f>
        <v>0</v>
      </c>
      <c r="N359" s="45">
        <f>+L359*TARIFAS!$K$2</f>
        <v>0</v>
      </c>
      <c r="O359" s="45">
        <f t="shared" si="1"/>
        <v>0</v>
      </c>
      <c r="P359" s="45">
        <f>+M359+O359+K359+(+I359-(I359*TARIFAS!$K$2))</f>
        <v>0</v>
      </c>
      <c r="Q359" s="42" t="str">
        <f>CONFERENCIAS!T359</f>
        <v/>
      </c>
      <c r="R359" s="45" t="str">
        <f>CONFERENCIAS!U359</f>
        <v/>
      </c>
      <c r="S359" s="45" t="str">
        <f>CONFERENCIAS!W359</f>
        <v/>
      </c>
      <c r="T359" s="48">
        <f>IF(Q359="",0,
   IF(E359=1,
      IF(H359="Presencial",
         VLOOKUP(D359,TARIFAS!A:K,3,FALSE) + IF(I359="Sí",VLOOKUP(D359,TARIFAS!A:K,5,FALSE),0),
         VLOOKUP(D359,TARIFAS!A:K,4,FALSE) + IF(I359="Sí",VLOOKUP(D359,TARIFAS!A:K,5,FALSE),0)
      ),
      IF(H359="Presencial",
         VLOOKUP(D359,TARIFAS!A:K,9,FALSE) + IF(I359="Sí",VLOOKUP(D359,TARIFAS!A:K,11,FALSE),0),
         VLOOKUP(D359,TARIFAS!A:K,10,FALSE) + IF(I359="Sí",VLOOKUP(D359,TARIFAS!A:K,11,FALSE),0)
      )
   )
)
</f>
        <v>0</v>
      </c>
      <c r="U359" s="45">
        <f>IF(R359="",0,MAX(0,R359 - TARIFAS!G$2) * TARIFAS!F$2)
</f>
        <v>0</v>
      </c>
      <c r="V359" s="45">
        <f>+T359*TARIFAS!$K$2</f>
        <v>0</v>
      </c>
      <c r="W359" s="45">
        <f t="shared" si="2"/>
        <v>0</v>
      </c>
      <c r="X359" s="45">
        <f t="shared" si="3"/>
        <v>0</v>
      </c>
      <c r="Y359" s="45">
        <f t="shared" si="4"/>
        <v>0</v>
      </c>
      <c r="Z359" s="42" t="str">
        <f>CONFERENCIAS!AB359</f>
        <v/>
      </c>
      <c r="AA359" s="42" t="str">
        <f>CONFERENCIAS!AC359</f>
        <v/>
      </c>
      <c r="AB359" s="47" t="str">
        <f t="shared" si="5"/>
        <v/>
      </c>
      <c r="AC359" s="9" t="str">
        <f t="shared" si="6"/>
        <v/>
      </c>
    </row>
    <row r="360">
      <c r="A360" s="42" t="str">
        <f>CONFERENCIAS!A360</f>
        <v/>
      </c>
      <c r="D360" s="42" t="str">
        <f>CONFERENCIAS!C360</f>
        <v/>
      </c>
      <c r="E360" s="42" t="str">
        <f>CONFERENCIAS!K360</f>
        <v/>
      </c>
      <c r="F360" s="49" t="str">
        <f>CONFERENCIAS!J360</f>
        <v/>
      </c>
      <c r="G360" s="42" t="str">
        <f>CONFERENCIAS!O360</f>
        <v/>
      </c>
      <c r="H360" s="42" t="str">
        <f>CONFERENCIAS!X360</f>
        <v/>
      </c>
      <c r="I360" s="42" t="str">
        <f>CONFERENCIAS!AA360</f>
        <v/>
      </c>
      <c r="J360" s="44" t="str">
        <f>CONFERENCIAS!P360</f>
        <v/>
      </c>
      <c r="K360" s="45" t="str">
        <f>CONFERENCIAS!R360</f>
        <v/>
      </c>
      <c r="L360" s="45">
        <f>IF(D360="",0,
 IF(E360=1,
   IF(H360="Presencial",
      VLOOKUP(D360,TARIFAS!A:K,3,FALSE) + IF(I360="Sí",VLOOKUP(D360,TARIFAS!A:K,5,FALSE),0),
      VLOOKUP(D360,TARIFAS!A:K,4,FALSE) + IF(I360="Sí",VLOOKUP(D360,TARIFAS!A:K,5,FALSE),0)
   ),
   IF(H360="Presencial",
      VLOOKUP(D360,TARIFAS!A:K,9,FALSE) + IF(I360="Sí",VLOOKUP(D360,TARIFAS!A:K,11,FALSE),0),
      VLOOKUP(D360,TARIFAS!A:K,10,FALSE) + IF(I360="Sí",VLOOKUP(D360,TARIFAS!A:K,11,FALSE),0)
   )
 )
)
</f>
        <v>0</v>
      </c>
      <c r="M360" s="45">
        <f>IF(J360="",0,MAX(0,J360 - TARIFAS!G$2) * TARIFAS!F$2)
</f>
        <v>0</v>
      </c>
      <c r="N360" s="45">
        <f>+L360*TARIFAS!$K$2</f>
        <v>0</v>
      </c>
      <c r="O360" s="45">
        <f t="shared" si="1"/>
        <v>0</v>
      </c>
      <c r="P360" s="45">
        <f>+M360+O360+K360+(+I360-(I360*TARIFAS!$K$2))</f>
        <v>0</v>
      </c>
      <c r="Q360" s="42" t="str">
        <f>CONFERENCIAS!T360</f>
        <v/>
      </c>
      <c r="R360" s="45" t="str">
        <f>CONFERENCIAS!U360</f>
        <v/>
      </c>
      <c r="S360" s="45" t="str">
        <f>CONFERENCIAS!W360</f>
        <v/>
      </c>
      <c r="T360" s="48">
        <f>IF(Q360="",0,
   IF(E360=1,
      IF(H360="Presencial",
         VLOOKUP(D360,TARIFAS!A:K,3,FALSE) + IF(I360="Sí",VLOOKUP(D360,TARIFAS!A:K,5,FALSE),0),
         VLOOKUP(D360,TARIFAS!A:K,4,FALSE) + IF(I360="Sí",VLOOKUP(D360,TARIFAS!A:K,5,FALSE),0)
      ),
      IF(H360="Presencial",
         VLOOKUP(D360,TARIFAS!A:K,9,FALSE) + IF(I360="Sí",VLOOKUP(D360,TARIFAS!A:K,11,FALSE),0),
         VLOOKUP(D360,TARIFAS!A:K,10,FALSE) + IF(I360="Sí",VLOOKUP(D360,TARIFAS!A:K,11,FALSE),0)
      )
   )
)
</f>
        <v>0</v>
      </c>
      <c r="U360" s="45">
        <f>IF(R360="",0,MAX(0,R360 - TARIFAS!G$2) * TARIFAS!F$2)
</f>
        <v>0</v>
      </c>
      <c r="V360" s="45">
        <f>+T360*TARIFAS!$K$2</f>
        <v>0</v>
      </c>
      <c r="W360" s="45">
        <f t="shared" si="2"/>
        <v>0</v>
      </c>
      <c r="X360" s="45">
        <f t="shared" si="3"/>
        <v>0</v>
      </c>
      <c r="Y360" s="45">
        <f t="shared" si="4"/>
        <v>0</v>
      </c>
      <c r="Z360" s="42" t="str">
        <f>CONFERENCIAS!AB360</f>
        <v/>
      </c>
      <c r="AA360" s="42" t="str">
        <f>CONFERENCIAS!AC360</f>
        <v/>
      </c>
      <c r="AB360" s="47" t="str">
        <f t="shared" si="5"/>
        <v/>
      </c>
      <c r="AC360" s="9" t="str">
        <f t="shared" si="6"/>
        <v/>
      </c>
    </row>
    <row r="361">
      <c r="A361" s="42" t="str">
        <f>CONFERENCIAS!A361</f>
        <v/>
      </c>
      <c r="D361" s="42" t="str">
        <f>CONFERENCIAS!C361</f>
        <v/>
      </c>
      <c r="E361" s="42" t="str">
        <f>CONFERENCIAS!K361</f>
        <v/>
      </c>
      <c r="F361" s="49" t="str">
        <f>CONFERENCIAS!J361</f>
        <v/>
      </c>
      <c r="G361" s="42" t="str">
        <f>CONFERENCIAS!O361</f>
        <v/>
      </c>
      <c r="H361" s="42" t="str">
        <f>CONFERENCIAS!X361</f>
        <v/>
      </c>
      <c r="I361" s="42" t="str">
        <f>CONFERENCIAS!AA361</f>
        <v/>
      </c>
      <c r="J361" s="44" t="str">
        <f>CONFERENCIAS!P361</f>
        <v/>
      </c>
      <c r="K361" s="45" t="str">
        <f>CONFERENCIAS!R361</f>
        <v/>
      </c>
      <c r="L361" s="45">
        <f>IF(D361="",0,
 IF(E361=1,
   IF(H361="Presencial",
      VLOOKUP(D361,TARIFAS!A:K,3,FALSE) + IF(I361="Sí",VLOOKUP(D361,TARIFAS!A:K,5,FALSE),0),
      VLOOKUP(D361,TARIFAS!A:K,4,FALSE) + IF(I361="Sí",VLOOKUP(D361,TARIFAS!A:K,5,FALSE),0)
   ),
   IF(H361="Presencial",
      VLOOKUP(D361,TARIFAS!A:K,9,FALSE) + IF(I361="Sí",VLOOKUP(D361,TARIFAS!A:K,11,FALSE),0),
      VLOOKUP(D361,TARIFAS!A:K,10,FALSE) + IF(I361="Sí",VLOOKUP(D361,TARIFAS!A:K,11,FALSE),0)
   )
 )
)
</f>
        <v>0</v>
      </c>
      <c r="M361" s="45">
        <f>IF(J361="",0,MAX(0,J361 - TARIFAS!G$2) * TARIFAS!F$2)
</f>
        <v>0</v>
      </c>
      <c r="N361" s="45">
        <f>+L361*TARIFAS!$K$2</f>
        <v>0</v>
      </c>
      <c r="O361" s="45">
        <f t="shared" si="1"/>
        <v>0</v>
      </c>
      <c r="P361" s="45">
        <f>+M361+O361+K361+(+I361-(I361*TARIFAS!$K$2))</f>
        <v>0</v>
      </c>
      <c r="Q361" s="42" t="str">
        <f>CONFERENCIAS!T361</f>
        <v/>
      </c>
      <c r="R361" s="45" t="str">
        <f>CONFERENCIAS!U361</f>
        <v/>
      </c>
      <c r="S361" s="45" t="str">
        <f>CONFERENCIAS!W361</f>
        <v/>
      </c>
      <c r="T361" s="48">
        <f>IF(Q361="",0,
   IF(E361=1,
      IF(H361="Presencial",
         VLOOKUP(D361,TARIFAS!A:K,3,FALSE) + IF(I361="Sí",VLOOKUP(D361,TARIFAS!A:K,5,FALSE),0),
         VLOOKUP(D361,TARIFAS!A:K,4,FALSE) + IF(I361="Sí",VLOOKUP(D361,TARIFAS!A:K,5,FALSE),0)
      ),
      IF(H361="Presencial",
         VLOOKUP(D361,TARIFAS!A:K,9,FALSE) + IF(I361="Sí",VLOOKUP(D361,TARIFAS!A:K,11,FALSE),0),
         VLOOKUP(D361,TARIFAS!A:K,10,FALSE) + IF(I361="Sí",VLOOKUP(D361,TARIFAS!A:K,11,FALSE),0)
      )
   )
)
</f>
        <v>0</v>
      </c>
      <c r="U361" s="45">
        <f>IF(R361="",0,MAX(0,R361 - TARIFAS!G$2) * TARIFAS!F$2)
</f>
        <v>0</v>
      </c>
      <c r="V361" s="45">
        <f>+T361*TARIFAS!$K$2</f>
        <v>0</v>
      </c>
      <c r="W361" s="45">
        <f t="shared" si="2"/>
        <v>0</v>
      </c>
      <c r="X361" s="45">
        <f t="shared" si="3"/>
        <v>0</v>
      </c>
      <c r="Y361" s="45">
        <f t="shared" si="4"/>
        <v>0</v>
      </c>
      <c r="Z361" s="42" t="str">
        <f>CONFERENCIAS!AB361</f>
        <v/>
      </c>
      <c r="AA361" s="42" t="str">
        <f>CONFERENCIAS!AC361</f>
        <v/>
      </c>
      <c r="AB361" s="47" t="str">
        <f t="shared" si="5"/>
        <v/>
      </c>
      <c r="AC361" s="9" t="str">
        <f t="shared" si="6"/>
        <v/>
      </c>
    </row>
    <row r="362">
      <c r="A362" s="42" t="str">
        <f>CONFERENCIAS!A362</f>
        <v/>
      </c>
      <c r="D362" s="42" t="str">
        <f>CONFERENCIAS!C362</f>
        <v/>
      </c>
      <c r="E362" s="42" t="str">
        <f>CONFERENCIAS!K362</f>
        <v/>
      </c>
      <c r="F362" s="49" t="str">
        <f>CONFERENCIAS!J362</f>
        <v/>
      </c>
      <c r="G362" s="42" t="str">
        <f>CONFERENCIAS!O362</f>
        <v/>
      </c>
      <c r="H362" s="42" t="str">
        <f>CONFERENCIAS!X362</f>
        <v/>
      </c>
      <c r="I362" s="42" t="str">
        <f>CONFERENCIAS!AA362</f>
        <v/>
      </c>
      <c r="J362" s="44" t="str">
        <f>CONFERENCIAS!P362</f>
        <v/>
      </c>
      <c r="K362" s="45" t="str">
        <f>CONFERENCIAS!R362</f>
        <v/>
      </c>
      <c r="L362" s="45">
        <f>IF(D362="",0,
 IF(E362=1,
   IF(H362="Presencial",
      VLOOKUP(D362,TARIFAS!A:K,3,FALSE) + IF(I362="Sí",VLOOKUP(D362,TARIFAS!A:K,5,FALSE),0),
      VLOOKUP(D362,TARIFAS!A:K,4,FALSE) + IF(I362="Sí",VLOOKUP(D362,TARIFAS!A:K,5,FALSE),0)
   ),
   IF(H362="Presencial",
      VLOOKUP(D362,TARIFAS!A:K,9,FALSE) + IF(I362="Sí",VLOOKUP(D362,TARIFAS!A:K,11,FALSE),0),
      VLOOKUP(D362,TARIFAS!A:K,10,FALSE) + IF(I362="Sí",VLOOKUP(D362,TARIFAS!A:K,11,FALSE),0)
   )
 )
)
</f>
        <v>0</v>
      </c>
      <c r="M362" s="45">
        <f>IF(J362="",0,MAX(0,J362 - TARIFAS!G$2) * TARIFAS!F$2)
</f>
        <v>0</v>
      </c>
      <c r="N362" s="45">
        <f>+L362*TARIFAS!$K$2</f>
        <v>0</v>
      </c>
      <c r="O362" s="45">
        <f t="shared" si="1"/>
        <v>0</v>
      </c>
      <c r="P362" s="45">
        <f>+M362+O362+K362+(+I362-(I362*TARIFAS!$K$2))</f>
        <v>0</v>
      </c>
      <c r="Q362" s="42" t="str">
        <f>CONFERENCIAS!T362</f>
        <v/>
      </c>
      <c r="R362" s="45" t="str">
        <f>CONFERENCIAS!U362</f>
        <v/>
      </c>
      <c r="S362" s="45" t="str">
        <f>CONFERENCIAS!W362</f>
        <v/>
      </c>
      <c r="T362" s="48">
        <f>IF(Q362="",0,
   IF(E362=1,
      IF(H362="Presencial",
         VLOOKUP(D362,TARIFAS!A:K,3,FALSE) + IF(I362="Sí",VLOOKUP(D362,TARIFAS!A:K,5,FALSE),0),
         VLOOKUP(D362,TARIFAS!A:K,4,FALSE) + IF(I362="Sí",VLOOKUP(D362,TARIFAS!A:K,5,FALSE),0)
      ),
      IF(H362="Presencial",
         VLOOKUP(D362,TARIFAS!A:K,9,FALSE) + IF(I362="Sí",VLOOKUP(D362,TARIFAS!A:K,11,FALSE),0),
         VLOOKUP(D362,TARIFAS!A:K,10,FALSE) + IF(I362="Sí",VLOOKUP(D362,TARIFAS!A:K,11,FALSE),0)
      )
   )
)
</f>
        <v>0</v>
      </c>
      <c r="U362" s="45">
        <f>IF(R362="",0,MAX(0,R362 - TARIFAS!G$2) * TARIFAS!F$2)
</f>
        <v>0</v>
      </c>
      <c r="V362" s="45">
        <f>+T362*TARIFAS!$K$2</f>
        <v>0</v>
      </c>
      <c r="W362" s="45">
        <f t="shared" si="2"/>
        <v>0</v>
      </c>
      <c r="X362" s="45">
        <f t="shared" si="3"/>
        <v>0</v>
      </c>
      <c r="Y362" s="45">
        <f t="shared" si="4"/>
        <v>0</v>
      </c>
      <c r="Z362" s="42" t="str">
        <f>CONFERENCIAS!AB362</f>
        <v/>
      </c>
      <c r="AA362" s="42" t="str">
        <f>CONFERENCIAS!AC362</f>
        <v/>
      </c>
      <c r="AB362" s="47" t="str">
        <f t="shared" si="5"/>
        <v/>
      </c>
      <c r="AC362" s="9" t="str">
        <f t="shared" si="6"/>
        <v/>
      </c>
    </row>
    <row r="363">
      <c r="A363" s="42" t="str">
        <f>CONFERENCIAS!A363</f>
        <v/>
      </c>
      <c r="D363" s="42" t="str">
        <f>CONFERENCIAS!C363</f>
        <v/>
      </c>
      <c r="E363" s="42" t="str">
        <f>CONFERENCIAS!K363</f>
        <v/>
      </c>
      <c r="F363" s="49" t="str">
        <f>CONFERENCIAS!J363</f>
        <v/>
      </c>
      <c r="G363" s="42" t="str">
        <f>CONFERENCIAS!O363</f>
        <v/>
      </c>
      <c r="H363" s="42" t="str">
        <f>CONFERENCIAS!X363</f>
        <v/>
      </c>
      <c r="I363" s="42" t="str">
        <f>CONFERENCIAS!AA363</f>
        <v/>
      </c>
      <c r="J363" s="44" t="str">
        <f>CONFERENCIAS!P363</f>
        <v/>
      </c>
      <c r="K363" s="45" t="str">
        <f>CONFERENCIAS!R363</f>
        <v/>
      </c>
      <c r="L363" s="45">
        <f>IF(D363="",0,
 IF(E363=1,
   IF(H363="Presencial",
      VLOOKUP(D363,TARIFAS!A:K,3,FALSE) + IF(I363="Sí",VLOOKUP(D363,TARIFAS!A:K,5,FALSE),0),
      VLOOKUP(D363,TARIFAS!A:K,4,FALSE) + IF(I363="Sí",VLOOKUP(D363,TARIFAS!A:K,5,FALSE),0)
   ),
   IF(H363="Presencial",
      VLOOKUP(D363,TARIFAS!A:K,9,FALSE) + IF(I363="Sí",VLOOKUP(D363,TARIFAS!A:K,11,FALSE),0),
      VLOOKUP(D363,TARIFAS!A:K,10,FALSE) + IF(I363="Sí",VLOOKUP(D363,TARIFAS!A:K,11,FALSE),0)
   )
 )
)
</f>
        <v>0</v>
      </c>
      <c r="M363" s="45">
        <f>IF(J363="",0,MAX(0,J363 - TARIFAS!G$2) * TARIFAS!F$2)
</f>
        <v>0</v>
      </c>
      <c r="N363" s="45">
        <f>+L363*TARIFAS!$K$2</f>
        <v>0</v>
      </c>
      <c r="O363" s="45">
        <f t="shared" si="1"/>
        <v>0</v>
      </c>
      <c r="P363" s="45">
        <f>+M363+O363+K363+(+I363-(I363*TARIFAS!$K$2))</f>
        <v>0</v>
      </c>
      <c r="Q363" s="42" t="str">
        <f>CONFERENCIAS!T363</f>
        <v/>
      </c>
      <c r="R363" s="45" t="str">
        <f>CONFERENCIAS!U363</f>
        <v/>
      </c>
      <c r="S363" s="45" t="str">
        <f>CONFERENCIAS!W363</f>
        <v/>
      </c>
      <c r="T363" s="48">
        <f>IF(Q363="",0,
   IF(E363=1,
      IF(H363="Presencial",
         VLOOKUP(D363,TARIFAS!A:K,3,FALSE) + IF(I363="Sí",VLOOKUP(D363,TARIFAS!A:K,5,FALSE),0),
         VLOOKUP(D363,TARIFAS!A:K,4,FALSE) + IF(I363="Sí",VLOOKUP(D363,TARIFAS!A:K,5,FALSE),0)
      ),
      IF(H363="Presencial",
         VLOOKUP(D363,TARIFAS!A:K,9,FALSE) + IF(I363="Sí",VLOOKUP(D363,TARIFAS!A:K,11,FALSE),0),
         VLOOKUP(D363,TARIFAS!A:K,10,FALSE) + IF(I363="Sí",VLOOKUP(D363,TARIFAS!A:K,11,FALSE),0)
      )
   )
)
</f>
        <v>0</v>
      </c>
      <c r="U363" s="45">
        <f>IF(R363="",0,MAX(0,R363 - TARIFAS!G$2) * TARIFAS!F$2)
</f>
        <v>0</v>
      </c>
      <c r="V363" s="45">
        <f>+T363*TARIFAS!$K$2</f>
        <v>0</v>
      </c>
      <c r="W363" s="45">
        <f t="shared" si="2"/>
        <v>0</v>
      </c>
      <c r="X363" s="45">
        <f t="shared" si="3"/>
        <v>0</v>
      </c>
      <c r="Y363" s="45">
        <f t="shared" si="4"/>
        <v>0</v>
      </c>
      <c r="Z363" s="42" t="str">
        <f>CONFERENCIAS!AB363</f>
        <v/>
      </c>
      <c r="AA363" s="42" t="str">
        <f>CONFERENCIAS!AC363</f>
        <v/>
      </c>
      <c r="AB363" s="47" t="str">
        <f t="shared" si="5"/>
        <v/>
      </c>
      <c r="AC363" s="9" t="str">
        <f t="shared" si="6"/>
        <v/>
      </c>
    </row>
    <row r="364">
      <c r="A364" s="42" t="str">
        <f>CONFERENCIAS!A364</f>
        <v/>
      </c>
      <c r="D364" s="42" t="str">
        <f>CONFERENCIAS!C364</f>
        <v/>
      </c>
      <c r="E364" s="42" t="str">
        <f>CONFERENCIAS!K364</f>
        <v/>
      </c>
      <c r="F364" s="49" t="str">
        <f>CONFERENCIAS!J364</f>
        <v/>
      </c>
      <c r="G364" s="42" t="str">
        <f>CONFERENCIAS!O364</f>
        <v/>
      </c>
      <c r="H364" s="42" t="str">
        <f>CONFERENCIAS!X364</f>
        <v/>
      </c>
      <c r="I364" s="42" t="str">
        <f>CONFERENCIAS!AA364</f>
        <v/>
      </c>
      <c r="J364" s="44" t="str">
        <f>CONFERENCIAS!P364</f>
        <v/>
      </c>
      <c r="K364" s="45" t="str">
        <f>CONFERENCIAS!R364</f>
        <v/>
      </c>
      <c r="L364" s="45">
        <f>IF(D364="",0,
 IF(E364=1,
   IF(H364="Presencial",
      VLOOKUP(D364,TARIFAS!A:K,3,FALSE) + IF(I364="Sí",VLOOKUP(D364,TARIFAS!A:K,5,FALSE),0),
      VLOOKUP(D364,TARIFAS!A:K,4,FALSE) + IF(I364="Sí",VLOOKUP(D364,TARIFAS!A:K,5,FALSE),0)
   ),
   IF(H364="Presencial",
      VLOOKUP(D364,TARIFAS!A:K,9,FALSE) + IF(I364="Sí",VLOOKUP(D364,TARIFAS!A:K,11,FALSE),0),
      VLOOKUP(D364,TARIFAS!A:K,10,FALSE) + IF(I364="Sí",VLOOKUP(D364,TARIFAS!A:K,11,FALSE),0)
   )
 )
)
</f>
        <v>0</v>
      </c>
      <c r="M364" s="45">
        <f>IF(J364="",0,MAX(0,J364 - TARIFAS!G$2) * TARIFAS!F$2)
</f>
        <v>0</v>
      </c>
      <c r="N364" s="45">
        <f>+L364*TARIFAS!$K$2</f>
        <v>0</v>
      </c>
      <c r="O364" s="45">
        <f t="shared" si="1"/>
        <v>0</v>
      </c>
      <c r="P364" s="45">
        <f>+M364+O364+K364+(+I364-(I364*TARIFAS!$K$2))</f>
        <v>0</v>
      </c>
      <c r="Q364" s="42" t="str">
        <f>CONFERENCIAS!T364</f>
        <v/>
      </c>
      <c r="R364" s="45" t="str">
        <f>CONFERENCIAS!U364</f>
        <v/>
      </c>
      <c r="S364" s="45" t="str">
        <f>CONFERENCIAS!W364</f>
        <v/>
      </c>
      <c r="T364" s="48">
        <f>IF(Q364="",0,
   IF(E364=1,
      IF(H364="Presencial",
         VLOOKUP(D364,TARIFAS!A:K,3,FALSE) + IF(I364="Sí",VLOOKUP(D364,TARIFAS!A:K,5,FALSE),0),
         VLOOKUP(D364,TARIFAS!A:K,4,FALSE) + IF(I364="Sí",VLOOKUP(D364,TARIFAS!A:K,5,FALSE),0)
      ),
      IF(H364="Presencial",
         VLOOKUP(D364,TARIFAS!A:K,9,FALSE) + IF(I364="Sí",VLOOKUP(D364,TARIFAS!A:K,11,FALSE),0),
         VLOOKUP(D364,TARIFAS!A:K,10,FALSE) + IF(I364="Sí",VLOOKUP(D364,TARIFAS!A:K,11,FALSE),0)
      )
   )
)
</f>
        <v>0</v>
      </c>
      <c r="U364" s="45">
        <f>IF(R364="",0,MAX(0,R364 - TARIFAS!G$2) * TARIFAS!F$2)
</f>
        <v>0</v>
      </c>
      <c r="V364" s="45">
        <f>+T364*TARIFAS!$K$2</f>
        <v>0</v>
      </c>
      <c r="W364" s="45">
        <f t="shared" si="2"/>
        <v>0</v>
      </c>
      <c r="X364" s="45">
        <f t="shared" si="3"/>
        <v>0</v>
      </c>
      <c r="Y364" s="45">
        <f t="shared" si="4"/>
        <v>0</v>
      </c>
      <c r="Z364" s="42" t="str">
        <f>CONFERENCIAS!AB364</f>
        <v/>
      </c>
      <c r="AA364" s="42" t="str">
        <f>CONFERENCIAS!AC364</f>
        <v/>
      </c>
      <c r="AB364" s="47" t="str">
        <f t="shared" si="5"/>
        <v/>
      </c>
      <c r="AC364" s="9" t="str">
        <f t="shared" si="6"/>
        <v/>
      </c>
    </row>
    <row r="365">
      <c r="A365" s="42" t="str">
        <f>CONFERENCIAS!A365</f>
        <v/>
      </c>
      <c r="D365" s="42" t="str">
        <f>CONFERENCIAS!C365</f>
        <v/>
      </c>
      <c r="E365" s="42" t="str">
        <f>CONFERENCIAS!K365</f>
        <v/>
      </c>
      <c r="F365" s="49" t="str">
        <f>CONFERENCIAS!J365</f>
        <v/>
      </c>
      <c r="G365" s="42" t="str">
        <f>CONFERENCIAS!O365</f>
        <v/>
      </c>
      <c r="H365" s="42" t="str">
        <f>CONFERENCIAS!X365</f>
        <v/>
      </c>
      <c r="I365" s="42" t="str">
        <f>CONFERENCIAS!AA365</f>
        <v/>
      </c>
      <c r="J365" s="44" t="str">
        <f>CONFERENCIAS!P365</f>
        <v/>
      </c>
      <c r="K365" s="45" t="str">
        <f>CONFERENCIAS!R365</f>
        <v/>
      </c>
      <c r="L365" s="45">
        <f>IF(D365="",0,
 IF(E365=1,
   IF(H365="Presencial",
      VLOOKUP(D365,TARIFAS!A:K,3,FALSE) + IF(I365="Sí",VLOOKUP(D365,TARIFAS!A:K,5,FALSE),0),
      VLOOKUP(D365,TARIFAS!A:K,4,FALSE) + IF(I365="Sí",VLOOKUP(D365,TARIFAS!A:K,5,FALSE),0)
   ),
   IF(H365="Presencial",
      VLOOKUP(D365,TARIFAS!A:K,9,FALSE) + IF(I365="Sí",VLOOKUP(D365,TARIFAS!A:K,11,FALSE),0),
      VLOOKUP(D365,TARIFAS!A:K,10,FALSE) + IF(I365="Sí",VLOOKUP(D365,TARIFAS!A:K,11,FALSE),0)
   )
 )
)
</f>
        <v>0</v>
      </c>
      <c r="M365" s="45">
        <f>IF(J365="",0,MAX(0,J365 - TARIFAS!G$2) * TARIFAS!F$2)
</f>
        <v>0</v>
      </c>
      <c r="N365" s="45">
        <f>+L365*TARIFAS!$K$2</f>
        <v>0</v>
      </c>
      <c r="O365" s="45">
        <f t="shared" si="1"/>
        <v>0</v>
      </c>
      <c r="P365" s="45">
        <f>+M365+O365+K365+(+I365-(I365*TARIFAS!$K$2))</f>
        <v>0</v>
      </c>
      <c r="Q365" s="42" t="str">
        <f>CONFERENCIAS!T365</f>
        <v/>
      </c>
      <c r="R365" s="45" t="str">
        <f>CONFERENCIAS!U365</f>
        <v/>
      </c>
      <c r="S365" s="45" t="str">
        <f>CONFERENCIAS!W365</f>
        <v/>
      </c>
      <c r="T365" s="48">
        <f>IF(Q365="",0,
   IF(E365=1,
      IF(H365="Presencial",
         VLOOKUP(D365,TARIFAS!A:K,3,FALSE) + IF(I365="Sí",VLOOKUP(D365,TARIFAS!A:K,5,FALSE),0),
         VLOOKUP(D365,TARIFAS!A:K,4,FALSE) + IF(I365="Sí",VLOOKUP(D365,TARIFAS!A:K,5,FALSE),0)
      ),
      IF(H365="Presencial",
         VLOOKUP(D365,TARIFAS!A:K,9,FALSE) + IF(I365="Sí",VLOOKUP(D365,TARIFAS!A:K,11,FALSE),0),
         VLOOKUP(D365,TARIFAS!A:K,10,FALSE) + IF(I365="Sí",VLOOKUP(D365,TARIFAS!A:K,11,FALSE),0)
      )
   )
)
</f>
        <v>0</v>
      </c>
      <c r="U365" s="45">
        <f>IF(R365="",0,MAX(0,R365 - TARIFAS!G$2) * TARIFAS!F$2)
</f>
        <v>0</v>
      </c>
      <c r="V365" s="45">
        <f>+T365*TARIFAS!$K$2</f>
        <v>0</v>
      </c>
      <c r="W365" s="45">
        <f t="shared" si="2"/>
        <v>0</v>
      </c>
      <c r="X365" s="45">
        <f t="shared" si="3"/>
        <v>0</v>
      </c>
      <c r="Y365" s="45">
        <f t="shared" si="4"/>
        <v>0</v>
      </c>
      <c r="Z365" s="42" t="str">
        <f>CONFERENCIAS!AB365</f>
        <v/>
      </c>
      <c r="AA365" s="42" t="str">
        <f>CONFERENCIAS!AC365</f>
        <v/>
      </c>
      <c r="AB365" s="47" t="str">
        <f t="shared" si="5"/>
        <v/>
      </c>
      <c r="AC365" s="9" t="str">
        <f t="shared" si="6"/>
        <v/>
      </c>
    </row>
    <row r="366">
      <c r="A366" s="42" t="str">
        <f>CONFERENCIAS!A366</f>
        <v/>
      </c>
      <c r="D366" s="42" t="str">
        <f>CONFERENCIAS!C366</f>
        <v/>
      </c>
      <c r="E366" s="42" t="str">
        <f>CONFERENCIAS!K366</f>
        <v/>
      </c>
      <c r="F366" s="49" t="str">
        <f>CONFERENCIAS!J366</f>
        <v/>
      </c>
      <c r="G366" s="42" t="str">
        <f>CONFERENCIAS!O366</f>
        <v/>
      </c>
      <c r="H366" s="42" t="str">
        <f>CONFERENCIAS!X366</f>
        <v/>
      </c>
      <c r="I366" s="42" t="str">
        <f>CONFERENCIAS!AA366</f>
        <v/>
      </c>
      <c r="J366" s="44" t="str">
        <f>CONFERENCIAS!P366</f>
        <v/>
      </c>
      <c r="K366" s="45" t="str">
        <f>CONFERENCIAS!R366</f>
        <v/>
      </c>
      <c r="L366" s="45">
        <f>IF(D366="",0,
 IF(E366=1,
   IF(H366="Presencial",
      VLOOKUP(D366,TARIFAS!A:K,3,FALSE) + IF(I366="Sí",VLOOKUP(D366,TARIFAS!A:K,5,FALSE),0),
      VLOOKUP(D366,TARIFAS!A:K,4,FALSE) + IF(I366="Sí",VLOOKUP(D366,TARIFAS!A:K,5,FALSE),0)
   ),
   IF(H366="Presencial",
      VLOOKUP(D366,TARIFAS!A:K,9,FALSE) + IF(I366="Sí",VLOOKUP(D366,TARIFAS!A:K,11,FALSE),0),
      VLOOKUP(D366,TARIFAS!A:K,10,FALSE) + IF(I366="Sí",VLOOKUP(D366,TARIFAS!A:K,11,FALSE),0)
   )
 )
)
</f>
        <v>0</v>
      </c>
      <c r="M366" s="45">
        <f>IF(J366="",0,MAX(0,J366 - TARIFAS!G$2) * TARIFAS!F$2)
</f>
        <v>0</v>
      </c>
      <c r="N366" s="45">
        <f>+L366*TARIFAS!$K$2</f>
        <v>0</v>
      </c>
      <c r="O366" s="45">
        <f t="shared" si="1"/>
        <v>0</v>
      </c>
      <c r="P366" s="45">
        <f>+M366+O366+K366+(+I366-(I366*TARIFAS!$K$2))</f>
        <v>0</v>
      </c>
      <c r="Q366" s="42" t="str">
        <f>CONFERENCIAS!T366</f>
        <v/>
      </c>
      <c r="R366" s="45" t="str">
        <f>CONFERENCIAS!U366</f>
        <v/>
      </c>
      <c r="S366" s="45" t="str">
        <f>CONFERENCIAS!W366</f>
        <v/>
      </c>
      <c r="T366" s="48">
        <f>IF(Q366="",0,
   IF(E366=1,
      IF(H366="Presencial",
         VLOOKUP(D366,TARIFAS!A:K,3,FALSE) + IF(I366="Sí",VLOOKUP(D366,TARIFAS!A:K,5,FALSE),0),
         VLOOKUP(D366,TARIFAS!A:K,4,FALSE) + IF(I366="Sí",VLOOKUP(D366,TARIFAS!A:K,5,FALSE),0)
      ),
      IF(H366="Presencial",
         VLOOKUP(D366,TARIFAS!A:K,9,FALSE) + IF(I366="Sí",VLOOKUP(D366,TARIFAS!A:K,11,FALSE),0),
         VLOOKUP(D366,TARIFAS!A:K,10,FALSE) + IF(I366="Sí",VLOOKUP(D366,TARIFAS!A:K,11,FALSE),0)
      )
   )
)
</f>
        <v>0</v>
      </c>
      <c r="U366" s="45">
        <f>IF(R366="",0,MAX(0,R366 - TARIFAS!G$2) * TARIFAS!F$2)
</f>
        <v>0</v>
      </c>
      <c r="V366" s="45">
        <f>+T366*TARIFAS!$K$2</f>
        <v>0</v>
      </c>
      <c r="W366" s="45">
        <f t="shared" si="2"/>
        <v>0</v>
      </c>
      <c r="X366" s="45">
        <f t="shared" si="3"/>
        <v>0</v>
      </c>
      <c r="Y366" s="45">
        <f t="shared" si="4"/>
        <v>0</v>
      </c>
      <c r="Z366" s="42" t="str">
        <f>CONFERENCIAS!AB366</f>
        <v/>
      </c>
      <c r="AA366" s="42" t="str">
        <f>CONFERENCIAS!AC366</f>
        <v/>
      </c>
      <c r="AB366" s="47" t="str">
        <f t="shared" si="5"/>
        <v/>
      </c>
      <c r="AC366" s="9" t="str">
        <f t="shared" si="6"/>
        <v/>
      </c>
    </row>
    <row r="367">
      <c r="A367" s="42" t="str">
        <f>CONFERENCIAS!A367</f>
        <v/>
      </c>
      <c r="D367" s="42" t="str">
        <f>CONFERENCIAS!C367</f>
        <v/>
      </c>
      <c r="E367" s="42" t="str">
        <f>CONFERENCIAS!K367</f>
        <v/>
      </c>
      <c r="F367" s="49" t="str">
        <f>CONFERENCIAS!J367</f>
        <v/>
      </c>
      <c r="G367" s="42" t="str">
        <f>CONFERENCIAS!O367</f>
        <v/>
      </c>
      <c r="H367" s="42" t="str">
        <f>CONFERENCIAS!X367</f>
        <v/>
      </c>
      <c r="I367" s="42" t="str">
        <f>CONFERENCIAS!AA367</f>
        <v/>
      </c>
      <c r="J367" s="44" t="str">
        <f>CONFERENCIAS!P367</f>
        <v/>
      </c>
      <c r="K367" s="45" t="str">
        <f>CONFERENCIAS!R367</f>
        <v/>
      </c>
      <c r="L367" s="45">
        <f>IF(D367="",0,
 IF(E367=1,
   IF(H367="Presencial",
      VLOOKUP(D367,TARIFAS!A:K,3,FALSE) + IF(I367="Sí",VLOOKUP(D367,TARIFAS!A:K,5,FALSE),0),
      VLOOKUP(D367,TARIFAS!A:K,4,FALSE) + IF(I367="Sí",VLOOKUP(D367,TARIFAS!A:K,5,FALSE),0)
   ),
   IF(H367="Presencial",
      VLOOKUP(D367,TARIFAS!A:K,9,FALSE) + IF(I367="Sí",VLOOKUP(D367,TARIFAS!A:K,11,FALSE),0),
      VLOOKUP(D367,TARIFAS!A:K,10,FALSE) + IF(I367="Sí",VLOOKUP(D367,TARIFAS!A:K,11,FALSE),0)
   )
 )
)
</f>
        <v>0</v>
      </c>
      <c r="M367" s="45">
        <f>IF(J367="",0,MAX(0,J367 - TARIFAS!G$2) * TARIFAS!F$2)
</f>
        <v>0</v>
      </c>
      <c r="N367" s="45">
        <f>+L367*TARIFAS!$K$2</f>
        <v>0</v>
      </c>
      <c r="O367" s="45">
        <f t="shared" si="1"/>
        <v>0</v>
      </c>
      <c r="P367" s="45">
        <f>+M367+O367+K367+(+I367-(I367*TARIFAS!$K$2))</f>
        <v>0</v>
      </c>
      <c r="Q367" s="42" t="str">
        <f>CONFERENCIAS!T367</f>
        <v/>
      </c>
      <c r="R367" s="45" t="str">
        <f>CONFERENCIAS!U367</f>
        <v/>
      </c>
      <c r="S367" s="45" t="str">
        <f>CONFERENCIAS!W367</f>
        <v/>
      </c>
      <c r="T367" s="48">
        <f>IF(Q367="",0,
   IF(E367=1,
      IF(H367="Presencial",
         VLOOKUP(D367,TARIFAS!A:K,3,FALSE) + IF(I367="Sí",VLOOKUP(D367,TARIFAS!A:K,5,FALSE),0),
         VLOOKUP(D367,TARIFAS!A:K,4,FALSE) + IF(I367="Sí",VLOOKUP(D367,TARIFAS!A:K,5,FALSE),0)
      ),
      IF(H367="Presencial",
         VLOOKUP(D367,TARIFAS!A:K,9,FALSE) + IF(I367="Sí",VLOOKUP(D367,TARIFAS!A:K,11,FALSE),0),
         VLOOKUP(D367,TARIFAS!A:K,10,FALSE) + IF(I367="Sí",VLOOKUP(D367,TARIFAS!A:K,11,FALSE),0)
      )
   )
)
</f>
        <v>0</v>
      </c>
      <c r="U367" s="45">
        <f>IF(R367="",0,MAX(0,R367 - TARIFAS!G$2) * TARIFAS!F$2)
</f>
        <v>0</v>
      </c>
      <c r="V367" s="45">
        <f>+T367*TARIFAS!$K$2</f>
        <v>0</v>
      </c>
      <c r="W367" s="45">
        <f t="shared" si="2"/>
        <v>0</v>
      </c>
      <c r="X367" s="45">
        <f t="shared" si="3"/>
        <v>0</v>
      </c>
      <c r="Y367" s="45">
        <f t="shared" si="4"/>
        <v>0</v>
      </c>
      <c r="Z367" s="42" t="str">
        <f>CONFERENCIAS!AB367</f>
        <v/>
      </c>
      <c r="AA367" s="42" t="str">
        <f>CONFERENCIAS!AC367</f>
        <v/>
      </c>
      <c r="AB367" s="47" t="str">
        <f t="shared" si="5"/>
        <v/>
      </c>
      <c r="AC367" s="9" t="str">
        <f t="shared" si="6"/>
        <v/>
      </c>
    </row>
    <row r="368">
      <c r="A368" s="42" t="str">
        <f>CONFERENCIAS!A368</f>
        <v/>
      </c>
      <c r="D368" s="42" t="str">
        <f>CONFERENCIAS!C368</f>
        <v/>
      </c>
      <c r="E368" s="42" t="str">
        <f>CONFERENCIAS!K368</f>
        <v/>
      </c>
      <c r="F368" s="49" t="str">
        <f>CONFERENCIAS!J368</f>
        <v/>
      </c>
      <c r="G368" s="42" t="str">
        <f>CONFERENCIAS!O368</f>
        <v/>
      </c>
      <c r="H368" s="42" t="str">
        <f>CONFERENCIAS!X368</f>
        <v/>
      </c>
      <c r="I368" s="42" t="str">
        <f>CONFERENCIAS!AA368</f>
        <v/>
      </c>
      <c r="J368" s="44" t="str">
        <f>CONFERENCIAS!P368</f>
        <v/>
      </c>
      <c r="K368" s="45" t="str">
        <f>CONFERENCIAS!R368</f>
        <v/>
      </c>
      <c r="L368" s="45">
        <f>IF(D368="",0,
 IF(E368=1,
   IF(H368="Presencial",
      VLOOKUP(D368,TARIFAS!A:K,3,FALSE) + IF(I368="Sí",VLOOKUP(D368,TARIFAS!A:K,5,FALSE),0),
      VLOOKUP(D368,TARIFAS!A:K,4,FALSE) + IF(I368="Sí",VLOOKUP(D368,TARIFAS!A:K,5,FALSE),0)
   ),
   IF(H368="Presencial",
      VLOOKUP(D368,TARIFAS!A:K,9,FALSE) + IF(I368="Sí",VLOOKUP(D368,TARIFAS!A:K,11,FALSE),0),
      VLOOKUP(D368,TARIFAS!A:K,10,FALSE) + IF(I368="Sí",VLOOKUP(D368,TARIFAS!A:K,11,FALSE),0)
   )
 )
)
</f>
        <v>0</v>
      </c>
      <c r="M368" s="45">
        <f>IF(J368="",0,MAX(0,J368 - TARIFAS!G$2) * TARIFAS!F$2)
</f>
        <v>0</v>
      </c>
      <c r="N368" s="45">
        <f>+L368*TARIFAS!$K$2</f>
        <v>0</v>
      </c>
      <c r="O368" s="45">
        <f t="shared" si="1"/>
        <v>0</v>
      </c>
      <c r="P368" s="45">
        <f>+M368+O368+K368+(+I368-(I368*TARIFAS!$K$2))</f>
        <v>0</v>
      </c>
      <c r="Q368" s="42" t="str">
        <f>CONFERENCIAS!T368</f>
        <v/>
      </c>
      <c r="R368" s="45" t="str">
        <f>CONFERENCIAS!U368</f>
        <v/>
      </c>
      <c r="S368" s="45" t="str">
        <f>CONFERENCIAS!W368</f>
        <v/>
      </c>
      <c r="T368" s="48">
        <f>IF(Q368="",0,
   IF(E368=1,
      IF(H368="Presencial",
         VLOOKUP(D368,TARIFAS!A:K,3,FALSE) + IF(I368="Sí",VLOOKUP(D368,TARIFAS!A:K,5,FALSE),0),
         VLOOKUP(D368,TARIFAS!A:K,4,FALSE) + IF(I368="Sí",VLOOKUP(D368,TARIFAS!A:K,5,FALSE),0)
      ),
      IF(H368="Presencial",
         VLOOKUP(D368,TARIFAS!A:K,9,FALSE) + IF(I368="Sí",VLOOKUP(D368,TARIFAS!A:K,11,FALSE),0),
         VLOOKUP(D368,TARIFAS!A:K,10,FALSE) + IF(I368="Sí",VLOOKUP(D368,TARIFAS!A:K,11,FALSE),0)
      )
   )
)
</f>
        <v>0</v>
      </c>
      <c r="U368" s="45">
        <f>IF(R368="",0,MAX(0,R368 - TARIFAS!G$2) * TARIFAS!F$2)
</f>
        <v>0</v>
      </c>
      <c r="V368" s="45">
        <f>+T368*TARIFAS!$K$2</f>
        <v>0</v>
      </c>
      <c r="W368" s="45">
        <f t="shared" si="2"/>
        <v>0</v>
      </c>
      <c r="X368" s="45">
        <f t="shared" si="3"/>
        <v>0</v>
      </c>
      <c r="Y368" s="45">
        <f t="shared" si="4"/>
        <v>0</v>
      </c>
      <c r="Z368" s="42" t="str">
        <f>CONFERENCIAS!AB368</f>
        <v/>
      </c>
      <c r="AA368" s="42" t="str">
        <f>CONFERENCIAS!AC368</f>
        <v/>
      </c>
      <c r="AB368" s="47" t="str">
        <f t="shared" si="5"/>
        <v/>
      </c>
      <c r="AC368" s="9" t="str">
        <f t="shared" si="6"/>
        <v/>
      </c>
    </row>
    <row r="369">
      <c r="A369" s="42" t="str">
        <f>CONFERENCIAS!A369</f>
        <v/>
      </c>
      <c r="D369" s="42" t="str">
        <f>CONFERENCIAS!C369</f>
        <v/>
      </c>
      <c r="E369" s="42" t="str">
        <f>CONFERENCIAS!K369</f>
        <v/>
      </c>
      <c r="F369" s="49" t="str">
        <f>CONFERENCIAS!J369</f>
        <v/>
      </c>
      <c r="G369" s="42" t="str">
        <f>CONFERENCIAS!O369</f>
        <v/>
      </c>
      <c r="H369" s="42" t="str">
        <f>CONFERENCIAS!X369</f>
        <v/>
      </c>
      <c r="I369" s="42" t="str">
        <f>CONFERENCIAS!AA369</f>
        <v/>
      </c>
      <c r="J369" s="44" t="str">
        <f>CONFERENCIAS!P369</f>
        <v/>
      </c>
      <c r="K369" s="45" t="str">
        <f>CONFERENCIAS!R369</f>
        <v/>
      </c>
      <c r="L369" s="45">
        <f>IF(D369="",0,
 IF(E369=1,
   IF(H369="Presencial",
      VLOOKUP(D369,TARIFAS!A:K,3,FALSE) + IF(I369="Sí",VLOOKUP(D369,TARIFAS!A:K,5,FALSE),0),
      VLOOKUP(D369,TARIFAS!A:K,4,FALSE) + IF(I369="Sí",VLOOKUP(D369,TARIFAS!A:K,5,FALSE),0)
   ),
   IF(H369="Presencial",
      VLOOKUP(D369,TARIFAS!A:K,9,FALSE) + IF(I369="Sí",VLOOKUP(D369,TARIFAS!A:K,11,FALSE),0),
      VLOOKUP(D369,TARIFAS!A:K,10,FALSE) + IF(I369="Sí",VLOOKUP(D369,TARIFAS!A:K,11,FALSE),0)
   )
 )
)
</f>
        <v>0</v>
      </c>
      <c r="M369" s="45">
        <f>IF(J369="",0,MAX(0,J369 - TARIFAS!G$2) * TARIFAS!F$2)
</f>
        <v>0</v>
      </c>
      <c r="N369" s="45">
        <f>+L369*TARIFAS!$K$2</f>
        <v>0</v>
      </c>
      <c r="O369" s="45">
        <f t="shared" si="1"/>
        <v>0</v>
      </c>
      <c r="P369" s="45">
        <f>+M369+O369+K369+(+I369-(I369*TARIFAS!$K$2))</f>
        <v>0</v>
      </c>
      <c r="Q369" s="42" t="str">
        <f>CONFERENCIAS!T369</f>
        <v/>
      </c>
      <c r="R369" s="45" t="str">
        <f>CONFERENCIAS!U369</f>
        <v/>
      </c>
      <c r="S369" s="45" t="str">
        <f>CONFERENCIAS!W369</f>
        <v/>
      </c>
      <c r="T369" s="48">
        <f>IF(Q369="",0,
   IF(E369=1,
      IF(H369="Presencial",
         VLOOKUP(D369,TARIFAS!A:K,3,FALSE) + IF(I369="Sí",VLOOKUP(D369,TARIFAS!A:K,5,FALSE),0),
         VLOOKUP(D369,TARIFAS!A:K,4,FALSE) + IF(I369="Sí",VLOOKUP(D369,TARIFAS!A:K,5,FALSE),0)
      ),
      IF(H369="Presencial",
         VLOOKUP(D369,TARIFAS!A:K,9,FALSE) + IF(I369="Sí",VLOOKUP(D369,TARIFAS!A:K,11,FALSE),0),
         VLOOKUP(D369,TARIFAS!A:K,10,FALSE) + IF(I369="Sí",VLOOKUP(D369,TARIFAS!A:K,11,FALSE),0)
      )
   )
)
</f>
        <v>0</v>
      </c>
      <c r="U369" s="45">
        <f>IF(R369="",0,MAX(0,R369 - TARIFAS!G$2) * TARIFAS!F$2)
</f>
        <v>0</v>
      </c>
      <c r="V369" s="45">
        <f>+T369*TARIFAS!$K$2</f>
        <v>0</v>
      </c>
      <c r="W369" s="45">
        <f t="shared" si="2"/>
        <v>0</v>
      </c>
      <c r="X369" s="45">
        <f t="shared" si="3"/>
        <v>0</v>
      </c>
      <c r="Y369" s="45">
        <f t="shared" si="4"/>
        <v>0</v>
      </c>
      <c r="Z369" s="42" t="str">
        <f>CONFERENCIAS!AB369</f>
        <v/>
      </c>
      <c r="AA369" s="42" t="str">
        <f>CONFERENCIAS!AC369</f>
        <v/>
      </c>
      <c r="AB369" s="47" t="str">
        <f t="shared" si="5"/>
        <v/>
      </c>
      <c r="AC369" s="9" t="str">
        <f t="shared" si="6"/>
        <v/>
      </c>
    </row>
    <row r="370">
      <c r="A370" s="42" t="str">
        <f>CONFERENCIAS!A370</f>
        <v/>
      </c>
      <c r="D370" s="42" t="str">
        <f>CONFERENCIAS!C370</f>
        <v/>
      </c>
      <c r="E370" s="42" t="str">
        <f>CONFERENCIAS!K370</f>
        <v/>
      </c>
      <c r="F370" s="49" t="str">
        <f>CONFERENCIAS!J370</f>
        <v/>
      </c>
      <c r="G370" s="42" t="str">
        <f>CONFERENCIAS!O370</f>
        <v/>
      </c>
      <c r="H370" s="42" t="str">
        <f>CONFERENCIAS!X370</f>
        <v/>
      </c>
      <c r="I370" s="42" t="str">
        <f>CONFERENCIAS!AA370</f>
        <v/>
      </c>
      <c r="J370" s="44" t="str">
        <f>CONFERENCIAS!P370</f>
        <v/>
      </c>
      <c r="K370" s="45" t="str">
        <f>CONFERENCIAS!R370</f>
        <v/>
      </c>
      <c r="L370" s="45">
        <f>IF(D370="",0,
 IF(E370=1,
   IF(H370="Presencial",
      VLOOKUP(D370,TARIFAS!A:K,3,FALSE) + IF(I370="Sí",VLOOKUP(D370,TARIFAS!A:K,5,FALSE),0),
      VLOOKUP(D370,TARIFAS!A:K,4,FALSE) + IF(I370="Sí",VLOOKUP(D370,TARIFAS!A:K,5,FALSE),0)
   ),
   IF(H370="Presencial",
      VLOOKUP(D370,TARIFAS!A:K,9,FALSE) + IF(I370="Sí",VLOOKUP(D370,TARIFAS!A:K,11,FALSE),0),
      VLOOKUP(D370,TARIFAS!A:K,10,FALSE) + IF(I370="Sí",VLOOKUP(D370,TARIFAS!A:K,11,FALSE),0)
   )
 )
)
</f>
        <v>0</v>
      </c>
      <c r="M370" s="45">
        <f>IF(J370="",0,MAX(0,J370 - TARIFAS!G$2) * TARIFAS!F$2)
</f>
        <v>0</v>
      </c>
      <c r="N370" s="45">
        <f>+L370*TARIFAS!$K$2</f>
        <v>0</v>
      </c>
      <c r="O370" s="45">
        <f t="shared" si="1"/>
        <v>0</v>
      </c>
      <c r="P370" s="45">
        <f>+M370+O370+K370+(+I370-(I370*TARIFAS!$K$2))</f>
        <v>0</v>
      </c>
      <c r="Q370" s="42" t="str">
        <f>CONFERENCIAS!T370</f>
        <v/>
      </c>
      <c r="R370" s="45" t="str">
        <f>CONFERENCIAS!U370</f>
        <v/>
      </c>
      <c r="S370" s="45" t="str">
        <f>CONFERENCIAS!W370</f>
        <v/>
      </c>
      <c r="T370" s="48">
        <f>IF(Q370="",0,
   IF(E370=1,
      IF(H370="Presencial",
         VLOOKUP(D370,TARIFAS!A:K,3,FALSE) + IF(I370="Sí",VLOOKUP(D370,TARIFAS!A:K,5,FALSE),0),
         VLOOKUP(D370,TARIFAS!A:K,4,FALSE) + IF(I370="Sí",VLOOKUP(D370,TARIFAS!A:K,5,FALSE),0)
      ),
      IF(H370="Presencial",
         VLOOKUP(D370,TARIFAS!A:K,9,FALSE) + IF(I370="Sí",VLOOKUP(D370,TARIFAS!A:K,11,FALSE),0),
         VLOOKUP(D370,TARIFAS!A:K,10,FALSE) + IF(I370="Sí",VLOOKUP(D370,TARIFAS!A:K,11,FALSE),0)
      )
   )
)
</f>
        <v>0</v>
      </c>
      <c r="U370" s="45">
        <f>IF(R370="",0,MAX(0,R370 - TARIFAS!G$2) * TARIFAS!F$2)
</f>
        <v>0</v>
      </c>
      <c r="V370" s="45">
        <f>+T370*TARIFAS!$K$2</f>
        <v>0</v>
      </c>
      <c r="W370" s="45">
        <f t="shared" si="2"/>
        <v>0</v>
      </c>
      <c r="X370" s="45">
        <f t="shared" si="3"/>
        <v>0</v>
      </c>
      <c r="Y370" s="45">
        <f t="shared" si="4"/>
        <v>0</v>
      </c>
      <c r="Z370" s="42" t="str">
        <f>CONFERENCIAS!AB370</f>
        <v/>
      </c>
      <c r="AA370" s="42" t="str">
        <f>CONFERENCIAS!AC370</f>
        <v/>
      </c>
      <c r="AB370" s="47" t="str">
        <f t="shared" si="5"/>
        <v/>
      </c>
      <c r="AC370" s="9" t="str">
        <f t="shared" si="6"/>
        <v/>
      </c>
    </row>
    <row r="371">
      <c r="A371" s="42" t="str">
        <f>CONFERENCIAS!A371</f>
        <v/>
      </c>
      <c r="D371" s="42" t="str">
        <f>CONFERENCIAS!C371</f>
        <v/>
      </c>
      <c r="E371" s="42" t="str">
        <f>CONFERENCIAS!K371</f>
        <v/>
      </c>
      <c r="F371" s="49" t="str">
        <f>CONFERENCIAS!J371</f>
        <v/>
      </c>
      <c r="G371" s="42" t="str">
        <f>CONFERENCIAS!O371</f>
        <v/>
      </c>
      <c r="H371" s="42" t="str">
        <f>CONFERENCIAS!X371</f>
        <v/>
      </c>
      <c r="I371" s="42" t="str">
        <f>CONFERENCIAS!AA371</f>
        <v/>
      </c>
      <c r="J371" s="44" t="str">
        <f>CONFERENCIAS!P371</f>
        <v/>
      </c>
      <c r="K371" s="45" t="str">
        <f>CONFERENCIAS!R371</f>
        <v/>
      </c>
      <c r="L371" s="45">
        <f>IF(D371="",0,
 IF(E371=1,
   IF(H371="Presencial",
      VLOOKUP(D371,TARIFAS!A:K,3,FALSE) + IF(I371="Sí",VLOOKUP(D371,TARIFAS!A:K,5,FALSE),0),
      VLOOKUP(D371,TARIFAS!A:K,4,FALSE) + IF(I371="Sí",VLOOKUP(D371,TARIFAS!A:K,5,FALSE),0)
   ),
   IF(H371="Presencial",
      VLOOKUP(D371,TARIFAS!A:K,9,FALSE) + IF(I371="Sí",VLOOKUP(D371,TARIFAS!A:K,11,FALSE),0),
      VLOOKUP(D371,TARIFAS!A:K,10,FALSE) + IF(I371="Sí",VLOOKUP(D371,TARIFAS!A:K,11,FALSE),0)
   )
 )
)
</f>
        <v>0</v>
      </c>
      <c r="M371" s="45">
        <f>IF(J371="",0,MAX(0,J371 - TARIFAS!G$2) * TARIFAS!F$2)
</f>
        <v>0</v>
      </c>
      <c r="N371" s="45">
        <f>+L371*TARIFAS!$K$2</f>
        <v>0</v>
      </c>
      <c r="O371" s="45">
        <f t="shared" si="1"/>
        <v>0</v>
      </c>
      <c r="P371" s="45">
        <f>+M371+O371+K371+(+I371-(I371*TARIFAS!$K$2))</f>
        <v>0</v>
      </c>
      <c r="Q371" s="42" t="str">
        <f>CONFERENCIAS!T371</f>
        <v/>
      </c>
      <c r="R371" s="45" t="str">
        <f>CONFERENCIAS!U371</f>
        <v/>
      </c>
      <c r="S371" s="45" t="str">
        <f>CONFERENCIAS!W371</f>
        <v/>
      </c>
      <c r="T371" s="48">
        <f>IF(Q371="",0,
   IF(E371=1,
      IF(H371="Presencial",
         VLOOKUP(D371,TARIFAS!A:K,3,FALSE) + IF(I371="Sí",VLOOKUP(D371,TARIFAS!A:K,5,FALSE),0),
         VLOOKUP(D371,TARIFAS!A:K,4,FALSE) + IF(I371="Sí",VLOOKUP(D371,TARIFAS!A:K,5,FALSE),0)
      ),
      IF(H371="Presencial",
         VLOOKUP(D371,TARIFAS!A:K,9,FALSE) + IF(I371="Sí",VLOOKUP(D371,TARIFAS!A:K,11,FALSE),0),
         VLOOKUP(D371,TARIFAS!A:K,10,FALSE) + IF(I371="Sí",VLOOKUP(D371,TARIFAS!A:K,11,FALSE),0)
      )
   )
)
</f>
        <v>0</v>
      </c>
      <c r="U371" s="45">
        <f>IF(R371="",0,MAX(0,R371 - TARIFAS!G$2) * TARIFAS!F$2)
</f>
        <v>0</v>
      </c>
      <c r="V371" s="45">
        <f>+T371*TARIFAS!$K$2</f>
        <v>0</v>
      </c>
      <c r="W371" s="45">
        <f t="shared" si="2"/>
        <v>0</v>
      </c>
      <c r="X371" s="45">
        <f t="shared" si="3"/>
        <v>0</v>
      </c>
      <c r="Y371" s="45">
        <f t="shared" si="4"/>
        <v>0</v>
      </c>
      <c r="Z371" s="42" t="str">
        <f>CONFERENCIAS!AB371</f>
        <v/>
      </c>
      <c r="AA371" s="42" t="str">
        <f>CONFERENCIAS!AC371</f>
        <v/>
      </c>
      <c r="AB371" s="47" t="str">
        <f t="shared" si="5"/>
        <v/>
      </c>
      <c r="AC371" s="9" t="str">
        <f t="shared" si="6"/>
        <v/>
      </c>
    </row>
    <row r="372">
      <c r="A372" s="42" t="str">
        <f>CONFERENCIAS!A372</f>
        <v/>
      </c>
      <c r="D372" s="42" t="str">
        <f>CONFERENCIAS!C372</f>
        <v/>
      </c>
      <c r="E372" s="42" t="str">
        <f>CONFERENCIAS!K372</f>
        <v/>
      </c>
      <c r="F372" s="49" t="str">
        <f>CONFERENCIAS!J372</f>
        <v/>
      </c>
      <c r="G372" s="42" t="str">
        <f>CONFERENCIAS!O372</f>
        <v/>
      </c>
      <c r="H372" s="42" t="str">
        <f>CONFERENCIAS!X372</f>
        <v/>
      </c>
      <c r="I372" s="42" t="str">
        <f>CONFERENCIAS!AA372</f>
        <v/>
      </c>
      <c r="J372" s="44" t="str">
        <f>CONFERENCIAS!P372</f>
        <v/>
      </c>
      <c r="K372" s="45" t="str">
        <f>CONFERENCIAS!R372</f>
        <v/>
      </c>
      <c r="L372" s="45">
        <f>IF(D372="",0,
 IF(E372=1,
   IF(H372="Presencial",
      VLOOKUP(D372,TARIFAS!A:K,3,FALSE) + IF(I372="Sí",VLOOKUP(D372,TARIFAS!A:K,5,FALSE),0),
      VLOOKUP(D372,TARIFAS!A:K,4,FALSE) + IF(I372="Sí",VLOOKUP(D372,TARIFAS!A:K,5,FALSE),0)
   ),
   IF(H372="Presencial",
      VLOOKUP(D372,TARIFAS!A:K,9,FALSE) + IF(I372="Sí",VLOOKUP(D372,TARIFAS!A:K,11,FALSE),0),
      VLOOKUP(D372,TARIFAS!A:K,10,FALSE) + IF(I372="Sí",VLOOKUP(D372,TARIFAS!A:K,11,FALSE),0)
   )
 )
)
</f>
        <v>0</v>
      </c>
      <c r="M372" s="45">
        <f>IF(J372="",0,MAX(0,J372 - TARIFAS!G$2) * TARIFAS!F$2)
</f>
        <v>0</v>
      </c>
      <c r="N372" s="45">
        <f>+L372*TARIFAS!$K$2</f>
        <v>0</v>
      </c>
      <c r="O372" s="45">
        <f t="shared" si="1"/>
        <v>0</v>
      </c>
      <c r="P372" s="45">
        <f>+M372+O372+K372+(+I372-(I372*TARIFAS!$K$2))</f>
        <v>0</v>
      </c>
      <c r="Q372" s="42" t="str">
        <f>CONFERENCIAS!T372</f>
        <v/>
      </c>
      <c r="R372" s="45" t="str">
        <f>CONFERENCIAS!U372</f>
        <v/>
      </c>
      <c r="S372" s="45" t="str">
        <f>CONFERENCIAS!W372</f>
        <v/>
      </c>
      <c r="T372" s="48">
        <f>IF(Q372="",0,
   IF(E372=1,
      IF(H372="Presencial",
         VLOOKUP(D372,TARIFAS!A:K,3,FALSE) + IF(I372="Sí",VLOOKUP(D372,TARIFAS!A:K,5,FALSE),0),
         VLOOKUP(D372,TARIFAS!A:K,4,FALSE) + IF(I372="Sí",VLOOKUP(D372,TARIFAS!A:K,5,FALSE),0)
      ),
      IF(H372="Presencial",
         VLOOKUP(D372,TARIFAS!A:K,9,FALSE) + IF(I372="Sí",VLOOKUP(D372,TARIFAS!A:K,11,FALSE),0),
         VLOOKUP(D372,TARIFAS!A:K,10,FALSE) + IF(I372="Sí",VLOOKUP(D372,TARIFAS!A:K,11,FALSE),0)
      )
   )
)
</f>
        <v>0</v>
      </c>
      <c r="U372" s="45">
        <f>IF(R372="",0,MAX(0,R372 - TARIFAS!G$2) * TARIFAS!F$2)
</f>
        <v>0</v>
      </c>
      <c r="V372" s="45">
        <f>+T372*TARIFAS!$K$2</f>
        <v>0</v>
      </c>
      <c r="W372" s="45">
        <f t="shared" si="2"/>
        <v>0</v>
      </c>
      <c r="X372" s="45">
        <f t="shared" si="3"/>
        <v>0</v>
      </c>
      <c r="Y372" s="45">
        <f t="shared" si="4"/>
        <v>0</v>
      </c>
      <c r="Z372" s="42" t="str">
        <f>CONFERENCIAS!AB372</f>
        <v/>
      </c>
      <c r="AA372" s="42" t="str">
        <f>CONFERENCIAS!AC372</f>
        <v/>
      </c>
      <c r="AB372" s="47" t="str">
        <f t="shared" si="5"/>
        <v/>
      </c>
      <c r="AC372" s="9" t="str">
        <f t="shared" si="6"/>
        <v/>
      </c>
    </row>
    <row r="373">
      <c r="A373" s="42" t="str">
        <f>CONFERENCIAS!A373</f>
        <v/>
      </c>
      <c r="D373" s="42" t="str">
        <f>CONFERENCIAS!C373</f>
        <v/>
      </c>
      <c r="E373" s="42" t="str">
        <f>CONFERENCIAS!K373</f>
        <v/>
      </c>
      <c r="F373" s="49" t="str">
        <f>CONFERENCIAS!J373</f>
        <v/>
      </c>
      <c r="G373" s="42" t="str">
        <f>CONFERENCIAS!O373</f>
        <v/>
      </c>
      <c r="H373" s="42" t="str">
        <f>CONFERENCIAS!X373</f>
        <v/>
      </c>
      <c r="I373" s="42" t="str">
        <f>CONFERENCIAS!AA373</f>
        <v/>
      </c>
      <c r="J373" s="44" t="str">
        <f>CONFERENCIAS!P373</f>
        <v/>
      </c>
      <c r="K373" s="45" t="str">
        <f>CONFERENCIAS!R373</f>
        <v/>
      </c>
      <c r="L373" s="45">
        <f>IF(D373="",0,
 IF(E373=1,
   IF(H373="Presencial",
      VLOOKUP(D373,TARIFAS!A:K,3,FALSE) + IF(I373="Sí",VLOOKUP(D373,TARIFAS!A:K,5,FALSE),0),
      VLOOKUP(D373,TARIFAS!A:K,4,FALSE) + IF(I373="Sí",VLOOKUP(D373,TARIFAS!A:K,5,FALSE),0)
   ),
   IF(H373="Presencial",
      VLOOKUP(D373,TARIFAS!A:K,9,FALSE) + IF(I373="Sí",VLOOKUP(D373,TARIFAS!A:K,11,FALSE),0),
      VLOOKUP(D373,TARIFAS!A:K,10,FALSE) + IF(I373="Sí",VLOOKUP(D373,TARIFAS!A:K,11,FALSE),0)
   )
 )
)
</f>
        <v>0</v>
      </c>
      <c r="M373" s="45">
        <f>IF(J373="",0,MAX(0,J373 - TARIFAS!G$2) * TARIFAS!F$2)
</f>
        <v>0</v>
      </c>
      <c r="N373" s="45">
        <f>+L373*TARIFAS!$K$2</f>
        <v>0</v>
      </c>
      <c r="O373" s="45">
        <f t="shared" si="1"/>
        <v>0</v>
      </c>
      <c r="P373" s="45">
        <f>+M373+O373+K373+(+I373-(I373*TARIFAS!$K$2))</f>
        <v>0</v>
      </c>
      <c r="Q373" s="42" t="str">
        <f>CONFERENCIAS!T373</f>
        <v/>
      </c>
      <c r="R373" s="45" t="str">
        <f>CONFERENCIAS!U373</f>
        <v/>
      </c>
      <c r="S373" s="45" t="str">
        <f>CONFERENCIAS!W373</f>
        <v/>
      </c>
      <c r="T373" s="48">
        <f>IF(Q373="",0,
   IF(E373=1,
      IF(H373="Presencial",
         VLOOKUP(D373,TARIFAS!A:K,3,FALSE) + IF(I373="Sí",VLOOKUP(D373,TARIFAS!A:K,5,FALSE),0),
         VLOOKUP(D373,TARIFAS!A:K,4,FALSE) + IF(I373="Sí",VLOOKUP(D373,TARIFAS!A:K,5,FALSE),0)
      ),
      IF(H373="Presencial",
         VLOOKUP(D373,TARIFAS!A:K,9,FALSE) + IF(I373="Sí",VLOOKUP(D373,TARIFAS!A:K,11,FALSE),0),
         VLOOKUP(D373,TARIFAS!A:K,10,FALSE) + IF(I373="Sí",VLOOKUP(D373,TARIFAS!A:K,11,FALSE),0)
      )
   )
)
</f>
        <v>0</v>
      </c>
      <c r="U373" s="45">
        <f>IF(R373="",0,MAX(0,R373 - TARIFAS!G$2) * TARIFAS!F$2)
</f>
        <v>0</v>
      </c>
      <c r="V373" s="45">
        <f>+T373*TARIFAS!$K$2</f>
        <v>0</v>
      </c>
      <c r="W373" s="45">
        <f t="shared" si="2"/>
        <v>0</v>
      </c>
      <c r="X373" s="45">
        <f t="shared" si="3"/>
        <v>0</v>
      </c>
      <c r="Y373" s="45">
        <f t="shared" si="4"/>
        <v>0</v>
      </c>
      <c r="Z373" s="42" t="str">
        <f>CONFERENCIAS!AB373</f>
        <v/>
      </c>
      <c r="AA373" s="42" t="str">
        <f>CONFERENCIAS!AC373</f>
        <v/>
      </c>
      <c r="AB373" s="47" t="str">
        <f t="shared" si="5"/>
        <v/>
      </c>
      <c r="AC373" s="9" t="str">
        <f t="shared" si="6"/>
        <v/>
      </c>
    </row>
    <row r="374">
      <c r="A374" s="42" t="str">
        <f>CONFERENCIAS!A374</f>
        <v/>
      </c>
      <c r="D374" s="42" t="str">
        <f>CONFERENCIAS!C374</f>
        <v/>
      </c>
      <c r="E374" s="42" t="str">
        <f>CONFERENCIAS!K374</f>
        <v/>
      </c>
      <c r="F374" s="49" t="str">
        <f>CONFERENCIAS!J374</f>
        <v/>
      </c>
      <c r="G374" s="42" t="str">
        <f>CONFERENCIAS!O374</f>
        <v/>
      </c>
      <c r="H374" s="42" t="str">
        <f>CONFERENCIAS!X374</f>
        <v/>
      </c>
      <c r="I374" s="42" t="str">
        <f>CONFERENCIAS!AA374</f>
        <v/>
      </c>
      <c r="J374" s="44" t="str">
        <f>CONFERENCIAS!P374</f>
        <v/>
      </c>
      <c r="K374" s="45" t="str">
        <f>CONFERENCIAS!R374</f>
        <v/>
      </c>
      <c r="L374" s="45">
        <f>IF(D374="",0,
 IF(E374=1,
   IF(H374="Presencial",
      VLOOKUP(D374,TARIFAS!A:K,3,FALSE) + IF(I374="Sí",VLOOKUP(D374,TARIFAS!A:K,5,FALSE),0),
      VLOOKUP(D374,TARIFAS!A:K,4,FALSE) + IF(I374="Sí",VLOOKUP(D374,TARIFAS!A:K,5,FALSE),0)
   ),
   IF(H374="Presencial",
      VLOOKUP(D374,TARIFAS!A:K,9,FALSE) + IF(I374="Sí",VLOOKUP(D374,TARIFAS!A:K,11,FALSE),0),
      VLOOKUP(D374,TARIFAS!A:K,10,FALSE) + IF(I374="Sí",VLOOKUP(D374,TARIFAS!A:K,11,FALSE),0)
   )
 )
)
</f>
        <v>0</v>
      </c>
      <c r="M374" s="45">
        <f>IF(J374="",0,MAX(0,J374 - TARIFAS!G$2) * TARIFAS!F$2)
</f>
        <v>0</v>
      </c>
      <c r="N374" s="45">
        <f>+L374*TARIFAS!$K$2</f>
        <v>0</v>
      </c>
      <c r="O374" s="45">
        <f t="shared" si="1"/>
        <v>0</v>
      </c>
      <c r="P374" s="45">
        <f>+M374+O374+K374+(+I374-(I374*TARIFAS!$K$2))</f>
        <v>0</v>
      </c>
      <c r="Q374" s="42" t="str">
        <f>CONFERENCIAS!T374</f>
        <v/>
      </c>
      <c r="R374" s="45" t="str">
        <f>CONFERENCIAS!U374</f>
        <v/>
      </c>
      <c r="S374" s="45" t="str">
        <f>CONFERENCIAS!W374</f>
        <v/>
      </c>
      <c r="T374" s="48">
        <f>IF(Q374="",0,
   IF(E374=1,
      IF(H374="Presencial",
         VLOOKUP(D374,TARIFAS!A:K,3,FALSE) + IF(I374="Sí",VLOOKUP(D374,TARIFAS!A:K,5,FALSE),0),
         VLOOKUP(D374,TARIFAS!A:K,4,FALSE) + IF(I374="Sí",VLOOKUP(D374,TARIFAS!A:K,5,FALSE),0)
      ),
      IF(H374="Presencial",
         VLOOKUP(D374,TARIFAS!A:K,9,FALSE) + IF(I374="Sí",VLOOKUP(D374,TARIFAS!A:K,11,FALSE),0),
         VLOOKUP(D374,TARIFAS!A:K,10,FALSE) + IF(I374="Sí",VLOOKUP(D374,TARIFAS!A:K,11,FALSE),0)
      )
   )
)
</f>
        <v>0</v>
      </c>
      <c r="U374" s="45">
        <f>IF(R374="",0,MAX(0,R374 - TARIFAS!G$2) * TARIFAS!F$2)
</f>
        <v>0</v>
      </c>
      <c r="V374" s="45">
        <f>+T374*TARIFAS!$K$2</f>
        <v>0</v>
      </c>
      <c r="W374" s="45">
        <f t="shared" si="2"/>
        <v>0</v>
      </c>
      <c r="X374" s="45">
        <f t="shared" si="3"/>
        <v>0</v>
      </c>
      <c r="Y374" s="45">
        <f t="shared" si="4"/>
        <v>0</v>
      </c>
      <c r="Z374" s="42" t="str">
        <f>CONFERENCIAS!AB374</f>
        <v/>
      </c>
      <c r="AA374" s="42" t="str">
        <f>CONFERENCIAS!AC374</f>
        <v/>
      </c>
      <c r="AB374" s="47" t="str">
        <f t="shared" si="5"/>
        <v/>
      </c>
      <c r="AC374" s="9" t="str">
        <f t="shared" si="6"/>
        <v/>
      </c>
    </row>
    <row r="375">
      <c r="A375" s="42" t="str">
        <f>CONFERENCIAS!A375</f>
        <v/>
      </c>
      <c r="D375" s="42" t="str">
        <f>CONFERENCIAS!C375</f>
        <v/>
      </c>
      <c r="E375" s="42" t="str">
        <f>CONFERENCIAS!K375</f>
        <v/>
      </c>
      <c r="F375" s="49" t="str">
        <f>CONFERENCIAS!J375</f>
        <v/>
      </c>
      <c r="G375" s="42" t="str">
        <f>CONFERENCIAS!O375</f>
        <v/>
      </c>
      <c r="H375" s="42" t="str">
        <f>CONFERENCIAS!X375</f>
        <v/>
      </c>
      <c r="I375" s="42" t="str">
        <f>CONFERENCIAS!AA375</f>
        <v/>
      </c>
      <c r="J375" s="44" t="str">
        <f>CONFERENCIAS!P375</f>
        <v/>
      </c>
      <c r="K375" s="45" t="str">
        <f>CONFERENCIAS!R375</f>
        <v/>
      </c>
      <c r="L375" s="45">
        <f>IF(D375="",0,
 IF(E375=1,
   IF(H375="Presencial",
      VLOOKUP(D375,TARIFAS!A:K,3,FALSE) + IF(I375="Sí",VLOOKUP(D375,TARIFAS!A:K,5,FALSE),0),
      VLOOKUP(D375,TARIFAS!A:K,4,FALSE) + IF(I375="Sí",VLOOKUP(D375,TARIFAS!A:K,5,FALSE),0)
   ),
   IF(H375="Presencial",
      VLOOKUP(D375,TARIFAS!A:K,9,FALSE) + IF(I375="Sí",VLOOKUP(D375,TARIFAS!A:K,11,FALSE),0),
      VLOOKUP(D375,TARIFAS!A:K,10,FALSE) + IF(I375="Sí",VLOOKUP(D375,TARIFAS!A:K,11,FALSE),0)
   )
 )
)
</f>
        <v>0</v>
      </c>
      <c r="M375" s="45">
        <f>IF(J375="",0,MAX(0,J375 - TARIFAS!G$2) * TARIFAS!F$2)
</f>
        <v>0</v>
      </c>
      <c r="N375" s="45">
        <f>+L375*TARIFAS!$K$2</f>
        <v>0</v>
      </c>
      <c r="O375" s="45">
        <f t="shared" si="1"/>
        <v>0</v>
      </c>
      <c r="P375" s="45">
        <f>+M375+O375+K375+(+I375-(I375*TARIFAS!$K$2))</f>
        <v>0</v>
      </c>
      <c r="Q375" s="42" t="str">
        <f>CONFERENCIAS!T375</f>
        <v/>
      </c>
      <c r="R375" s="45" t="str">
        <f>CONFERENCIAS!U375</f>
        <v/>
      </c>
      <c r="S375" s="45" t="str">
        <f>CONFERENCIAS!W375</f>
        <v/>
      </c>
      <c r="T375" s="48">
        <f>IF(Q375="",0,
   IF(E375=1,
      IF(H375="Presencial",
         VLOOKUP(D375,TARIFAS!A:K,3,FALSE) + IF(I375="Sí",VLOOKUP(D375,TARIFAS!A:K,5,FALSE),0),
         VLOOKUP(D375,TARIFAS!A:K,4,FALSE) + IF(I375="Sí",VLOOKUP(D375,TARIFAS!A:K,5,FALSE),0)
      ),
      IF(H375="Presencial",
         VLOOKUP(D375,TARIFAS!A:K,9,FALSE) + IF(I375="Sí",VLOOKUP(D375,TARIFAS!A:K,11,FALSE),0),
         VLOOKUP(D375,TARIFAS!A:K,10,FALSE) + IF(I375="Sí",VLOOKUP(D375,TARIFAS!A:K,11,FALSE),0)
      )
   )
)
</f>
        <v>0</v>
      </c>
      <c r="U375" s="45">
        <f>IF(R375="",0,MAX(0,R375 - TARIFAS!G$2) * TARIFAS!F$2)
</f>
        <v>0</v>
      </c>
      <c r="V375" s="45">
        <f>+T375*TARIFAS!$K$2</f>
        <v>0</v>
      </c>
      <c r="W375" s="45">
        <f t="shared" si="2"/>
        <v>0</v>
      </c>
      <c r="X375" s="45">
        <f t="shared" si="3"/>
        <v>0</v>
      </c>
      <c r="Y375" s="45">
        <f t="shared" si="4"/>
        <v>0</v>
      </c>
      <c r="Z375" s="42" t="str">
        <f>CONFERENCIAS!AB375</f>
        <v/>
      </c>
      <c r="AA375" s="42" t="str">
        <f>CONFERENCIAS!AC375</f>
        <v/>
      </c>
      <c r="AB375" s="47" t="str">
        <f t="shared" si="5"/>
        <v/>
      </c>
      <c r="AC375" s="9" t="str">
        <f t="shared" si="6"/>
        <v/>
      </c>
    </row>
    <row r="376">
      <c r="A376" s="42" t="str">
        <f>CONFERENCIAS!A376</f>
        <v/>
      </c>
      <c r="D376" s="42" t="str">
        <f>CONFERENCIAS!C376</f>
        <v/>
      </c>
      <c r="E376" s="42" t="str">
        <f>CONFERENCIAS!K376</f>
        <v/>
      </c>
      <c r="F376" s="49" t="str">
        <f>CONFERENCIAS!J376</f>
        <v/>
      </c>
      <c r="G376" s="42" t="str">
        <f>CONFERENCIAS!O376</f>
        <v/>
      </c>
      <c r="H376" s="42" t="str">
        <f>CONFERENCIAS!X376</f>
        <v/>
      </c>
      <c r="I376" s="42" t="str">
        <f>CONFERENCIAS!AA376</f>
        <v/>
      </c>
      <c r="J376" s="44" t="str">
        <f>CONFERENCIAS!P376</f>
        <v/>
      </c>
      <c r="K376" s="45" t="str">
        <f>CONFERENCIAS!R376</f>
        <v/>
      </c>
      <c r="L376" s="45">
        <f>IF(D376="",0,
 IF(E376=1,
   IF(H376="Presencial",
      VLOOKUP(D376,TARIFAS!A:K,3,FALSE) + IF(I376="Sí",VLOOKUP(D376,TARIFAS!A:K,5,FALSE),0),
      VLOOKUP(D376,TARIFAS!A:K,4,FALSE) + IF(I376="Sí",VLOOKUP(D376,TARIFAS!A:K,5,FALSE),0)
   ),
   IF(H376="Presencial",
      VLOOKUP(D376,TARIFAS!A:K,9,FALSE) + IF(I376="Sí",VLOOKUP(D376,TARIFAS!A:K,11,FALSE),0),
      VLOOKUP(D376,TARIFAS!A:K,10,FALSE) + IF(I376="Sí",VLOOKUP(D376,TARIFAS!A:K,11,FALSE),0)
   )
 )
)
</f>
        <v>0</v>
      </c>
      <c r="M376" s="45">
        <f>IF(J376="",0,MAX(0,J376 - TARIFAS!G$2) * TARIFAS!F$2)
</f>
        <v>0</v>
      </c>
      <c r="N376" s="45">
        <f>+L376*TARIFAS!$K$2</f>
        <v>0</v>
      </c>
      <c r="O376" s="45">
        <f t="shared" si="1"/>
        <v>0</v>
      </c>
      <c r="P376" s="45">
        <f>+M376+O376+K376+(+I376-(I376*TARIFAS!$K$2))</f>
        <v>0</v>
      </c>
      <c r="Q376" s="42" t="str">
        <f>CONFERENCIAS!T376</f>
        <v/>
      </c>
      <c r="R376" s="45" t="str">
        <f>CONFERENCIAS!U376</f>
        <v/>
      </c>
      <c r="S376" s="45" t="str">
        <f>CONFERENCIAS!W376</f>
        <v/>
      </c>
      <c r="T376" s="48">
        <f>IF(Q376="",0,
   IF(E376=1,
      IF(H376="Presencial",
         VLOOKUP(D376,TARIFAS!A:K,3,FALSE) + IF(I376="Sí",VLOOKUP(D376,TARIFAS!A:K,5,FALSE),0),
         VLOOKUP(D376,TARIFAS!A:K,4,FALSE) + IF(I376="Sí",VLOOKUP(D376,TARIFAS!A:K,5,FALSE),0)
      ),
      IF(H376="Presencial",
         VLOOKUP(D376,TARIFAS!A:K,9,FALSE) + IF(I376="Sí",VLOOKUP(D376,TARIFAS!A:K,11,FALSE),0),
         VLOOKUP(D376,TARIFAS!A:K,10,FALSE) + IF(I376="Sí",VLOOKUP(D376,TARIFAS!A:K,11,FALSE),0)
      )
   )
)
</f>
        <v>0</v>
      </c>
      <c r="U376" s="45">
        <f>IF(R376="",0,MAX(0,R376 - TARIFAS!G$2) * TARIFAS!F$2)
</f>
        <v>0</v>
      </c>
      <c r="V376" s="45">
        <f>+T376*TARIFAS!$K$2</f>
        <v>0</v>
      </c>
      <c r="W376" s="45">
        <f t="shared" si="2"/>
        <v>0</v>
      </c>
      <c r="X376" s="45">
        <f t="shared" si="3"/>
        <v>0</v>
      </c>
      <c r="Y376" s="45">
        <f t="shared" si="4"/>
        <v>0</v>
      </c>
      <c r="Z376" s="42" t="str">
        <f>CONFERENCIAS!AB376</f>
        <v/>
      </c>
      <c r="AA376" s="42" t="str">
        <f>CONFERENCIAS!AC376</f>
        <v/>
      </c>
      <c r="AB376" s="47" t="str">
        <f t="shared" si="5"/>
        <v/>
      </c>
      <c r="AC376" s="9" t="str">
        <f t="shared" si="6"/>
        <v/>
      </c>
    </row>
    <row r="377">
      <c r="A377" s="42" t="str">
        <f>CONFERENCIAS!A377</f>
        <v/>
      </c>
      <c r="D377" s="42" t="str">
        <f>CONFERENCIAS!C377</f>
        <v/>
      </c>
      <c r="E377" s="42" t="str">
        <f>CONFERENCIAS!K377</f>
        <v/>
      </c>
      <c r="F377" s="49" t="str">
        <f>CONFERENCIAS!J377</f>
        <v/>
      </c>
      <c r="G377" s="42" t="str">
        <f>CONFERENCIAS!O377</f>
        <v/>
      </c>
      <c r="H377" s="42" t="str">
        <f>CONFERENCIAS!X377</f>
        <v/>
      </c>
      <c r="I377" s="42" t="str">
        <f>CONFERENCIAS!AA377</f>
        <v/>
      </c>
      <c r="J377" s="44" t="str">
        <f>CONFERENCIAS!P377</f>
        <v/>
      </c>
      <c r="K377" s="45" t="str">
        <f>CONFERENCIAS!R377</f>
        <v/>
      </c>
      <c r="L377" s="45">
        <f>IF(D377="",0,
 IF(E377=1,
   IF(H377="Presencial",
      VLOOKUP(D377,TARIFAS!A:K,3,FALSE) + IF(I377="Sí",VLOOKUP(D377,TARIFAS!A:K,5,FALSE),0),
      VLOOKUP(D377,TARIFAS!A:K,4,FALSE) + IF(I377="Sí",VLOOKUP(D377,TARIFAS!A:K,5,FALSE),0)
   ),
   IF(H377="Presencial",
      VLOOKUP(D377,TARIFAS!A:K,9,FALSE) + IF(I377="Sí",VLOOKUP(D377,TARIFAS!A:K,11,FALSE),0),
      VLOOKUP(D377,TARIFAS!A:K,10,FALSE) + IF(I377="Sí",VLOOKUP(D377,TARIFAS!A:K,11,FALSE),0)
   )
 )
)
</f>
        <v>0</v>
      </c>
      <c r="M377" s="45">
        <f>IF(J377="",0,MAX(0,J377 - TARIFAS!G$2) * TARIFAS!F$2)
</f>
        <v>0</v>
      </c>
      <c r="N377" s="45">
        <f>+L377*TARIFAS!$K$2</f>
        <v>0</v>
      </c>
      <c r="O377" s="45">
        <f t="shared" si="1"/>
        <v>0</v>
      </c>
      <c r="P377" s="45">
        <f>+M377+O377+K377+(+I377-(I377*TARIFAS!$K$2))</f>
        <v>0</v>
      </c>
      <c r="Q377" s="42" t="str">
        <f>CONFERENCIAS!T377</f>
        <v/>
      </c>
      <c r="R377" s="45" t="str">
        <f>CONFERENCIAS!U377</f>
        <v/>
      </c>
      <c r="S377" s="45" t="str">
        <f>CONFERENCIAS!W377</f>
        <v/>
      </c>
      <c r="T377" s="48">
        <f>IF(Q377="",0,
   IF(E377=1,
      IF(H377="Presencial",
         VLOOKUP(D377,TARIFAS!A:K,3,FALSE) + IF(I377="Sí",VLOOKUP(D377,TARIFAS!A:K,5,FALSE),0),
         VLOOKUP(D377,TARIFAS!A:K,4,FALSE) + IF(I377="Sí",VLOOKUP(D377,TARIFAS!A:K,5,FALSE),0)
      ),
      IF(H377="Presencial",
         VLOOKUP(D377,TARIFAS!A:K,9,FALSE) + IF(I377="Sí",VLOOKUP(D377,TARIFAS!A:K,11,FALSE),0),
         VLOOKUP(D377,TARIFAS!A:K,10,FALSE) + IF(I377="Sí",VLOOKUP(D377,TARIFAS!A:K,11,FALSE),0)
      )
   )
)
</f>
        <v>0</v>
      </c>
      <c r="U377" s="45">
        <f>IF(R377="",0,MAX(0,R377 - TARIFAS!G$2) * TARIFAS!F$2)
</f>
        <v>0</v>
      </c>
      <c r="V377" s="45">
        <f>+T377*TARIFAS!$K$2</f>
        <v>0</v>
      </c>
      <c r="W377" s="45">
        <f t="shared" si="2"/>
        <v>0</v>
      </c>
      <c r="X377" s="45">
        <f t="shared" si="3"/>
        <v>0</v>
      </c>
      <c r="Y377" s="45">
        <f t="shared" si="4"/>
        <v>0</v>
      </c>
      <c r="Z377" s="42" t="str">
        <f>CONFERENCIAS!AB377</f>
        <v/>
      </c>
      <c r="AA377" s="42" t="str">
        <f>CONFERENCIAS!AC377</f>
        <v/>
      </c>
      <c r="AB377" s="47" t="str">
        <f t="shared" si="5"/>
        <v/>
      </c>
      <c r="AC377" s="9" t="str">
        <f t="shared" si="6"/>
        <v/>
      </c>
    </row>
    <row r="378">
      <c r="A378" s="42" t="str">
        <f>CONFERENCIAS!A378</f>
        <v/>
      </c>
      <c r="D378" s="42" t="str">
        <f>CONFERENCIAS!C378</f>
        <v/>
      </c>
      <c r="E378" s="42" t="str">
        <f>CONFERENCIAS!K378</f>
        <v/>
      </c>
      <c r="F378" s="49" t="str">
        <f>CONFERENCIAS!J378</f>
        <v/>
      </c>
      <c r="G378" s="42" t="str">
        <f>CONFERENCIAS!O378</f>
        <v/>
      </c>
      <c r="H378" s="42" t="str">
        <f>CONFERENCIAS!X378</f>
        <v/>
      </c>
      <c r="I378" s="42" t="str">
        <f>CONFERENCIAS!AA378</f>
        <v/>
      </c>
      <c r="J378" s="44" t="str">
        <f>CONFERENCIAS!P378</f>
        <v/>
      </c>
      <c r="K378" s="45" t="str">
        <f>CONFERENCIAS!R378</f>
        <v/>
      </c>
      <c r="L378" s="45">
        <f>IF(D378="",0,
 IF(E378=1,
   IF(H378="Presencial",
      VLOOKUP(D378,TARIFAS!A:K,3,FALSE) + IF(I378="Sí",VLOOKUP(D378,TARIFAS!A:K,5,FALSE),0),
      VLOOKUP(D378,TARIFAS!A:K,4,FALSE) + IF(I378="Sí",VLOOKUP(D378,TARIFAS!A:K,5,FALSE),0)
   ),
   IF(H378="Presencial",
      VLOOKUP(D378,TARIFAS!A:K,9,FALSE) + IF(I378="Sí",VLOOKUP(D378,TARIFAS!A:K,11,FALSE),0),
      VLOOKUP(D378,TARIFAS!A:K,10,FALSE) + IF(I378="Sí",VLOOKUP(D378,TARIFAS!A:K,11,FALSE),0)
   )
 )
)
</f>
        <v>0</v>
      </c>
      <c r="M378" s="45">
        <f>IF(J378="",0,MAX(0,J378 - TARIFAS!G$2) * TARIFAS!F$2)
</f>
        <v>0</v>
      </c>
      <c r="N378" s="45">
        <f>+L378*TARIFAS!$K$2</f>
        <v>0</v>
      </c>
      <c r="O378" s="45">
        <f t="shared" si="1"/>
        <v>0</v>
      </c>
      <c r="P378" s="45">
        <f>+M378+O378+K378+(+I378-(I378*TARIFAS!$K$2))</f>
        <v>0</v>
      </c>
      <c r="Q378" s="42" t="str">
        <f>CONFERENCIAS!T378</f>
        <v/>
      </c>
      <c r="R378" s="45" t="str">
        <f>CONFERENCIAS!U378</f>
        <v/>
      </c>
      <c r="S378" s="45" t="str">
        <f>CONFERENCIAS!W378</f>
        <v/>
      </c>
      <c r="T378" s="48">
        <f>IF(Q378="",0,
   IF(E378=1,
      IF(H378="Presencial",
         VLOOKUP(D378,TARIFAS!A:K,3,FALSE) + IF(I378="Sí",VLOOKUP(D378,TARIFAS!A:K,5,FALSE),0),
         VLOOKUP(D378,TARIFAS!A:K,4,FALSE) + IF(I378="Sí",VLOOKUP(D378,TARIFAS!A:K,5,FALSE),0)
      ),
      IF(H378="Presencial",
         VLOOKUP(D378,TARIFAS!A:K,9,FALSE) + IF(I378="Sí",VLOOKUP(D378,TARIFAS!A:K,11,FALSE),0),
         VLOOKUP(D378,TARIFAS!A:K,10,FALSE) + IF(I378="Sí",VLOOKUP(D378,TARIFAS!A:K,11,FALSE),0)
      )
   )
)
</f>
        <v>0</v>
      </c>
      <c r="U378" s="45">
        <f>IF(R378="",0,MAX(0,R378 - TARIFAS!G$2) * TARIFAS!F$2)
</f>
        <v>0</v>
      </c>
      <c r="V378" s="45">
        <f>+T378*TARIFAS!$K$2</f>
        <v>0</v>
      </c>
      <c r="W378" s="45">
        <f t="shared" si="2"/>
        <v>0</v>
      </c>
      <c r="X378" s="45">
        <f t="shared" si="3"/>
        <v>0</v>
      </c>
      <c r="Y378" s="45">
        <f t="shared" si="4"/>
        <v>0</v>
      </c>
      <c r="Z378" s="42" t="str">
        <f>CONFERENCIAS!AB378</f>
        <v/>
      </c>
      <c r="AA378" s="42" t="str">
        <f>CONFERENCIAS!AC378</f>
        <v/>
      </c>
      <c r="AB378" s="47" t="str">
        <f t="shared" si="5"/>
        <v/>
      </c>
      <c r="AC378" s="9" t="str">
        <f t="shared" si="6"/>
        <v/>
      </c>
    </row>
    <row r="379">
      <c r="A379" s="42" t="str">
        <f>CONFERENCIAS!A379</f>
        <v/>
      </c>
      <c r="D379" s="42" t="str">
        <f>CONFERENCIAS!C379</f>
        <v/>
      </c>
      <c r="E379" s="42" t="str">
        <f>CONFERENCIAS!K379</f>
        <v/>
      </c>
      <c r="F379" s="49" t="str">
        <f>CONFERENCIAS!J379</f>
        <v/>
      </c>
      <c r="G379" s="42" t="str">
        <f>CONFERENCIAS!O379</f>
        <v/>
      </c>
      <c r="H379" s="42" t="str">
        <f>CONFERENCIAS!X379</f>
        <v/>
      </c>
      <c r="I379" s="42" t="str">
        <f>CONFERENCIAS!AA379</f>
        <v/>
      </c>
      <c r="J379" s="44" t="str">
        <f>CONFERENCIAS!P379</f>
        <v/>
      </c>
      <c r="K379" s="45" t="str">
        <f>CONFERENCIAS!R379</f>
        <v/>
      </c>
      <c r="L379" s="45">
        <f>IF(D379="",0,
 IF(E379=1,
   IF(H379="Presencial",
      VLOOKUP(D379,TARIFAS!A:K,3,FALSE) + IF(I379="Sí",VLOOKUP(D379,TARIFAS!A:K,5,FALSE),0),
      VLOOKUP(D379,TARIFAS!A:K,4,FALSE) + IF(I379="Sí",VLOOKUP(D379,TARIFAS!A:K,5,FALSE),0)
   ),
   IF(H379="Presencial",
      VLOOKUP(D379,TARIFAS!A:K,9,FALSE) + IF(I379="Sí",VLOOKUP(D379,TARIFAS!A:K,11,FALSE),0),
      VLOOKUP(D379,TARIFAS!A:K,10,FALSE) + IF(I379="Sí",VLOOKUP(D379,TARIFAS!A:K,11,FALSE),0)
   )
 )
)
</f>
        <v>0</v>
      </c>
      <c r="M379" s="45">
        <f>IF(J379="",0,MAX(0,J379 - TARIFAS!G$2) * TARIFAS!F$2)
</f>
        <v>0</v>
      </c>
      <c r="N379" s="45">
        <f>+L379*TARIFAS!$K$2</f>
        <v>0</v>
      </c>
      <c r="O379" s="45">
        <f t="shared" si="1"/>
        <v>0</v>
      </c>
      <c r="P379" s="45">
        <f>+M379+O379+K379+(+I379-(I379*TARIFAS!$K$2))</f>
        <v>0</v>
      </c>
      <c r="Q379" s="42" t="str">
        <f>CONFERENCIAS!T379</f>
        <v/>
      </c>
      <c r="R379" s="45" t="str">
        <f>CONFERENCIAS!U379</f>
        <v/>
      </c>
      <c r="S379" s="45" t="str">
        <f>CONFERENCIAS!W379</f>
        <v/>
      </c>
      <c r="T379" s="48">
        <f>IF(Q379="",0,
   IF(E379=1,
      IF(H379="Presencial",
         VLOOKUP(D379,TARIFAS!A:K,3,FALSE) + IF(I379="Sí",VLOOKUP(D379,TARIFAS!A:K,5,FALSE),0),
         VLOOKUP(D379,TARIFAS!A:K,4,FALSE) + IF(I379="Sí",VLOOKUP(D379,TARIFAS!A:K,5,FALSE),0)
      ),
      IF(H379="Presencial",
         VLOOKUP(D379,TARIFAS!A:K,9,FALSE) + IF(I379="Sí",VLOOKUP(D379,TARIFAS!A:K,11,FALSE),0),
         VLOOKUP(D379,TARIFAS!A:K,10,FALSE) + IF(I379="Sí",VLOOKUP(D379,TARIFAS!A:K,11,FALSE),0)
      )
   )
)
</f>
        <v>0</v>
      </c>
      <c r="U379" s="45">
        <f>IF(R379="",0,MAX(0,R379 - TARIFAS!G$2) * TARIFAS!F$2)
</f>
        <v>0</v>
      </c>
      <c r="V379" s="45">
        <f>+T379*TARIFAS!$K$2</f>
        <v>0</v>
      </c>
      <c r="W379" s="45">
        <f t="shared" si="2"/>
        <v>0</v>
      </c>
      <c r="X379" s="45">
        <f t="shared" si="3"/>
        <v>0</v>
      </c>
      <c r="Y379" s="45">
        <f t="shared" si="4"/>
        <v>0</v>
      </c>
      <c r="Z379" s="42" t="str">
        <f>CONFERENCIAS!AB379</f>
        <v/>
      </c>
      <c r="AA379" s="42" t="str">
        <f>CONFERENCIAS!AC379</f>
        <v/>
      </c>
      <c r="AB379" s="47" t="str">
        <f t="shared" si="5"/>
        <v/>
      </c>
      <c r="AC379" s="9" t="str">
        <f t="shared" si="6"/>
        <v/>
      </c>
    </row>
    <row r="380">
      <c r="A380" s="42" t="str">
        <f>CONFERENCIAS!A380</f>
        <v/>
      </c>
      <c r="D380" s="42" t="str">
        <f>CONFERENCIAS!C380</f>
        <v/>
      </c>
      <c r="E380" s="42" t="str">
        <f>CONFERENCIAS!K380</f>
        <v/>
      </c>
      <c r="F380" s="49" t="str">
        <f>CONFERENCIAS!J380</f>
        <v/>
      </c>
      <c r="G380" s="42" t="str">
        <f>CONFERENCIAS!O380</f>
        <v/>
      </c>
      <c r="H380" s="42" t="str">
        <f>CONFERENCIAS!X380</f>
        <v/>
      </c>
      <c r="I380" s="42" t="str">
        <f>CONFERENCIAS!AA380</f>
        <v/>
      </c>
      <c r="J380" s="44" t="str">
        <f>CONFERENCIAS!P380</f>
        <v/>
      </c>
      <c r="K380" s="45" t="str">
        <f>CONFERENCIAS!R380</f>
        <v/>
      </c>
      <c r="L380" s="45">
        <f>IF(D380="",0,
 IF(E380=1,
   IF(H380="Presencial",
      VLOOKUP(D380,TARIFAS!A:K,3,FALSE) + IF(I380="Sí",VLOOKUP(D380,TARIFAS!A:K,5,FALSE),0),
      VLOOKUP(D380,TARIFAS!A:K,4,FALSE) + IF(I380="Sí",VLOOKUP(D380,TARIFAS!A:K,5,FALSE),0)
   ),
   IF(H380="Presencial",
      VLOOKUP(D380,TARIFAS!A:K,9,FALSE) + IF(I380="Sí",VLOOKUP(D380,TARIFAS!A:K,11,FALSE),0),
      VLOOKUP(D380,TARIFAS!A:K,10,FALSE) + IF(I380="Sí",VLOOKUP(D380,TARIFAS!A:K,11,FALSE),0)
   )
 )
)
</f>
        <v>0</v>
      </c>
      <c r="M380" s="45">
        <f>IF(J380="",0,MAX(0,J380 - TARIFAS!G$2) * TARIFAS!F$2)
</f>
        <v>0</v>
      </c>
      <c r="N380" s="45">
        <f>+L380*TARIFAS!$K$2</f>
        <v>0</v>
      </c>
      <c r="O380" s="45">
        <f t="shared" si="1"/>
        <v>0</v>
      </c>
      <c r="P380" s="45">
        <f>+M380+O380+K380+(+I380-(I380*TARIFAS!$K$2))</f>
        <v>0</v>
      </c>
      <c r="Q380" s="42" t="str">
        <f>CONFERENCIAS!T380</f>
        <v/>
      </c>
      <c r="R380" s="45" t="str">
        <f>CONFERENCIAS!U380</f>
        <v/>
      </c>
      <c r="S380" s="45" t="str">
        <f>CONFERENCIAS!W380</f>
        <v/>
      </c>
      <c r="T380" s="48">
        <f>IF(Q380="",0,
   IF(E380=1,
      IF(H380="Presencial",
         VLOOKUP(D380,TARIFAS!A:K,3,FALSE) + IF(I380="Sí",VLOOKUP(D380,TARIFAS!A:K,5,FALSE),0),
         VLOOKUP(D380,TARIFAS!A:K,4,FALSE) + IF(I380="Sí",VLOOKUP(D380,TARIFAS!A:K,5,FALSE),0)
      ),
      IF(H380="Presencial",
         VLOOKUP(D380,TARIFAS!A:K,9,FALSE) + IF(I380="Sí",VLOOKUP(D380,TARIFAS!A:K,11,FALSE),0),
         VLOOKUP(D380,TARIFAS!A:K,10,FALSE) + IF(I380="Sí",VLOOKUP(D380,TARIFAS!A:K,11,FALSE),0)
      )
   )
)
</f>
        <v>0</v>
      </c>
      <c r="U380" s="45">
        <f>IF(R380="",0,MAX(0,R380 - TARIFAS!G$2) * TARIFAS!F$2)
</f>
        <v>0</v>
      </c>
      <c r="V380" s="45">
        <f>+T380*TARIFAS!$K$2</f>
        <v>0</v>
      </c>
      <c r="W380" s="45">
        <f t="shared" si="2"/>
        <v>0</v>
      </c>
      <c r="X380" s="45">
        <f t="shared" si="3"/>
        <v>0</v>
      </c>
      <c r="Y380" s="45">
        <f t="shared" si="4"/>
        <v>0</v>
      </c>
      <c r="Z380" s="42" t="str">
        <f>CONFERENCIAS!AB380</f>
        <v/>
      </c>
      <c r="AA380" s="42" t="str">
        <f>CONFERENCIAS!AC380</f>
        <v/>
      </c>
      <c r="AB380" s="47" t="str">
        <f t="shared" si="5"/>
        <v/>
      </c>
      <c r="AC380" s="9" t="str">
        <f t="shared" si="6"/>
        <v/>
      </c>
    </row>
    <row r="381">
      <c r="A381" s="42" t="str">
        <f>CONFERENCIAS!A381</f>
        <v/>
      </c>
      <c r="D381" s="42" t="str">
        <f>CONFERENCIAS!C381</f>
        <v/>
      </c>
      <c r="E381" s="42" t="str">
        <f>CONFERENCIAS!K381</f>
        <v/>
      </c>
      <c r="F381" s="49" t="str">
        <f>CONFERENCIAS!J381</f>
        <v/>
      </c>
      <c r="G381" s="42" t="str">
        <f>CONFERENCIAS!O381</f>
        <v/>
      </c>
      <c r="H381" s="42" t="str">
        <f>CONFERENCIAS!X381</f>
        <v/>
      </c>
      <c r="I381" s="42" t="str">
        <f>CONFERENCIAS!AA381</f>
        <v/>
      </c>
      <c r="J381" s="44" t="str">
        <f>CONFERENCIAS!P381</f>
        <v/>
      </c>
      <c r="K381" s="45" t="str">
        <f>CONFERENCIAS!R381</f>
        <v/>
      </c>
      <c r="L381" s="45">
        <f>IF(D381="",0,
 IF(E381=1,
   IF(H381="Presencial",
      VLOOKUP(D381,TARIFAS!A:K,3,FALSE) + IF(I381="Sí",VLOOKUP(D381,TARIFAS!A:K,5,FALSE),0),
      VLOOKUP(D381,TARIFAS!A:K,4,FALSE) + IF(I381="Sí",VLOOKUP(D381,TARIFAS!A:K,5,FALSE),0)
   ),
   IF(H381="Presencial",
      VLOOKUP(D381,TARIFAS!A:K,9,FALSE) + IF(I381="Sí",VLOOKUP(D381,TARIFAS!A:K,11,FALSE),0),
      VLOOKUP(D381,TARIFAS!A:K,10,FALSE) + IF(I381="Sí",VLOOKUP(D381,TARIFAS!A:K,11,FALSE),0)
   )
 )
)
</f>
        <v>0</v>
      </c>
      <c r="M381" s="45">
        <f>IF(J381="",0,MAX(0,J381 - TARIFAS!G$2) * TARIFAS!F$2)
</f>
        <v>0</v>
      </c>
      <c r="N381" s="45">
        <f>+L381*TARIFAS!$K$2</f>
        <v>0</v>
      </c>
      <c r="O381" s="45">
        <f t="shared" si="1"/>
        <v>0</v>
      </c>
      <c r="P381" s="45">
        <f>+M381+O381+K381+(+I381-(I381*TARIFAS!$K$2))</f>
        <v>0</v>
      </c>
      <c r="Q381" s="42" t="str">
        <f>CONFERENCIAS!T381</f>
        <v/>
      </c>
      <c r="R381" s="45" t="str">
        <f>CONFERENCIAS!U381</f>
        <v/>
      </c>
      <c r="S381" s="45" t="str">
        <f>CONFERENCIAS!W381</f>
        <v/>
      </c>
      <c r="T381" s="48">
        <f>IF(Q381="",0,
   IF(E381=1,
      IF(H381="Presencial",
         VLOOKUP(D381,TARIFAS!A:K,3,FALSE) + IF(I381="Sí",VLOOKUP(D381,TARIFAS!A:K,5,FALSE),0),
         VLOOKUP(D381,TARIFAS!A:K,4,FALSE) + IF(I381="Sí",VLOOKUP(D381,TARIFAS!A:K,5,FALSE),0)
      ),
      IF(H381="Presencial",
         VLOOKUP(D381,TARIFAS!A:K,9,FALSE) + IF(I381="Sí",VLOOKUP(D381,TARIFAS!A:K,11,FALSE),0),
         VLOOKUP(D381,TARIFAS!A:K,10,FALSE) + IF(I381="Sí",VLOOKUP(D381,TARIFAS!A:K,11,FALSE),0)
      )
   )
)
</f>
        <v>0</v>
      </c>
      <c r="U381" s="45">
        <f>IF(R381="",0,MAX(0,R381 - TARIFAS!G$2) * TARIFAS!F$2)
</f>
        <v>0</v>
      </c>
      <c r="V381" s="45">
        <f>+T381*TARIFAS!$K$2</f>
        <v>0</v>
      </c>
      <c r="W381" s="45">
        <f t="shared" si="2"/>
        <v>0</v>
      </c>
      <c r="X381" s="45">
        <f t="shared" si="3"/>
        <v>0</v>
      </c>
      <c r="Y381" s="45">
        <f t="shared" si="4"/>
        <v>0</v>
      </c>
      <c r="Z381" s="42" t="str">
        <f>CONFERENCIAS!AB381</f>
        <v/>
      </c>
      <c r="AA381" s="42" t="str">
        <f>CONFERENCIAS!AC381</f>
        <v/>
      </c>
      <c r="AB381" s="47" t="str">
        <f t="shared" si="5"/>
        <v/>
      </c>
      <c r="AC381" s="9" t="str">
        <f t="shared" si="6"/>
        <v/>
      </c>
    </row>
    <row r="382">
      <c r="A382" s="42" t="str">
        <f>CONFERENCIAS!A382</f>
        <v/>
      </c>
      <c r="D382" s="42" t="str">
        <f>CONFERENCIAS!C382</f>
        <v/>
      </c>
      <c r="E382" s="42" t="str">
        <f>CONFERENCIAS!K382</f>
        <v/>
      </c>
      <c r="F382" s="49" t="str">
        <f>CONFERENCIAS!J382</f>
        <v/>
      </c>
      <c r="G382" s="42" t="str">
        <f>CONFERENCIAS!O382</f>
        <v/>
      </c>
      <c r="H382" s="42" t="str">
        <f>CONFERENCIAS!X382</f>
        <v/>
      </c>
      <c r="I382" s="42" t="str">
        <f>CONFERENCIAS!AA382</f>
        <v/>
      </c>
      <c r="J382" s="44" t="str">
        <f>CONFERENCIAS!P382</f>
        <v/>
      </c>
      <c r="K382" s="45" t="str">
        <f>CONFERENCIAS!R382</f>
        <v/>
      </c>
      <c r="L382" s="45">
        <f>IF(D382="",0,
 IF(E382=1,
   IF(H382="Presencial",
      VLOOKUP(D382,TARIFAS!A:K,3,FALSE) + IF(I382="Sí",VLOOKUP(D382,TARIFAS!A:K,5,FALSE),0),
      VLOOKUP(D382,TARIFAS!A:K,4,FALSE) + IF(I382="Sí",VLOOKUP(D382,TARIFAS!A:K,5,FALSE),0)
   ),
   IF(H382="Presencial",
      VLOOKUP(D382,TARIFAS!A:K,9,FALSE) + IF(I382="Sí",VLOOKUP(D382,TARIFAS!A:K,11,FALSE),0),
      VLOOKUP(D382,TARIFAS!A:K,10,FALSE) + IF(I382="Sí",VLOOKUP(D382,TARIFAS!A:K,11,FALSE),0)
   )
 )
)
</f>
        <v>0</v>
      </c>
      <c r="M382" s="45">
        <f>IF(J382="",0,MAX(0,J382 - TARIFAS!G$2) * TARIFAS!F$2)
</f>
        <v>0</v>
      </c>
      <c r="N382" s="45">
        <f>+L382*TARIFAS!$K$2</f>
        <v>0</v>
      </c>
      <c r="O382" s="45">
        <f t="shared" si="1"/>
        <v>0</v>
      </c>
      <c r="P382" s="45">
        <f>+M382+O382+K382+(+I382-(I382*TARIFAS!$K$2))</f>
        <v>0</v>
      </c>
      <c r="Q382" s="42" t="str">
        <f>CONFERENCIAS!T382</f>
        <v/>
      </c>
      <c r="R382" s="45" t="str">
        <f>CONFERENCIAS!U382</f>
        <v/>
      </c>
      <c r="S382" s="45" t="str">
        <f>CONFERENCIAS!W382</f>
        <v/>
      </c>
      <c r="T382" s="48">
        <f>IF(Q382="",0,
   IF(E382=1,
      IF(H382="Presencial",
         VLOOKUP(D382,TARIFAS!A:K,3,FALSE) + IF(I382="Sí",VLOOKUP(D382,TARIFAS!A:K,5,FALSE),0),
         VLOOKUP(D382,TARIFAS!A:K,4,FALSE) + IF(I382="Sí",VLOOKUP(D382,TARIFAS!A:K,5,FALSE),0)
      ),
      IF(H382="Presencial",
         VLOOKUP(D382,TARIFAS!A:K,9,FALSE) + IF(I382="Sí",VLOOKUP(D382,TARIFAS!A:K,11,FALSE),0),
         VLOOKUP(D382,TARIFAS!A:K,10,FALSE) + IF(I382="Sí",VLOOKUP(D382,TARIFAS!A:K,11,FALSE),0)
      )
   )
)
</f>
        <v>0</v>
      </c>
      <c r="U382" s="45">
        <f>IF(R382="",0,MAX(0,R382 - TARIFAS!G$2) * TARIFAS!F$2)
</f>
        <v>0</v>
      </c>
      <c r="V382" s="45">
        <f>+T382*TARIFAS!$K$2</f>
        <v>0</v>
      </c>
      <c r="W382" s="45">
        <f t="shared" si="2"/>
        <v>0</v>
      </c>
      <c r="X382" s="45">
        <f t="shared" si="3"/>
        <v>0</v>
      </c>
      <c r="Y382" s="45">
        <f t="shared" si="4"/>
        <v>0</v>
      </c>
      <c r="Z382" s="42" t="str">
        <f>CONFERENCIAS!AB382</f>
        <v/>
      </c>
      <c r="AA382" s="42" t="str">
        <f>CONFERENCIAS!AC382</f>
        <v/>
      </c>
      <c r="AB382" s="47" t="str">
        <f t="shared" si="5"/>
        <v/>
      </c>
      <c r="AC382" s="9" t="str">
        <f t="shared" si="6"/>
        <v/>
      </c>
    </row>
    <row r="383">
      <c r="A383" s="42" t="str">
        <f>CONFERENCIAS!A383</f>
        <v/>
      </c>
      <c r="D383" s="42" t="str">
        <f>CONFERENCIAS!C383</f>
        <v/>
      </c>
      <c r="E383" s="42" t="str">
        <f>CONFERENCIAS!K383</f>
        <v/>
      </c>
      <c r="F383" s="49" t="str">
        <f>CONFERENCIAS!J383</f>
        <v/>
      </c>
      <c r="G383" s="42" t="str">
        <f>CONFERENCIAS!O383</f>
        <v/>
      </c>
      <c r="H383" s="42" t="str">
        <f>CONFERENCIAS!X383</f>
        <v/>
      </c>
      <c r="I383" s="42" t="str">
        <f>CONFERENCIAS!AA383</f>
        <v/>
      </c>
      <c r="J383" s="44" t="str">
        <f>CONFERENCIAS!P383</f>
        <v/>
      </c>
      <c r="K383" s="45" t="str">
        <f>CONFERENCIAS!R383</f>
        <v/>
      </c>
      <c r="L383" s="45">
        <f>IF(D383="",0,
 IF(E383=1,
   IF(H383="Presencial",
      VLOOKUP(D383,TARIFAS!A:K,3,FALSE) + IF(I383="Sí",VLOOKUP(D383,TARIFAS!A:K,5,FALSE),0),
      VLOOKUP(D383,TARIFAS!A:K,4,FALSE) + IF(I383="Sí",VLOOKUP(D383,TARIFAS!A:K,5,FALSE),0)
   ),
   IF(H383="Presencial",
      VLOOKUP(D383,TARIFAS!A:K,9,FALSE) + IF(I383="Sí",VLOOKUP(D383,TARIFAS!A:K,11,FALSE),0),
      VLOOKUP(D383,TARIFAS!A:K,10,FALSE) + IF(I383="Sí",VLOOKUP(D383,TARIFAS!A:K,11,FALSE),0)
   )
 )
)
</f>
        <v>0</v>
      </c>
      <c r="M383" s="45">
        <f>IF(J383="",0,MAX(0,J383 - TARIFAS!G$2) * TARIFAS!F$2)
</f>
        <v>0</v>
      </c>
      <c r="N383" s="45">
        <f>+L383*TARIFAS!$K$2</f>
        <v>0</v>
      </c>
      <c r="O383" s="45">
        <f t="shared" si="1"/>
        <v>0</v>
      </c>
      <c r="P383" s="45">
        <f>+M383+O383+K383+(+I383-(I383*TARIFAS!$K$2))</f>
        <v>0</v>
      </c>
      <c r="Q383" s="42" t="str">
        <f>CONFERENCIAS!T383</f>
        <v/>
      </c>
      <c r="R383" s="45" t="str">
        <f>CONFERENCIAS!U383</f>
        <v/>
      </c>
      <c r="S383" s="45" t="str">
        <f>CONFERENCIAS!W383</f>
        <v/>
      </c>
      <c r="T383" s="48">
        <f>IF(Q383="",0,
   IF(E383=1,
      IF(H383="Presencial",
         VLOOKUP(D383,TARIFAS!A:K,3,FALSE) + IF(I383="Sí",VLOOKUP(D383,TARIFAS!A:K,5,FALSE),0),
         VLOOKUP(D383,TARIFAS!A:K,4,FALSE) + IF(I383="Sí",VLOOKUP(D383,TARIFAS!A:K,5,FALSE),0)
      ),
      IF(H383="Presencial",
         VLOOKUP(D383,TARIFAS!A:K,9,FALSE) + IF(I383="Sí",VLOOKUP(D383,TARIFAS!A:K,11,FALSE),0),
         VLOOKUP(D383,TARIFAS!A:K,10,FALSE) + IF(I383="Sí",VLOOKUP(D383,TARIFAS!A:K,11,FALSE),0)
      )
   )
)
</f>
        <v>0</v>
      </c>
      <c r="U383" s="45">
        <f>IF(R383="",0,MAX(0,R383 - TARIFAS!G$2) * TARIFAS!F$2)
</f>
        <v>0</v>
      </c>
      <c r="V383" s="45">
        <f>+T383*TARIFAS!$K$2</f>
        <v>0</v>
      </c>
      <c r="W383" s="45">
        <f t="shared" si="2"/>
        <v>0</v>
      </c>
      <c r="X383" s="45">
        <f t="shared" si="3"/>
        <v>0</v>
      </c>
      <c r="Y383" s="45">
        <f t="shared" si="4"/>
        <v>0</v>
      </c>
      <c r="Z383" s="42" t="str">
        <f>CONFERENCIAS!AB383</f>
        <v/>
      </c>
      <c r="AA383" s="42" t="str">
        <f>CONFERENCIAS!AC383</f>
        <v/>
      </c>
      <c r="AB383" s="47" t="str">
        <f t="shared" si="5"/>
        <v/>
      </c>
      <c r="AC383" s="9" t="str">
        <f t="shared" si="6"/>
        <v/>
      </c>
    </row>
    <row r="384">
      <c r="A384" s="42" t="str">
        <f>CONFERENCIAS!A384</f>
        <v/>
      </c>
      <c r="D384" s="42" t="str">
        <f>CONFERENCIAS!C384</f>
        <v/>
      </c>
      <c r="E384" s="42" t="str">
        <f>CONFERENCIAS!K384</f>
        <v/>
      </c>
      <c r="F384" s="49" t="str">
        <f>CONFERENCIAS!J384</f>
        <v/>
      </c>
      <c r="G384" s="42" t="str">
        <f>CONFERENCIAS!O384</f>
        <v/>
      </c>
      <c r="H384" s="42" t="str">
        <f>CONFERENCIAS!X384</f>
        <v/>
      </c>
      <c r="I384" s="42" t="str">
        <f>CONFERENCIAS!AA384</f>
        <v/>
      </c>
      <c r="J384" s="44" t="str">
        <f>CONFERENCIAS!P384</f>
        <v/>
      </c>
      <c r="K384" s="45" t="str">
        <f>CONFERENCIAS!R384</f>
        <v/>
      </c>
      <c r="L384" s="45">
        <f>IF(D384="",0,
 IF(E384=1,
   IF(H384="Presencial",
      VLOOKUP(D384,TARIFAS!A:K,3,FALSE) + IF(I384="Sí",VLOOKUP(D384,TARIFAS!A:K,5,FALSE),0),
      VLOOKUP(D384,TARIFAS!A:K,4,FALSE) + IF(I384="Sí",VLOOKUP(D384,TARIFAS!A:K,5,FALSE),0)
   ),
   IF(H384="Presencial",
      VLOOKUP(D384,TARIFAS!A:K,9,FALSE) + IF(I384="Sí",VLOOKUP(D384,TARIFAS!A:K,11,FALSE),0),
      VLOOKUP(D384,TARIFAS!A:K,10,FALSE) + IF(I384="Sí",VLOOKUP(D384,TARIFAS!A:K,11,FALSE),0)
   )
 )
)
</f>
        <v>0</v>
      </c>
      <c r="M384" s="45">
        <f>IF(J384="",0,MAX(0,J384 - TARIFAS!G$2) * TARIFAS!F$2)
</f>
        <v>0</v>
      </c>
      <c r="N384" s="45">
        <f>+L384*TARIFAS!$K$2</f>
        <v>0</v>
      </c>
      <c r="O384" s="45">
        <f t="shared" si="1"/>
        <v>0</v>
      </c>
      <c r="P384" s="45">
        <f>+M384+O384+K384+(+I384-(I384*TARIFAS!$K$2))</f>
        <v>0</v>
      </c>
      <c r="Q384" s="42" t="str">
        <f>CONFERENCIAS!T384</f>
        <v/>
      </c>
      <c r="R384" s="45" t="str">
        <f>CONFERENCIAS!U384</f>
        <v/>
      </c>
      <c r="S384" s="45" t="str">
        <f>CONFERENCIAS!W384</f>
        <v/>
      </c>
      <c r="T384" s="48">
        <f>IF(Q384="",0,
   IF(E384=1,
      IF(H384="Presencial",
         VLOOKUP(D384,TARIFAS!A:K,3,FALSE) + IF(I384="Sí",VLOOKUP(D384,TARIFAS!A:K,5,FALSE),0),
         VLOOKUP(D384,TARIFAS!A:K,4,FALSE) + IF(I384="Sí",VLOOKUP(D384,TARIFAS!A:K,5,FALSE),0)
      ),
      IF(H384="Presencial",
         VLOOKUP(D384,TARIFAS!A:K,9,FALSE) + IF(I384="Sí",VLOOKUP(D384,TARIFAS!A:K,11,FALSE),0),
         VLOOKUP(D384,TARIFAS!A:K,10,FALSE) + IF(I384="Sí",VLOOKUP(D384,TARIFAS!A:K,11,FALSE),0)
      )
   )
)
</f>
        <v>0</v>
      </c>
      <c r="U384" s="45">
        <f>IF(R384="",0,MAX(0,R384 - TARIFAS!G$2) * TARIFAS!F$2)
</f>
        <v>0</v>
      </c>
      <c r="V384" s="45">
        <f>+T384*TARIFAS!$K$2</f>
        <v>0</v>
      </c>
      <c r="W384" s="45">
        <f t="shared" si="2"/>
        <v>0</v>
      </c>
      <c r="X384" s="45">
        <f t="shared" si="3"/>
        <v>0</v>
      </c>
      <c r="Y384" s="45">
        <f t="shared" si="4"/>
        <v>0</v>
      </c>
      <c r="Z384" s="42" t="str">
        <f>CONFERENCIAS!AB384</f>
        <v/>
      </c>
      <c r="AA384" s="42" t="str">
        <f>CONFERENCIAS!AC384</f>
        <v/>
      </c>
      <c r="AB384" s="47" t="str">
        <f t="shared" si="5"/>
        <v/>
      </c>
      <c r="AC384" s="9" t="str">
        <f t="shared" si="6"/>
        <v/>
      </c>
    </row>
    <row r="385">
      <c r="A385" s="42" t="str">
        <f>CONFERENCIAS!A385</f>
        <v/>
      </c>
      <c r="D385" s="42" t="str">
        <f>CONFERENCIAS!C385</f>
        <v/>
      </c>
      <c r="E385" s="42" t="str">
        <f>CONFERENCIAS!K385</f>
        <v/>
      </c>
      <c r="F385" s="49" t="str">
        <f>CONFERENCIAS!J385</f>
        <v/>
      </c>
      <c r="G385" s="42" t="str">
        <f>CONFERENCIAS!O385</f>
        <v/>
      </c>
      <c r="H385" s="42" t="str">
        <f>CONFERENCIAS!X385</f>
        <v/>
      </c>
      <c r="I385" s="42" t="str">
        <f>CONFERENCIAS!AA385</f>
        <v/>
      </c>
      <c r="J385" s="44" t="str">
        <f>CONFERENCIAS!P385</f>
        <v/>
      </c>
      <c r="K385" s="45" t="str">
        <f>CONFERENCIAS!R385</f>
        <v/>
      </c>
      <c r="L385" s="45">
        <f>IF(D385="",0,
 IF(E385=1,
   IF(H385="Presencial",
      VLOOKUP(D385,TARIFAS!A:K,3,FALSE) + IF(I385="Sí",VLOOKUP(D385,TARIFAS!A:K,5,FALSE),0),
      VLOOKUP(D385,TARIFAS!A:K,4,FALSE) + IF(I385="Sí",VLOOKUP(D385,TARIFAS!A:K,5,FALSE),0)
   ),
   IF(H385="Presencial",
      VLOOKUP(D385,TARIFAS!A:K,9,FALSE) + IF(I385="Sí",VLOOKUP(D385,TARIFAS!A:K,11,FALSE),0),
      VLOOKUP(D385,TARIFAS!A:K,10,FALSE) + IF(I385="Sí",VLOOKUP(D385,TARIFAS!A:K,11,FALSE),0)
   )
 )
)
</f>
        <v>0</v>
      </c>
      <c r="M385" s="45">
        <f>IF(J385="",0,MAX(0,J385 - TARIFAS!G$2) * TARIFAS!F$2)
</f>
        <v>0</v>
      </c>
      <c r="N385" s="45">
        <f>+L385*TARIFAS!$K$2</f>
        <v>0</v>
      </c>
      <c r="O385" s="45">
        <f t="shared" si="1"/>
        <v>0</v>
      </c>
      <c r="P385" s="45">
        <f>+M385+O385+K385+(+I385-(I385*TARIFAS!$K$2))</f>
        <v>0</v>
      </c>
      <c r="Q385" s="42" t="str">
        <f>CONFERENCIAS!T385</f>
        <v/>
      </c>
      <c r="R385" s="45" t="str">
        <f>CONFERENCIAS!U385</f>
        <v/>
      </c>
      <c r="S385" s="45" t="str">
        <f>CONFERENCIAS!W385</f>
        <v/>
      </c>
      <c r="T385" s="48">
        <f>IF(Q385="",0,
   IF(E385=1,
      IF(H385="Presencial",
         VLOOKUP(D385,TARIFAS!A:K,3,FALSE) + IF(I385="Sí",VLOOKUP(D385,TARIFAS!A:K,5,FALSE),0),
         VLOOKUP(D385,TARIFAS!A:K,4,FALSE) + IF(I385="Sí",VLOOKUP(D385,TARIFAS!A:K,5,FALSE),0)
      ),
      IF(H385="Presencial",
         VLOOKUP(D385,TARIFAS!A:K,9,FALSE) + IF(I385="Sí",VLOOKUP(D385,TARIFAS!A:K,11,FALSE),0),
         VLOOKUP(D385,TARIFAS!A:K,10,FALSE) + IF(I385="Sí",VLOOKUP(D385,TARIFAS!A:K,11,FALSE),0)
      )
   )
)
</f>
        <v>0</v>
      </c>
      <c r="U385" s="45">
        <f>IF(R385="",0,MAX(0,R385 - TARIFAS!G$2) * TARIFAS!F$2)
</f>
        <v>0</v>
      </c>
      <c r="V385" s="45">
        <f>+T385*TARIFAS!$K$2</f>
        <v>0</v>
      </c>
      <c r="W385" s="45">
        <f t="shared" si="2"/>
        <v>0</v>
      </c>
      <c r="X385" s="45">
        <f t="shared" si="3"/>
        <v>0</v>
      </c>
      <c r="Y385" s="45">
        <f t="shared" si="4"/>
        <v>0</v>
      </c>
      <c r="Z385" s="42" t="str">
        <f>CONFERENCIAS!AB385</f>
        <v/>
      </c>
      <c r="AA385" s="42" t="str">
        <f>CONFERENCIAS!AC385</f>
        <v/>
      </c>
      <c r="AB385" s="47" t="str">
        <f t="shared" si="5"/>
        <v/>
      </c>
      <c r="AC385" s="9" t="str">
        <f t="shared" si="6"/>
        <v/>
      </c>
    </row>
    <row r="386">
      <c r="A386" s="42" t="str">
        <f>CONFERENCIAS!A386</f>
        <v/>
      </c>
      <c r="D386" s="42" t="str">
        <f>CONFERENCIAS!C386</f>
        <v/>
      </c>
      <c r="E386" s="42" t="str">
        <f>CONFERENCIAS!K386</f>
        <v/>
      </c>
      <c r="F386" s="49" t="str">
        <f>CONFERENCIAS!J386</f>
        <v/>
      </c>
      <c r="G386" s="42" t="str">
        <f>CONFERENCIAS!O386</f>
        <v/>
      </c>
      <c r="H386" s="42" t="str">
        <f>CONFERENCIAS!X386</f>
        <v/>
      </c>
      <c r="I386" s="42" t="str">
        <f>CONFERENCIAS!AA386</f>
        <v/>
      </c>
      <c r="J386" s="44" t="str">
        <f>CONFERENCIAS!P386</f>
        <v/>
      </c>
      <c r="K386" s="45" t="str">
        <f>CONFERENCIAS!R386</f>
        <v/>
      </c>
      <c r="L386" s="45">
        <f>IF(D386="",0,
 IF(E386=1,
   IF(H386="Presencial",
      VLOOKUP(D386,TARIFAS!A:K,3,FALSE) + IF(I386="Sí",VLOOKUP(D386,TARIFAS!A:K,5,FALSE),0),
      VLOOKUP(D386,TARIFAS!A:K,4,FALSE) + IF(I386="Sí",VLOOKUP(D386,TARIFAS!A:K,5,FALSE),0)
   ),
   IF(H386="Presencial",
      VLOOKUP(D386,TARIFAS!A:K,9,FALSE) + IF(I386="Sí",VLOOKUP(D386,TARIFAS!A:K,11,FALSE),0),
      VLOOKUP(D386,TARIFAS!A:K,10,FALSE) + IF(I386="Sí",VLOOKUP(D386,TARIFAS!A:K,11,FALSE),0)
   )
 )
)
</f>
        <v>0</v>
      </c>
      <c r="M386" s="45">
        <f>IF(J386="",0,MAX(0,J386 - TARIFAS!G$2) * TARIFAS!F$2)
</f>
        <v>0</v>
      </c>
      <c r="N386" s="45">
        <f>+L386*TARIFAS!$K$2</f>
        <v>0</v>
      </c>
      <c r="O386" s="45">
        <f t="shared" si="1"/>
        <v>0</v>
      </c>
      <c r="P386" s="45">
        <f>+M386+O386+K386+(+I386-(I386*TARIFAS!$K$2))</f>
        <v>0</v>
      </c>
      <c r="Q386" s="42" t="str">
        <f>CONFERENCIAS!T386</f>
        <v/>
      </c>
      <c r="R386" s="45" t="str">
        <f>CONFERENCIAS!U386</f>
        <v/>
      </c>
      <c r="S386" s="45" t="str">
        <f>CONFERENCIAS!W386</f>
        <v/>
      </c>
      <c r="T386" s="48">
        <f>IF(Q386="",0,
   IF(E386=1,
      IF(H386="Presencial",
         VLOOKUP(D386,TARIFAS!A:K,3,FALSE) + IF(I386="Sí",VLOOKUP(D386,TARIFAS!A:K,5,FALSE),0),
         VLOOKUP(D386,TARIFAS!A:K,4,FALSE) + IF(I386="Sí",VLOOKUP(D386,TARIFAS!A:K,5,FALSE),0)
      ),
      IF(H386="Presencial",
         VLOOKUP(D386,TARIFAS!A:K,9,FALSE) + IF(I386="Sí",VLOOKUP(D386,TARIFAS!A:K,11,FALSE),0),
         VLOOKUP(D386,TARIFAS!A:K,10,FALSE) + IF(I386="Sí",VLOOKUP(D386,TARIFAS!A:K,11,FALSE),0)
      )
   )
)
</f>
        <v>0</v>
      </c>
      <c r="U386" s="45">
        <f>IF(R386="",0,MAX(0,R386 - TARIFAS!G$2) * TARIFAS!F$2)
</f>
        <v>0</v>
      </c>
      <c r="V386" s="45">
        <f>+T386*TARIFAS!$K$2</f>
        <v>0</v>
      </c>
      <c r="W386" s="45">
        <f t="shared" si="2"/>
        <v>0</v>
      </c>
      <c r="X386" s="45">
        <f t="shared" si="3"/>
        <v>0</v>
      </c>
      <c r="Y386" s="45">
        <f t="shared" si="4"/>
        <v>0</v>
      </c>
      <c r="Z386" s="42" t="str">
        <f>CONFERENCIAS!AB386</f>
        <v/>
      </c>
      <c r="AA386" s="42" t="str">
        <f>CONFERENCIAS!AC386</f>
        <v/>
      </c>
      <c r="AB386" s="47" t="str">
        <f t="shared" si="5"/>
        <v/>
      </c>
      <c r="AC386" s="9" t="str">
        <f t="shared" si="6"/>
        <v/>
      </c>
    </row>
    <row r="387">
      <c r="A387" s="42" t="str">
        <f>CONFERENCIAS!A387</f>
        <v/>
      </c>
      <c r="D387" s="42" t="str">
        <f>CONFERENCIAS!C387</f>
        <v/>
      </c>
      <c r="E387" s="42" t="str">
        <f>CONFERENCIAS!K387</f>
        <v/>
      </c>
      <c r="F387" s="49" t="str">
        <f>CONFERENCIAS!J387</f>
        <v/>
      </c>
      <c r="G387" s="42" t="str">
        <f>CONFERENCIAS!O387</f>
        <v/>
      </c>
      <c r="H387" s="42" t="str">
        <f>CONFERENCIAS!X387</f>
        <v/>
      </c>
      <c r="I387" s="42" t="str">
        <f>CONFERENCIAS!AA387</f>
        <v/>
      </c>
      <c r="J387" s="44" t="str">
        <f>CONFERENCIAS!P387</f>
        <v/>
      </c>
      <c r="K387" s="45" t="str">
        <f>CONFERENCIAS!R387</f>
        <v/>
      </c>
      <c r="L387" s="45">
        <f>IF(D387="",0,
 IF(E387=1,
   IF(H387="Presencial",
      VLOOKUP(D387,TARIFAS!A:K,3,FALSE) + IF(I387="Sí",VLOOKUP(D387,TARIFAS!A:K,5,FALSE),0),
      VLOOKUP(D387,TARIFAS!A:K,4,FALSE) + IF(I387="Sí",VLOOKUP(D387,TARIFAS!A:K,5,FALSE),0)
   ),
   IF(H387="Presencial",
      VLOOKUP(D387,TARIFAS!A:K,9,FALSE) + IF(I387="Sí",VLOOKUP(D387,TARIFAS!A:K,11,FALSE),0),
      VLOOKUP(D387,TARIFAS!A:K,10,FALSE) + IF(I387="Sí",VLOOKUP(D387,TARIFAS!A:K,11,FALSE),0)
   )
 )
)
</f>
        <v>0</v>
      </c>
      <c r="M387" s="45">
        <f>IF(J387="",0,MAX(0,J387 - TARIFAS!G$2) * TARIFAS!F$2)
</f>
        <v>0</v>
      </c>
      <c r="N387" s="45">
        <f>+L387*TARIFAS!$K$2</f>
        <v>0</v>
      </c>
      <c r="O387" s="45">
        <f t="shared" si="1"/>
        <v>0</v>
      </c>
      <c r="P387" s="45">
        <f>+M387+O387+K387+(+I387-(I387*TARIFAS!$K$2))</f>
        <v>0</v>
      </c>
      <c r="Q387" s="42" t="str">
        <f>CONFERENCIAS!T387</f>
        <v/>
      </c>
      <c r="R387" s="45" t="str">
        <f>CONFERENCIAS!U387</f>
        <v/>
      </c>
      <c r="S387" s="45" t="str">
        <f>CONFERENCIAS!W387</f>
        <v/>
      </c>
      <c r="T387" s="48">
        <f>IF(Q387="",0,
   IF(E387=1,
      IF(H387="Presencial",
         VLOOKUP(D387,TARIFAS!A:K,3,FALSE) + IF(I387="Sí",VLOOKUP(D387,TARIFAS!A:K,5,FALSE),0),
         VLOOKUP(D387,TARIFAS!A:K,4,FALSE) + IF(I387="Sí",VLOOKUP(D387,TARIFAS!A:K,5,FALSE),0)
      ),
      IF(H387="Presencial",
         VLOOKUP(D387,TARIFAS!A:K,9,FALSE) + IF(I387="Sí",VLOOKUP(D387,TARIFAS!A:K,11,FALSE),0),
         VLOOKUP(D387,TARIFAS!A:K,10,FALSE) + IF(I387="Sí",VLOOKUP(D387,TARIFAS!A:K,11,FALSE),0)
      )
   )
)
</f>
        <v>0</v>
      </c>
      <c r="U387" s="45">
        <f>IF(R387="",0,MAX(0,R387 - TARIFAS!G$2) * TARIFAS!F$2)
</f>
        <v>0</v>
      </c>
      <c r="V387" s="45">
        <f>+T387*TARIFAS!$K$2</f>
        <v>0</v>
      </c>
      <c r="W387" s="45">
        <f t="shared" si="2"/>
        <v>0</v>
      </c>
      <c r="X387" s="45">
        <f t="shared" si="3"/>
        <v>0</v>
      </c>
      <c r="Y387" s="45">
        <f t="shared" si="4"/>
        <v>0</v>
      </c>
      <c r="Z387" s="42" t="str">
        <f>CONFERENCIAS!AB387</f>
        <v/>
      </c>
      <c r="AA387" s="42" t="str">
        <f>CONFERENCIAS!AC387</f>
        <v/>
      </c>
      <c r="AB387" s="47" t="str">
        <f t="shared" si="5"/>
        <v/>
      </c>
      <c r="AC387" s="9" t="str">
        <f t="shared" si="6"/>
        <v/>
      </c>
    </row>
    <row r="388">
      <c r="A388" s="42" t="str">
        <f>CONFERENCIAS!A388</f>
        <v/>
      </c>
      <c r="D388" s="42" t="str">
        <f>CONFERENCIAS!C388</f>
        <v/>
      </c>
      <c r="E388" s="42" t="str">
        <f>CONFERENCIAS!K388</f>
        <v/>
      </c>
      <c r="F388" s="49" t="str">
        <f>CONFERENCIAS!J388</f>
        <v/>
      </c>
      <c r="G388" s="42" t="str">
        <f>CONFERENCIAS!O388</f>
        <v/>
      </c>
      <c r="H388" s="42" t="str">
        <f>CONFERENCIAS!X388</f>
        <v/>
      </c>
      <c r="I388" s="42" t="str">
        <f>CONFERENCIAS!AA388</f>
        <v/>
      </c>
      <c r="J388" s="44" t="str">
        <f>CONFERENCIAS!P388</f>
        <v/>
      </c>
      <c r="K388" s="45" t="str">
        <f>CONFERENCIAS!R388</f>
        <v/>
      </c>
      <c r="L388" s="45">
        <f>IF(D388="",0,
 IF(E388=1,
   IF(H388="Presencial",
      VLOOKUP(D388,TARIFAS!A:K,3,FALSE) + IF(I388="Sí",VLOOKUP(D388,TARIFAS!A:K,5,FALSE),0),
      VLOOKUP(D388,TARIFAS!A:K,4,FALSE) + IF(I388="Sí",VLOOKUP(D388,TARIFAS!A:K,5,FALSE),0)
   ),
   IF(H388="Presencial",
      VLOOKUP(D388,TARIFAS!A:K,9,FALSE) + IF(I388="Sí",VLOOKUP(D388,TARIFAS!A:K,11,FALSE),0),
      VLOOKUP(D388,TARIFAS!A:K,10,FALSE) + IF(I388="Sí",VLOOKUP(D388,TARIFAS!A:K,11,FALSE),0)
   )
 )
)
</f>
        <v>0</v>
      </c>
      <c r="M388" s="45">
        <f>IF(J388="",0,MAX(0,J388 - TARIFAS!G$2) * TARIFAS!F$2)
</f>
        <v>0</v>
      </c>
      <c r="N388" s="45">
        <f>+L388*TARIFAS!$K$2</f>
        <v>0</v>
      </c>
      <c r="O388" s="45">
        <f t="shared" si="1"/>
        <v>0</v>
      </c>
      <c r="P388" s="45">
        <f>+M388+O388+K388+(+I388-(I388*TARIFAS!$K$2))</f>
        <v>0</v>
      </c>
      <c r="Q388" s="42" t="str">
        <f>CONFERENCIAS!T388</f>
        <v/>
      </c>
      <c r="R388" s="45" t="str">
        <f>CONFERENCIAS!U388</f>
        <v/>
      </c>
      <c r="S388" s="45" t="str">
        <f>CONFERENCIAS!W388</f>
        <v/>
      </c>
      <c r="T388" s="48">
        <f>IF(Q388="",0,
   IF(E388=1,
      IF(H388="Presencial",
         VLOOKUP(D388,TARIFAS!A:K,3,FALSE) + IF(I388="Sí",VLOOKUP(D388,TARIFAS!A:K,5,FALSE),0),
         VLOOKUP(D388,TARIFAS!A:K,4,FALSE) + IF(I388="Sí",VLOOKUP(D388,TARIFAS!A:K,5,FALSE),0)
      ),
      IF(H388="Presencial",
         VLOOKUP(D388,TARIFAS!A:K,9,FALSE) + IF(I388="Sí",VLOOKUP(D388,TARIFAS!A:K,11,FALSE),0),
         VLOOKUP(D388,TARIFAS!A:K,10,FALSE) + IF(I388="Sí",VLOOKUP(D388,TARIFAS!A:K,11,FALSE),0)
      )
   )
)
</f>
        <v>0</v>
      </c>
      <c r="U388" s="45">
        <f>IF(R388="",0,MAX(0,R388 - TARIFAS!G$2) * TARIFAS!F$2)
</f>
        <v>0</v>
      </c>
      <c r="V388" s="45">
        <f>+T388*TARIFAS!$K$2</f>
        <v>0</v>
      </c>
      <c r="W388" s="45">
        <f t="shared" si="2"/>
        <v>0</v>
      </c>
      <c r="X388" s="45">
        <f t="shared" si="3"/>
        <v>0</v>
      </c>
      <c r="Y388" s="45">
        <f t="shared" si="4"/>
        <v>0</v>
      </c>
      <c r="Z388" s="42" t="str">
        <f>CONFERENCIAS!AB388</f>
        <v/>
      </c>
      <c r="AA388" s="42" t="str">
        <f>CONFERENCIAS!AC388</f>
        <v/>
      </c>
      <c r="AB388" s="47" t="str">
        <f t="shared" si="5"/>
        <v/>
      </c>
      <c r="AC388" s="9" t="str">
        <f t="shared" si="6"/>
        <v/>
      </c>
    </row>
    <row r="389">
      <c r="A389" s="42" t="str">
        <f>CONFERENCIAS!A389</f>
        <v/>
      </c>
      <c r="D389" s="42" t="str">
        <f>CONFERENCIAS!C389</f>
        <v/>
      </c>
      <c r="E389" s="42" t="str">
        <f>CONFERENCIAS!K389</f>
        <v/>
      </c>
      <c r="F389" s="49" t="str">
        <f>CONFERENCIAS!J389</f>
        <v/>
      </c>
      <c r="G389" s="42" t="str">
        <f>CONFERENCIAS!O389</f>
        <v/>
      </c>
      <c r="H389" s="42" t="str">
        <f>CONFERENCIAS!X389</f>
        <v/>
      </c>
      <c r="I389" s="42" t="str">
        <f>CONFERENCIAS!AA389</f>
        <v/>
      </c>
      <c r="J389" s="44" t="str">
        <f>CONFERENCIAS!P389</f>
        <v/>
      </c>
      <c r="K389" s="45" t="str">
        <f>CONFERENCIAS!R389</f>
        <v/>
      </c>
      <c r="L389" s="45">
        <f>IF(D389="",0,
 IF(E389=1,
   IF(H389="Presencial",
      VLOOKUP(D389,TARIFAS!A:K,3,FALSE) + IF(I389="Sí",VLOOKUP(D389,TARIFAS!A:K,5,FALSE),0),
      VLOOKUP(D389,TARIFAS!A:K,4,FALSE) + IF(I389="Sí",VLOOKUP(D389,TARIFAS!A:K,5,FALSE),0)
   ),
   IF(H389="Presencial",
      VLOOKUP(D389,TARIFAS!A:K,9,FALSE) + IF(I389="Sí",VLOOKUP(D389,TARIFAS!A:K,11,FALSE),0),
      VLOOKUP(D389,TARIFAS!A:K,10,FALSE) + IF(I389="Sí",VLOOKUP(D389,TARIFAS!A:K,11,FALSE),0)
   )
 )
)
</f>
        <v>0</v>
      </c>
      <c r="M389" s="45">
        <f>IF(J389="",0,MAX(0,J389 - TARIFAS!G$2) * TARIFAS!F$2)
</f>
        <v>0</v>
      </c>
      <c r="N389" s="45">
        <f>+L389*TARIFAS!$K$2</f>
        <v>0</v>
      </c>
      <c r="O389" s="45">
        <f t="shared" si="1"/>
        <v>0</v>
      </c>
      <c r="P389" s="45">
        <f>+M389+O389+K389+(+I389-(I389*TARIFAS!$K$2))</f>
        <v>0</v>
      </c>
      <c r="Q389" s="42" t="str">
        <f>CONFERENCIAS!T389</f>
        <v/>
      </c>
      <c r="R389" s="45" t="str">
        <f>CONFERENCIAS!U389</f>
        <v/>
      </c>
      <c r="S389" s="45" t="str">
        <f>CONFERENCIAS!W389</f>
        <v/>
      </c>
      <c r="T389" s="48">
        <f>IF(Q389="",0,
   IF(E389=1,
      IF(H389="Presencial",
         VLOOKUP(D389,TARIFAS!A:K,3,FALSE) + IF(I389="Sí",VLOOKUP(D389,TARIFAS!A:K,5,FALSE),0),
         VLOOKUP(D389,TARIFAS!A:K,4,FALSE) + IF(I389="Sí",VLOOKUP(D389,TARIFAS!A:K,5,FALSE),0)
      ),
      IF(H389="Presencial",
         VLOOKUP(D389,TARIFAS!A:K,9,FALSE) + IF(I389="Sí",VLOOKUP(D389,TARIFAS!A:K,11,FALSE),0),
         VLOOKUP(D389,TARIFAS!A:K,10,FALSE) + IF(I389="Sí",VLOOKUP(D389,TARIFAS!A:K,11,FALSE),0)
      )
   )
)
</f>
        <v>0</v>
      </c>
      <c r="U389" s="45">
        <f>IF(R389="",0,MAX(0,R389 - TARIFAS!G$2) * TARIFAS!F$2)
</f>
        <v>0</v>
      </c>
      <c r="V389" s="45">
        <f>+T389*TARIFAS!$K$2</f>
        <v>0</v>
      </c>
      <c r="W389" s="45">
        <f t="shared" si="2"/>
        <v>0</v>
      </c>
      <c r="X389" s="45">
        <f t="shared" si="3"/>
        <v>0</v>
      </c>
      <c r="Y389" s="45">
        <f t="shared" si="4"/>
        <v>0</v>
      </c>
      <c r="Z389" s="42" t="str">
        <f>CONFERENCIAS!AB389</f>
        <v/>
      </c>
      <c r="AA389" s="42" t="str">
        <f>CONFERENCIAS!AC389</f>
        <v/>
      </c>
      <c r="AB389" s="47" t="str">
        <f t="shared" si="5"/>
        <v/>
      </c>
      <c r="AC389" s="9" t="str">
        <f t="shared" si="6"/>
        <v/>
      </c>
    </row>
    <row r="390">
      <c r="A390" s="42" t="str">
        <f>CONFERENCIAS!A390</f>
        <v/>
      </c>
      <c r="D390" s="42" t="str">
        <f>CONFERENCIAS!C390</f>
        <v/>
      </c>
      <c r="E390" s="42" t="str">
        <f>CONFERENCIAS!K390</f>
        <v/>
      </c>
      <c r="F390" s="49" t="str">
        <f>CONFERENCIAS!J390</f>
        <v/>
      </c>
      <c r="G390" s="42" t="str">
        <f>CONFERENCIAS!O390</f>
        <v/>
      </c>
      <c r="H390" s="42" t="str">
        <f>CONFERENCIAS!X390</f>
        <v/>
      </c>
      <c r="I390" s="42" t="str">
        <f>CONFERENCIAS!AA390</f>
        <v/>
      </c>
      <c r="J390" s="44" t="str">
        <f>CONFERENCIAS!P390</f>
        <v/>
      </c>
      <c r="K390" s="45" t="str">
        <f>CONFERENCIAS!R390</f>
        <v/>
      </c>
      <c r="L390" s="45">
        <f>IF(D390="",0,
 IF(E390=1,
   IF(H390="Presencial",
      VLOOKUP(D390,TARIFAS!A:K,3,FALSE) + IF(I390="Sí",VLOOKUP(D390,TARIFAS!A:K,5,FALSE),0),
      VLOOKUP(D390,TARIFAS!A:K,4,FALSE) + IF(I390="Sí",VLOOKUP(D390,TARIFAS!A:K,5,FALSE),0)
   ),
   IF(H390="Presencial",
      VLOOKUP(D390,TARIFAS!A:K,9,FALSE) + IF(I390="Sí",VLOOKUP(D390,TARIFAS!A:K,11,FALSE),0),
      VLOOKUP(D390,TARIFAS!A:K,10,FALSE) + IF(I390="Sí",VLOOKUP(D390,TARIFAS!A:K,11,FALSE),0)
   )
 )
)
</f>
        <v>0</v>
      </c>
      <c r="M390" s="45">
        <f>IF(J390="",0,MAX(0,J390 - TARIFAS!G$2) * TARIFAS!F$2)
</f>
        <v>0</v>
      </c>
      <c r="N390" s="45">
        <f>+L390*TARIFAS!$K$2</f>
        <v>0</v>
      </c>
      <c r="O390" s="45">
        <f t="shared" si="1"/>
        <v>0</v>
      </c>
      <c r="P390" s="45">
        <f>+M390+O390+K390+(+I390-(I390*TARIFAS!$K$2))</f>
        <v>0</v>
      </c>
      <c r="Q390" s="42" t="str">
        <f>CONFERENCIAS!T390</f>
        <v/>
      </c>
      <c r="R390" s="45" t="str">
        <f>CONFERENCIAS!U390</f>
        <v/>
      </c>
      <c r="S390" s="45" t="str">
        <f>CONFERENCIAS!W390</f>
        <v/>
      </c>
      <c r="T390" s="48">
        <f>IF(Q390="",0,
   IF(E390=1,
      IF(H390="Presencial",
         VLOOKUP(D390,TARIFAS!A:K,3,FALSE) + IF(I390="Sí",VLOOKUP(D390,TARIFAS!A:K,5,FALSE),0),
         VLOOKUP(D390,TARIFAS!A:K,4,FALSE) + IF(I390="Sí",VLOOKUP(D390,TARIFAS!A:K,5,FALSE),0)
      ),
      IF(H390="Presencial",
         VLOOKUP(D390,TARIFAS!A:K,9,FALSE) + IF(I390="Sí",VLOOKUP(D390,TARIFAS!A:K,11,FALSE),0),
         VLOOKUP(D390,TARIFAS!A:K,10,FALSE) + IF(I390="Sí",VLOOKUP(D390,TARIFAS!A:K,11,FALSE),0)
      )
   )
)
</f>
        <v>0</v>
      </c>
      <c r="U390" s="45">
        <f>IF(R390="",0,MAX(0,R390 - TARIFAS!G$2) * TARIFAS!F$2)
</f>
        <v>0</v>
      </c>
      <c r="V390" s="45">
        <f>+T390*TARIFAS!$K$2</f>
        <v>0</v>
      </c>
      <c r="W390" s="45">
        <f t="shared" si="2"/>
        <v>0</v>
      </c>
      <c r="X390" s="45">
        <f t="shared" si="3"/>
        <v>0</v>
      </c>
      <c r="Y390" s="45">
        <f t="shared" si="4"/>
        <v>0</v>
      </c>
      <c r="Z390" s="42" t="str">
        <f>CONFERENCIAS!AB390</f>
        <v/>
      </c>
      <c r="AA390" s="42" t="str">
        <f>CONFERENCIAS!AC390</f>
        <v/>
      </c>
      <c r="AB390" s="47" t="str">
        <f t="shared" si="5"/>
        <v/>
      </c>
      <c r="AC390" s="9" t="str">
        <f t="shared" si="6"/>
        <v/>
      </c>
    </row>
    <row r="391">
      <c r="A391" s="42" t="str">
        <f>CONFERENCIAS!A391</f>
        <v/>
      </c>
      <c r="D391" s="42" t="str">
        <f>CONFERENCIAS!C391</f>
        <v/>
      </c>
      <c r="E391" s="42" t="str">
        <f>CONFERENCIAS!K391</f>
        <v/>
      </c>
      <c r="F391" s="49" t="str">
        <f>CONFERENCIAS!J391</f>
        <v/>
      </c>
      <c r="G391" s="42" t="str">
        <f>CONFERENCIAS!O391</f>
        <v/>
      </c>
      <c r="H391" s="42" t="str">
        <f>CONFERENCIAS!X391</f>
        <v/>
      </c>
      <c r="I391" s="42" t="str">
        <f>CONFERENCIAS!AA391</f>
        <v/>
      </c>
      <c r="J391" s="44" t="str">
        <f>CONFERENCIAS!P391</f>
        <v/>
      </c>
      <c r="K391" s="45" t="str">
        <f>CONFERENCIAS!R391</f>
        <v/>
      </c>
      <c r="L391" s="45">
        <f>IF(D391="",0,
 IF(E391=1,
   IF(H391="Presencial",
      VLOOKUP(D391,TARIFAS!A:K,3,FALSE) + IF(I391="Sí",VLOOKUP(D391,TARIFAS!A:K,5,FALSE),0),
      VLOOKUP(D391,TARIFAS!A:K,4,FALSE) + IF(I391="Sí",VLOOKUP(D391,TARIFAS!A:K,5,FALSE),0)
   ),
   IF(H391="Presencial",
      VLOOKUP(D391,TARIFAS!A:K,9,FALSE) + IF(I391="Sí",VLOOKUP(D391,TARIFAS!A:K,11,FALSE),0),
      VLOOKUP(D391,TARIFAS!A:K,10,FALSE) + IF(I391="Sí",VLOOKUP(D391,TARIFAS!A:K,11,FALSE),0)
   )
 )
)
</f>
        <v>0</v>
      </c>
      <c r="M391" s="45">
        <f>IF(J391="",0,MAX(0,J391 - TARIFAS!G$2) * TARIFAS!F$2)
</f>
        <v>0</v>
      </c>
      <c r="N391" s="45">
        <f>+L391*TARIFAS!$K$2</f>
        <v>0</v>
      </c>
      <c r="O391" s="45">
        <f t="shared" si="1"/>
        <v>0</v>
      </c>
      <c r="P391" s="45">
        <f>+M391+O391+K391+(+I391-(I391*TARIFAS!$K$2))</f>
        <v>0</v>
      </c>
      <c r="Q391" s="42" t="str">
        <f>CONFERENCIAS!T391</f>
        <v/>
      </c>
      <c r="R391" s="45" t="str">
        <f>CONFERENCIAS!U391</f>
        <v/>
      </c>
      <c r="S391" s="45" t="str">
        <f>CONFERENCIAS!W391</f>
        <v/>
      </c>
      <c r="T391" s="48">
        <f>IF(Q391="",0,
   IF(E391=1,
      IF(H391="Presencial",
         VLOOKUP(D391,TARIFAS!A:K,3,FALSE) + IF(I391="Sí",VLOOKUP(D391,TARIFAS!A:K,5,FALSE),0),
         VLOOKUP(D391,TARIFAS!A:K,4,FALSE) + IF(I391="Sí",VLOOKUP(D391,TARIFAS!A:K,5,FALSE),0)
      ),
      IF(H391="Presencial",
         VLOOKUP(D391,TARIFAS!A:K,9,FALSE) + IF(I391="Sí",VLOOKUP(D391,TARIFAS!A:K,11,FALSE),0),
         VLOOKUP(D391,TARIFAS!A:K,10,FALSE) + IF(I391="Sí",VLOOKUP(D391,TARIFAS!A:K,11,FALSE),0)
      )
   )
)
</f>
        <v>0</v>
      </c>
      <c r="U391" s="45">
        <f>IF(R391="",0,MAX(0,R391 - TARIFAS!G$2) * TARIFAS!F$2)
</f>
        <v>0</v>
      </c>
      <c r="V391" s="45">
        <f>+T391*TARIFAS!$K$2</f>
        <v>0</v>
      </c>
      <c r="W391" s="45">
        <f t="shared" si="2"/>
        <v>0</v>
      </c>
      <c r="X391" s="45">
        <f t="shared" si="3"/>
        <v>0</v>
      </c>
      <c r="Y391" s="45">
        <f t="shared" si="4"/>
        <v>0</v>
      </c>
      <c r="Z391" s="42" t="str">
        <f>CONFERENCIAS!AB391</f>
        <v/>
      </c>
      <c r="AA391" s="42" t="str">
        <f>CONFERENCIAS!AC391</f>
        <v/>
      </c>
      <c r="AB391" s="47" t="str">
        <f t="shared" si="5"/>
        <v/>
      </c>
      <c r="AC391" s="9" t="str">
        <f t="shared" si="6"/>
        <v/>
      </c>
    </row>
    <row r="392">
      <c r="A392" s="42" t="str">
        <f>CONFERENCIAS!A392</f>
        <v/>
      </c>
      <c r="D392" s="42" t="str">
        <f>CONFERENCIAS!C392</f>
        <v/>
      </c>
      <c r="E392" s="42" t="str">
        <f>CONFERENCIAS!K392</f>
        <v/>
      </c>
      <c r="F392" s="49" t="str">
        <f>CONFERENCIAS!J392</f>
        <v/>
      </c>
      <c r="G392" s="42" t="str">
        <f>CONFERENCIAS!O392</f>
        <v/>
      </c>
      <c r="H392" s="42" t="str">
        <f>CONFERENCIAS!X392</f>
        <v/>
      </c>
      <c r="I392" s="42" t="str">
        <f>CONFERENCIAS!AA392</f>
        <v/>
      </c>
      <c r="J392" s="44" t="str">
        <f>CONFERENCIAS!P392</f>
        <v/>
      </c>
      <c r="K392" s="45" t="str">
        <f>CONFERENCIAS!R392</f>
        <v/>
      </c>
      <c r="L392" s="45">
        <f>IF(D392="",0,
 IF(E392=1,
   IF(H392="Presencial",
      VLOOKUP(D392,TARIFAS!A:K,3,FALSE) + IF(I392="Sí",VLOOKUP(D392,TARIFAS!A:K,5,FALSE),0),
      VLOOKUP(D392,TARIFAS!A:K,4,FALSE) + IF(I392="Sí",VLOOKUP(D392,TARIFAS!A:K,5,FALSE),0)
   ),
   IF(H392="Presencial",
      VLOOKUP(D392,TARIFAS!A:K,9,FALSE) + IF(I392="Sí",VLOOKUP(D392,TARIFAS!A:K,11,FALSE),0),
      VLOOKUP(D392,TARIFAS!A:K,10,FALSE) + IF(I392="Sí",VLOOKUP(D392,TARIFAS!A:K,11,FALSE),0)
   )
 )
)
</f>
        <v>0</v>
      </c>
      <c r="M392" s="45">
        <f>IF(J392="",0,MAX(0,J392 - TARIFAS!G$2) * TARIFAS!F$2)
</f>
        <v>0</v>
      </c>
      <c r="N392" s="45">
        <f>+L392*TARIFAS!$K$2</f>
        <v>0</v>
      </c>
      <c r="O392" s="45">
        <f t="shared" si="1"/>
        <v>0</v>
      </c>
      <c r="P392" s="45">
        <f>+M392+O392+K392+(+I392-(I392*TARIFAS!$K$2))</f>
        <v>0</v>
      </c>
      <c r="Q392" s="42" t="str">
        <f>CONFERENCIAS!T392</f>
        <v/>
      </c>
      <c r="R392" s="45" t="str">
        <f>CONFERENCIAS!U392</f>
        <v/>
      </c>
      <c r="S392" s="45" t="str">
        <f>CONFERENCIAS!W392</f>
        <v/>
      </c>
      <c r="T392" s="48">
        <f>IF(Q392="",0,
   IF(E392=1,
      IF(H392="Presencial",
         VLOOKUP(D392,TARIFAS!A:K,3,FALSE) + IF(I392="Sí",VLOOKUP(D392,TARIFAS!A:K,5,FALSE),0),
         VLOOKUP(D392,TARIFAS!A:K,4,FALSE) + IF(I392="Sí",VLOOKUP(D392,TARIFAS!A:K,5,FALSE),0)
      ),
      IF(H392="Presencial",
         VLOOKUP(D392,TARIFAS!A:K,9,FALSE) + IF(I392="Sí",VLOOKUP(D392,TARIFAS!A:K,11,FALSE),0),
         VLOOKUP(D392,TARIFAS!A:K,10,FALSE) + IF(I392="Sí",VLOOKUP(D392,TARIFAS!A:K,11,FALSE),0)
      )
   )
)
</f>
        <v>0</v>
      </c>
      <c r="U392" s="45">
        <f>IF(R392="",0,MAX(0,R392 - TARIFAS!G$2) * TARIFAS!F$2)
</f>
        <v>0</v>
      </c>
      <c r="V392" s="45">
        <f>+T392*TARIFAS!$K$2</f>
        <v>0</v>
      </c>
      <c r="W392" s="45">
        <f t="shared" si="2"/>
        <v>0</v>
      </c>
      <c r="X392" s="45">
        <f t="shared" si="3"/>
        <v>0</v>
      </c>
      <c r="Y392" s="45">
        <f t="shared" si="4"/>
        <v>0</v>
      </c>
      <c r="Z392" s="42" t="str">
        <f>CONFERENCIAS!AB392</f>
        <v/>
      </c>
      <c r="AA392" s="42" t="str">
        <f>CONFERENCIAS!AC392</f>
        <v/>
      </c>
      <c r="AB392" s="47" t="str">
        <f t="shared" si="5"/>
        <v/>
      </c>
      <c r="AC392" s="9" t="str">
        <f t="shared" si="6"/>
        <v/>
      </c>
    </row>
    <row r="393">
      <c r="A393" s="42" t="str">
        <f>CONFERENCIAS!A393</f>
        <v/>
      </c>
      <c r="D393" s="42" t="str">
        <f>CONFERENCIAS!C393</f>
        <v/>
      </c>
      <c r="E393" s="42" t="str">
        <f>CONFERENCIAS!K393</f>
        <v/>
      </c>
      <c r="F393" s="49" t="str">
        <f>CONFERENCIAS!J393</f>
        <v/>
      </c>
      <c r="G393" s="42" t="str">
        <f>CONFERENCIAS!O393</f>
        <v/>
      </c>
      <c r="H393" s="42" t="str">
        <f>CONFERENCIAS!X393</f>
        <v/>
      </c>
      <c r="I393" s="42" t="str">
        <f>CONFERENCIAS!AA393</f>
        <v/>
      </c>
      <c r="J393" s="44" t="str">
        <f>CONFERENCIAS!P393</f>
        <v/>
      </c>
      <c r="K393" s="45" t="str">
        <f>CONFERENCIAS!R393</f>
        <v/>
      </c>
      <c r="L393" s="45">
        <f>IF(D393="",0,
 IF(E393=1,
   IF(H393="Presencial",
      VLOOKUP(D393,TARIFAS!A:K,3,FALSE) + IF(I393="Sí",VLOOKUP(D393,TARIFAS!A:K,5,FALSE),0),
      VLOOKUP(D393,TARIFAS!A:K,4,FALSE) + IF(I393="Sí",VLOOKUP(D393,TARIFAS!A:K,5,FALSE),0)
   ),
   IF(H393="Presencial",
      VLOOKUP(D393,TARIFAS!A:K,9,FALSE) + IF(I393="Sí",VLOOKUP(D393,TARIFAS!A:K,11,FALSE),0),
      VLOOKUP(D393,TARIFAS!A:K,10,FALSE) + IF(I393="Sí",VLOOKUP(D393,TARIFAS!A:K,11,FALSE),0)
   )
 )
)
</f>
        <v>0</v>
      </c>
      <c r="M393" s="45">
        <f>IF(J393="",0,MAX(0,J393 - TARIFAS!G$2) * TARIFAS!F$2)
</f>
        <v>0</v>
      </c>
      <c r="N393" s="45">
        <f>+L393*TARIFAS!$K$2</f>
        <v>0</v>
      </c>
      <c r="O393" s="45">
        <f t="shared" si="1"/>
        <v>0</v>
      </c>
      <c r="P393" s="45">
        <f>+M393+O393+K393+(+I393-(I393*TARIFAS!$K$2))</f>
        <v>0</v>
      </c>
      <c r="Q393" s="42" t="str">
        <f>CONFERENCIAS!T393</f>
        <v/>
      </c>
      <c r="R393" s="45" t="str">
        <f>CONFERENCIAS!U393</f>
        <v/>
      </c>
      <c r="S393" s="45" t="str">
        <f>CONFERENCIAS!W393</f>
        <v/>
      </c>
      <c r="T393" s="48">
        <f>IF(Q393="",0,
   IF(E393=1,
      IF(H393="Presencial",
         VLOOKUP(D393,TARIFAS!A:K,3,FALSE) + IF(I393="Sí",VLOOKUP(D393,TARIFAS!A:K,5,FALSE),0),
         VLOOKUP(D393,TARIFAS!A:K,4,FALSE) + IF(I393="Sí",VLOOKUP(D393,TARIFAS!A:K,5,FALSE),0)
      ),
      IF(H393="Presencial",
         VLOOKUP(D393,TARIFAS!A:K,9,FALSE) + IF(I393="Sí",VLOOKUP(D393,TARIFAS!A:K,11,FALSE),0),
         VLOOKUP(D393,TARIFAS!A:K,10,FALSE) + IF(I393="Sí",VLOOKUP(D393,TARIFAS!A:K,11,FALSE),0)
      )
   )
)
</f>
        <v>0</v>
      </c>
      <c r="U393" s="45">
        <f>IF(R393="",0,MAX(0,R393 - TARIFAS!G$2) * TARIFAS!F$2)
</f>
        <v>0</v>
      </c>
      <c r="V393" s="45">
        <f>+T393*TARIFAS!$K$2</f>
        <v>0</v>
      </c>
      <c r="W393" s="45">
        <f t="shared" si="2"/>
        <v>0</v>
      </c>
      <c r="X393" s="45">
        <f t="shared" si="3"/>
        <v>0</v>
      </c>
      <c r="Y393" s="45">
        <f t="shared" si="4"/>
        <v>0</v>
      </c>
      <c r="Z393" s="42" t="str">
        <f>CONFERENCIAS!AB393</f>
        <v/>
      </c>
      <c r="AA393" s="42" t="str">
        <f>CONFERENCIAS!AC393</f>
        <v/>
      </c>
      <c r="AB393" s="47" t="str">
        <f t="shared" si="5"/>
        <v/>
      </c>
      <c r="AC393" s="9" t="str">
        <f t="shared" si="6"/>
        <v/>
      </c>
    </row>
    <row r="394">
      <c r="A394" s="42" t="str">
        <f>CONFERENCIAS!A394</f>
        <v/>
      </c>
      <c r="D394" s="42" t="str">
        <f>CONFERENCIAS!C394</f>
        <v/>
      </c>
      <c r="E394" s="42" t="str">
        <f>CONFERENCIAS!K394</f>
        <v/>
      </c>
      <c r="F394" s="49" t="str">
        <f>CONFERENCIAS!J394</f>
        <v/>
      </c>
      <c r="G394" s="42" t="str">
        <f>CONFERENCIAS!O394</f>
        <v/>
      </c>
      <c r="H394" s="42" t="str">
        <f>CONFERENCIAS!X394</f>
        <v/>
      </c>
      <c r="I394" s="42" t="str">
        <f>CONFERENCIAS!AA394</f>
        <v/>
      </c>
      <c r="J394" s="44" t="str">
        <f>CONFERENCIAS!P394</f>
        <v/>
      </c>
      <c r="K394" s="45" t="str">
        <f>CONFERENCIAS!R394</f>
        <v/>
      </c>
      <c r="L394" s="45">
        <f>IF(D394="",0,
 IF(E394=1,
   IF(H394="Presencial",
      VLOOKUP(D394,TARIFAS!A:K,3,FALSE) + IF(I394="Sí",VLOOKUP(D394,TARIFAS!A:K,5,FALSE),0),
      VLOOKUP(D394,TARIFAS!A:K,4,FALSE) + IF(I394="Sí",VLOOKUP(D394,TARIFAS!A:K,5,FALSE),0)
   ),
   IF(H394="Presencial",
      VLOOKUP(D394,TARIFAS!A:K,9,FALSE) + IF(I394="Sí",VLOOKUP(D394,TARIFAS!A:K,11,FALSE),0),
      VLOOKUP(D394,TARIFAS!A:K,10,FALSE) + IF(I394="Sí",VLOOKUP(D394,TARIFAS!A:K,11,FALSE),0)
   )
 )
)
</f>
        <v>0</v>
      </c>
      <c r="M394" s="45">
        <f>IF(J394="",0,MAX(0,J394 - TARIFAS!G$2) * TARIFAS!F$2)
</f>
        <v>0</v>
      </c>
      <c r="N394" s="45">
        <f>+L394*TARIFAS!$K$2</f>
        <v>0</v>
      </c>
      <c r="O394" s="45">
        <f t="shared" si="1"/>
        <v>0</v>
      </c>
      <c r="P394" s="45">
        <f>+M394+O394+K394+(+I394-(I394*TARIFAS!$K$2))</f>
        <v>0</v>
      </c>
      <c r="Q394" s="42" t="str">
        <f>CONFERENCIAS!T394</f>
        <v/>
      </c>
      <c r="R394" s="45" t="str">
        <f>CONFERENCIAS!U394</f>
        <v/>
      </c>
      <c r="S394" s="45" t="str">
        <f>CONFERENCIAS!W394</f>
        <v/>
      </c>
      <c r="T394" s="48">
        <f>IF(Q394="",0,
   IF(E394=1,
      IF(H394="Presencial",
         VLOOKUP(D394,TARIFAS!A:K,3,FALSE) + IF(I394="Sí",VLOOKUP(D394,TARIFAS!A:K,5,FALSE),0),
         VLOOKUP(D394,TARIFAS!A:K,4,FALSE) + IF(I394="Sí",VLOOKUP(D394,TARIFAS!A:K,5,FALSE),0)
      ),
      IF(H394="Presencial",
         VLOOKUP(D394,TARIFAS!A:K,9,FALSE) + IF(I394="Sí",VLOOKUP(D394,TARIFAS!A:K,11,FALSE),0),
         VLOOKUP(D394,TARIFAS!A:K,10,FALSE) + IF(I394="Sí",VLOOKUP(D394,TARIFAS!A:K,11,FALSE),0)
      )
   )
)
</f>
        <v>0</v>
      </c>
      <c r="U394" s="45">
        <f>IF(R394="",0,MAX(0,R394 - TARIFAS!G$2) * TARIFAS!F$2)
</f>
        <v>0</v>
      </c>
      <c r="V394" s="45">
        <f>+T394*TARIFAS!$K$2</f>
        <v>0</v>
      </c>
      <c r="W394" s="45">
        <f t="shared" si="2"/>
        <v>0</v>
      </c>
      <c r="X394" s="45">
        <f t="shared" si="3"/>
        <v>0</v>
      </c>
      <c r="Y394" s="45">
        <f t="shared" si="4"/>
        <v>0</v>
      </c>
      <c r="Z394" s="42" t="str">
        <f>CONFERENCIAS!AB394</f>
        <v/>
      </c>
      <c r="AA394" s="42" t="str">
        <f>CONFERENCIAS!AC394</f>
        <v/>
      </c>
      <c r="AB394" s="47" t="str">
        <f t="shared" si="5"/>
        <v/>
      </c>
      <c r="AC394" s="9" t="str">
        <f t="shared" si="6"/>
        <v/>
      </c>
    </row>
    <row r="395">
      <c r="A395" s="42" t="str">
        <f>CONFERENCIAS!A395</f>
        <v/>
      </c>
      <c r="D395" s="42" t="str">
        <f>CONFERENCIAS!C395</f>
        <v/>
      </c>
      <c r="E395" s="42" t="str">
        <f>CONFERENCIAS!K395</f>
        <v/>
      </c>
      <c r="F395" s="49" t="str">
        <f>CONFERENCIAS!J395</f>
        <v/>
      </c>
      <c r="G395" s="42" t="str">
        <f>CONFERENCIAS!O395</f>
        <v/>
      </c>
      <c r="H395" s="42" t="str">
        <f>CONFERENCIAS!X395</f>
        <v/>
      </c>
      <c r="I395" s="42" t="str">
        <f>CONFERENCIAS!AA395</f>
        <v/>
      </c>
      <c r="J395" s="44" t="str">
        <f>CONFERENCIAS!P395</f>
        <v/>
      </c>
      <c r="K395" s="45" t="str">
        <f>CONFERENCIAS!R395</f>
        <v/>
      </c>
      <c r="L395" s="45">
        <f>IF(D395="",0,
 IF(E395=1,
   IF(H395="Presencial",
      VLOOKUP(D395,TARIFAS!A:K,3,FALSE) + IF(I395="Sí",VLOOKUP(D395,TARIFAS!A:K,5,FALSE),0),
      VLOOKUP(D395,TARIFAS!A:K,4,FALSE) + IF(I395="Sí",VLOOKUP(D395,TARIFAS!A:K,5,FALSE),0)
   ),
   IF(H395="Presencial",
      VLOOKUP(D395,TARIFAS!A:K,9,FALSE) + IF(I395="Sí",VLOOKUP(D395,TARIFAS!A:K,11,FALSE),0),
      VLOOKUP(D395,TARIFAS!A:K,10,FALSE) + IF(I395="Sí",VLOOKUP(D395,TARIFAS!A:K,11,FALSE),0)
   )
 )
)
</f>
        <v>0</v>
      </c>
      <c r="M395" s="45">
        <f>IF(J395="",0,MAX(0,J395 - TARIFAS!G$2) * TARIFAS!F$2)
</f>
        <v>0</v>
      </c>
      <c r="N395" s="45">
        <f>+L395*TARIFAS!$K$2</f>
        <v>0</v>
      </c>
      <c r="O395" s="45">
        <f t="shared" si="1"/>
        <v>0</v>
      </c>
      <c r="P395" s="45">
        <f>+M395+O395+K395+(+I395-(I395*TARIFAS!$K$2))</f>
        <v>0</v>
      </c>
      <c r="Q395" s="42" t="str">
        <f>CONFERENCIAS!T395</f>
        <v/>
      </c>
      <c r="R395" s="45" t="str">
        <f>CONFERENCIAS!U395</f>
        <v/>
      </c>
      <c r="S395" s="45" t="str">
        <f>CONFERENCIAS!W395</f>
        <v/>
      </c>
      <c r="T395" s="48">
        <f>IF(Q395="",0,
   IF(E395=1,
      IF(H395="Presencial",
         VLOOKUP(D395,TARIFAS!A:K,3,FALSE) + IF(I395="Sí",VLOOKUP(D395,TARIFAS!A:K,5,FALSE),0),
         VLOOKUP(D395,TARIFAS!A:K,4,FALSE) + IF(I395="Sí",VLOOKUP(D395,TARIFAS!A:K,5,FALSE),0)
      ),
      IF(H395="Presencial",
         VLOOKUP(D395,TARIFAS!A:K,9,FALSE) + IF(I395="Sí",VLOOKUP(D395,TARIFAS!A:K,11,FALSE),0),
         VLOOKUP(D395,TARIFAS!A:K,10,FALSE) + IF(I395="Sí",VLOOKUP(D395,TARIFAS!A:K,11,FALSE),0)
      )
   )
)
</f>
        <v>0</v>
      </c>
      <c r="U395" s="45">
        <f>IF(R395="",0,MAX(0,R395 - TARIFAS!G$2) * TARIFAS!F$2)
</f>
        <v>0</v>
      </c>
      <c r="V395" s="45">
        <f>+T395*TARIFAS!$K$2</f>
        <v>0</v>
      </c>
      <c r="W395" s="45">
        <f t="shared" si="2"/>
        <v>0</v>
      </c>
      <c r="X395" s="45">
        <f t="shared" si="3"/>
        <v>0</v>
      </c>
      <c r="Y395" s="45">
        <f t="shared" si="4"/>
        <v>0</v>
      </c>
      <c r="Z395" s="42" t="str">
        <f>CONFERENCIAS!AB395</f>
        <v/>
      </c>
      <c r="AA395" s="42" t="str">
        <f>CONFERENCIAS!AC395</f>
        <v/>
      </c>
      <c r="AB395" s="47" t="str">
        <f t="shared" si="5"/>
        <v/>
      </c>
      <c r="AC395" s="9" t="str">
        <f t="shared" si="6"/>
        <v/>
      </c>
    </row>
    <row r="396">
      <c r="A396" s="42" t="str">
        <f>CONFERENCIAS!A396</f>
        <v/>
      </c>
      <c r="D396" s="42" t="str">
        <f>CONFERENCIAS!C396</f>
        <v/>
      </c>
      <c r="E396" s="42" t="str">
        <f>CONFERENCIAS!K396</f>
        <v/>
      </c>
      <c r="F396" s="49" t="str">
        <f>CONFERENCIAS!J396</f>
        <v/>
      </c>
      <c r="G396" s="42" t="str">
        <f>CONFERENCIAS!O396</f>
        <v/>
      </c>
      <c r="H396" s="42" t="str">
        <f>CONFERENCIAS!X396</f>
        <v/>
      </c>
      <c r="I396" s="42" t="str">
        <f>CONFERENCIAS!AA396</f>
        <v/>
      </c>
      <c r="J396" s="44" t="str">
        <f>CONFERENCIAS!P396</f>
        <v/>
      </c>
      <c r="K396" s="45" t="str">
        <f>CONFERENCIAS!R396</f>
        <v/>
      </c>
      <c r="L396" s="45">
        <f>IF(D396="",0,
 IF(E396=1,
   IF(H396="Presencial",
      VLOOKUP(D396,TARIFAS!A:K,3,FALSE) + IF(I396="Sí",VLOOKUP(D396,TARIFAS!A:K,5,FALSE),0),
      VLOOKUP(D396,TARIFAS!A:K,4,FALSE) + IF(I396="Sí",VLOOKUP(D396,TARIFAS!A:K,5,FALSE),0)
   ),
   IF(H396="Presencial",
      VLOOKUP(D396,TARIFAS!A:K,9,FALSE) + IF(I396="Sí",VLOOKUP(D396,TARIFAS!A:K,11,FALSE),0),
      VLOOKUP(D396,TARIFAS!A:K,10,FALSE) + IF(I396="Sí",VLOOKUP(D396,TARIFAS!A:K,11,FALSE),0)
   )
 )
)
</f>
        <v>0</v>
      </c>
      <c r="M396" s="45">
        <f>IF(J396="",0,MAX(0,J396 - TARIFAS!G$2) * TARIFAS!F$2)
</f>
        <v>0</v>
      </c>
      <c r="N396" s="45">
        <f>+L396*TARIFAS!$K$2</f>
        <v>0</v>
      </c>
      <c r="O396" s="45">
        <f t="shared" si="1"/>
        <v>0</v>
      </c>
      <c r="P396" s="45">
        <f>+M396+O396+K396+(+I396-(I396*TARIFAS!$K$2))</f>
        <v>0</v>
      </c>
      <c r="Q396" s="42" t="str">
        <f>CONFERENCIAS!T396</f>
        <v/>
      </c>
      <c r="R396" s="45" t="str">
        <f>CONFERENCIAS!U396</f>
        <v/>
      </c>
      <c r="S396" s="45" t="str">
        <f>CONFERENCIAS!W396</f>
        <v/>
      </c>
      <c r="T396" s="48">
        <f>IF(Q396="",0,
   IF(E396=1,
      IF(H396="Presencial",
         VLOOKUP(D396,TARIFAS!A:K,3,FALSE) + IF(I396="Sí",VLOOKUP(D396,TARIFAS!A:K,5,FALSE),0),
         VLOOKUP(D396,TARIFAS!A:K,4,FALSE) + IF(I396="Sí",VLOOKUP(D396,TARIFAS!A:K,5,FALSE),0)
      ),
      IF(H396="Presencial",
         VLOOKUP(D396,TARIFAS!A:K,9,FALSE) + IF(I396="Sí",VLOOKUP(D396,TARIFAS!A:K,11,FALSE),0),
         VLOOKUP(D396,TARIFAS!A:K,10,FALSE) + IF(I396="Sí",VLOOKUP(D396,TARIFAS!A:K,11,FALSE),0)
      )
   )
)
</f>
        <v>0</v>
      </c>
      <c r="U396" s="45">
        <f>IF(R396="",0,MAX(0,R396 - TARIFAS!G$2) * TARIFAS!F$2)
</f>
        <v>0</v>
      </c>
      <c r="V396" s="45">
        <f>+T396*TARIFAS!$K$2</f>
        <v>0</v>
      </c>
      <c r="W396" s="45">
        <f t="shared" si="2"/>
        <v>0</v>
      </c>
      <c r="X396" s="45">
        <f t="shared" si="3"/>
        <v>0</v>
      </c>
      <c r="Y396" s="45">
        <f t="shared" si="4"/>
        <v>0</v>
      </c>
      <c r="Z396" s="42" t="str">
        <f>CONFERENCIAS!AB396</f>
        <v/>
      </c>
      <c r="AA396" s="42" t="str">
        <f>CONFERENCIAS!AC396</f>
        <v/>
      </c>
      <c r="AB396" s="47" t="str">
        <f t="shared" si="5"/>
        <v/>
      </c>
      <c r="AC396" s="9" t="str">
        <f t="shared" si="6"/>
        <v/>
      </c>
    </row>
    <row r="397">
      <c r="A397" s="42" t="str">
        <f>CONFERENCIAS!A397</f>
        <v/>
      </c>
      <c r="D397" s="42" t="str">
        <f>CONFERENCIAS!C397</f>
        <v/>
      </c>
      <c r="E397" s="42" t="str">
        <f>CONFERENCIAS!K397</f>
        <v/>
      </c>
      <c r="F397" s="49" t="str">
        <f>CONFERENCIAS!J397</f>
        <v/>
      </c>
      <c r="G397" s="42" t="str">
        <f>CONFERENCIAS!O397</f>
        <v/>
      </c>
      <c r="H397" s="42" t="str">
        <f>CONFERENCIAS!X397</f>
        <v/>
      </c>
      <c r="I397" s="42" t="str">
        <f>CONFERENCIAS!AA397</f>
        <v/>
      </c>
      <c r="J397" s="44" t="str">
        <f>CONFERENCIAS!P397</f>
        <v/>
      </c>
      <c r="K397" s="45" t="str">
        <f>CONFERENCIAS!R397</f>
        <v/>
      </c>
      <c r="L397" s="45">
        <f>IF(D397="",0,
 IF(E397=1,
   IF(H397="Presencial",
      VLOOKUP(D397,TARIFAS!A:K,3,FALSE) + IF(I397="Sí",VLOOKUP(D397,TARIFAS!A:K,5,FALSE),0),
      VLOOKUP(D397,TARIFAS!A:K,4,FALSE) + IF(I397="Sí",VLOOKUP(D397,TARIFAS!A:K,5,FALSE),0)
   ),
   IF(H397="Presencial",
      VLOOKUP(D397,TARIFAS!A:K,9,FALSE) + IF(I397="Sí",VLOOKUP(D397,TARIFAS!A:K,11,FALSE),0),
      VLOOKUP(D397,TARIFAS!A:K,10,FALSE) + IF(I397="Sí",VLOOKUP(D397,TARIFAS!A:K,11,FALSE),0)
   )
 )
)
</f>
        <v>0</v>
      </c>
      <c r="M397" s="45">
        <f>IF(J397="",0,MAX(0,J397 - TARIFAS!G$2) * TARIFAS!F$2)
</f>
        <v>0</v>
      </c>
      <c r="N397" s="45">
        <f>+L397*TARIFAS!$K$2</f>
        <v>0</v>
      </c>
      <c r="O397" s="45">
        <f t="shared" si="1"/>
        <v>0</v>
      </c>
      <c r="P397" s="45">
        <f>+M397+O397+K397+(+I397-(I397*TARIFAS!$K$2))</f>
        <v>0</v>
      </c>
      <c r="Q397" s="42" t="str">
        <f>CONFERENCIAS!T397</f>
        <v/>
      </c>
      <c r="R397" s="45" t="str">
        <f>CONFERENCIAS!U397</f>
        <v/>
      </c>
      <c r="S397" s="45" t="str">
        <f>CONFERENCIAS!W397</f>
        <v/>
      </c>
      <c r="T397" s="48">
        <f>IF(Q397="",0,
   IF(E397=1,
      IF(H397="Presencial",
         VLOOKUP(D397,TARIFAS!A:K,3,FALSE) + IF(I397="Sí",VLOOKUP(D397,TARIFAS!A:K,5,FALSE),0),
         VLOOKUP(D397,TARIFAS!A:K,4,FALSE) + IF(I397="Sí",VLOOKUP(D397,TARIFAS!A:K,5,FALSE),0)
      ),
      IF(H397="Presencial",
         VLOOKUP(D397,TARIFAS!A:K,9,FALSE) + IF(I397="Sí",VLOOKUP(D397,TARIFAS!A:K,11,FALSE),0),
         VLOOKUP(D397,TARIFAS!A:K,10,FALSE) + IF(I397="Sí",VLOOKUP(D397,TARIFAS!A:K,11,FALSE),0)
      )
   )
)
</f>
        <v>0</v>
      </c>
      <c r="U397" s="45">
        <f>IF(R397="",0,MAX(0,R397 - TARIFAS!G$2) * TARIFAS!F$2)
</f>
        <v>0</v>
      </c>
      <c r="V397" s="45">
        <f>+T397*TARIFAS!$K$2</f>
        <v>0</v>
      </c>
      <c r="W397" s="45">
        <f t="shared" si="2"/>
        <v>0</v>
      </c>
      <c r="X397" s="45">
        <f t="shared" si="3"/>
        <v>0</v>
      </c>
      <c r="Y397" s="45">
        <f t="shared" si="4"/>
        <v>0</v>
      </c>
      <c r="Z397" s="42" t="str">
        <f>CONFERENCIAS!AB397</f>
        <v/>
      </c>
      <c r="AA397" s="42" t="str">
        <f>CONFERENCIAS!AC397</f>
        <v/>
      </c>
      <c r="AB397" s="47" t="str">
        <f t="shared" si="5"/>
        <v/>
      </c>
      <c r="AC397" s="9" t="str">
        <f t="shared" si="6"/>
        <v/>
      </c>
    </row>
    <row r="398">
      <c r="A398" s="42" t="str">
        <f>CONFERENCIAS!A398</f>
        <v/>
      </c>
      <c r="D398" s="42" t="str">
        <f>CONFERENCIAS!C398</f>
        <v/>
      </c>
      <c r="E398" s="42" t="str">
        <f>CONFERENCIAS!K398</f>
        <v/>
      </c>
      <c r="F398" s="49" t="str">
        <f>CONFERENCIAS!J398</f>
        <v/>
      </c>
      <c r="G398" s="42" t="str">
        <f>CONFERENCIAS!O398</f>
        <v/>
      </c>
      <c r="H398" s="42" t="str">
        <f>CONFERENCIAS!X398</f>
        <v/>
      </c>
      <c r="I398" s="42" t="str">
        <f>CONFERENCIAS!AA398</f>
        <v/>
      </c>
      <c r="J398" s="44" t="str">
        <f>CONFERENCIAS!P398</f>
        <v/>
      </c>
      <c r="K398" s="45" t="str">
        <f>CONFERENCIAS!R398</f>
        <v/>
      </c>
      <c r="L398" s="45">
        <f>IF(D398="",0,
 IF(E398=1,
   IF(H398="Presencial",
      VLOOKUP(D398,TARIFAS!A:K,3,FALSE) + IF(I398="Sí",VLOOKUP(D398,TARIFAS!A:K,5,FALSE),0),
      VLOOKUP(D398,TARIFAS!A:K,4,FALSE) + IF(I398="Sí",VLOOKUP(D398,TARIFAS!A:K,5,FALSE),0)
   ),
   IF(H398="Presencial",
      VLOOKUP(D398,TARIFAS!A:K,9,FALSE) + IF(I398="Sí",VLOOKUP(D398,TARIFAS!A:K,11,FALSE),0),
      VLOOKUP(D398,TARIFAS!A:K,10,FALSE) + IF(I398="Sí",VLOOKUP(D398,TARIFAS!A:K,11,FALSE),0)
   )
 )
)
</f>
        <v>0</v>
      </c>
      <c r="M398" s="45">
        <f>IF(J398="",0,MAX(0,J398 - TARIFAS!G$2) * TARIFAS!F$2)
</f>
        <v>0</v>
      </c>
      <c r="N398" s="45">
        <f>+L398*TARIFAS!$K$2</f>
        <v>0</v>
      </c>
      <c r="O398" s="45">
        <f t="shared" si="1"/>
        <v>0</v>
      </c>
      <c r="P398" s="45">
        <f>+M398+O398+K398+(+I398-(I398*TARIFAS!$K$2))</f>
        <v>0</v>
      </c>
      <c r="Q398" s="42" t="str">
        <f>CONFERENCIAS!T398</f>
        <v/>
      </c>
      <c r="R398" s="45" t="str">
        <f>CONFERENCIAS!U398</f>
        <v/>
      </c>
      <c r="S398" s="45" t="str">
        <f>CONFERENCIAS!W398</f>
        <v/>
      </c>
      <c r="T398" s="48">
        <f>IF(Q398="",0,
   IF(E398=1,
      IF(H398="Presencial",
         VLOOKUP(D398,TARIFAS!A:K,3,FALSE) + IF(I398="Sí",VLOOKUP(D398,TARIFAS!A:K,5,FALSE),0),
         VLOOKUP(D398,TARIFAS!A:K,4,FALSE) + IF(I398="Sí",VLOOKUP(D398,TARIFAS!A:K,5,FALSE),0)
      ),
      IF(H398="Presencial",
         VLOOKUP(D398,TARIFAS!A:K,9,FALSE) + IF(I398="Sí",VLOOKUP(D398,TARIFAS!A:K,11,FALSE),0),
         VLOOKUP(D398,TARIFAS!A:K,10,FALSE) + IF(I398="Sí",VLOOKUP(D398,TARIFAS!A:K,11,FALSE),0)
      )
   )
)
</f>
        <v>0</v>
      </c>
      <c r="U398" s="45">
        <f>IF(R398="",0,MAX(0,R398 - TARIFAS!G$2) * TARIFAS!F$2)
</f>
        <v>0</v>
      </c>
      <c r="V398" s="45">
        <f>+T398*TARIFAS!$K$2</f>
        <v>0</v>
      </c>
      <c r="W398" s="45">
        <f t="shared" si="2"/>
        <v>0</v>
      </c>
      <c r="X398" s="45">
        <f t="shared" si="3"/>
        <v>0</v>
      </c>
      <c r="Y398" s="45">
        <f t="shared" si="4"/>
        <v>0</v>
      </c>
      <c r="Z398" s="42" t="str">
        <f>CONFERENCIAS!AB398</f>
        <v/>
      </c>
      <c r="AA398" s="42" t="str">
        <f>CONFERENCIAS!AC398</f>
        <v/>
      </c>
      <c r="AB398" s="47" t="str">
        <f t="shared" si="5"/>
        <v/>
      </c>
      <c r="AC398" s="9" t="str">
        <f t="shared" si="6"/>
        <v/>
      </c>
    </row>
    <row r="399">
      <c r="A399" s="42" t="str">
        <f>CONFERENCIAS!A399</f>
        <v/>
      </c>
      <c r="D399" s="42" t="str">
        <f>CONFERENCIAS!C399</f>
        <v/>
      </c>
      <c r="E399" s="42" t="str">
        <f>CONFERENCIAS!K399</f>
        <v/>
      </c>
      <c r="F399" s="49" t="str">
        <f>CONFERENCIAS!J399</f>
        <v/>
      </c>
      <c r="G399" s="42" t="str">
        <f>CONFERENCIAS!O399</f>
        <v/>
      </c>
      <c r="H399" s="42" t="str">
        <f>CONFERENCIAS!X399</f>
        <v/>
      </c>
      <c r="I399" s="42" t="str">
        <f>CONFERENCIAS!AA399</f>
        <v/>
      </c>
      <c r="J399" s="44" t="str">
        <f>CONFERENCIAS!P399</f>
        <v/>
      </c>
      <c r="K399" s="45" t="str">
        <f>CONFERENCIAS!R399</f>
        <v/>
      </c>
      <c r="L399" s="45">
        <f>IF(D399="",0,
 IF(E399=1,
   IF(H399="Presencial",
      VLOOKUP(D399,TARIFAS!A:K,3,FALSE) + IF(I399="Sí",VLOOKUP(D399,TARIFAS!A:K,5,FALSE),0),
      VLOOKUP(D399,TARIFAS!A:K,4,FALSE) + IF(I399="Sí",VLOOKUP(D399,TARIFAS!A:K,5,FALSE),0)
   ),
   IF(H399="Presencial",
      VLOOKUP(D399,TARIFAS!A:K,9,FALSE) + IF(I399="Sí",VLOOKUP(D399,TARIFAS!A:K,11,FALSE),0),
      VLOOKUP(D399,TARIFAS!A:K,10,FALSE) + IF(I399="Sí",VLOOKUP(D399,TARIFAS!A:K,11,FALSE),0)
   )
 )
)
</f>
        <v>0</v>
      </c>
      <c r="M399" s="45">
        <f>IF(J399="",0,MAX(0,J399 - TARIFAS!G$2) * TARIFAS!F$2)
</f>
        <v>0</v>
      </c>
      <c r="N399" s="45">
        <f>+L399*TARIFAS!$K$2</f>
        <v>0</v>
      </c>
      <c r="O399" s="45">
        <f t="shared" si="1"/>
        <v>0</v>
      </c>
      <c r="P399" s="45">
        <f>+M399+O399+K399+(+I399-(I399*TARIFAS!$K$2))</f>
        <v>0</v>
      </c>
      <c r="Q399" s="42" t="str">
        <f>CONFERENCIAS!T399</f>
        <v/>
      </c>
      <c r="R399" s="45" t="str">
        <f>CONFERENCIAS!U399</f>
        <v/>
      </c>
      <c r="S399" s="45" t="str">
        <f>CONFERENCIAS!W399</f>
        <v/>
      </c>
      <c r="T399" s="48">
        <f>IF(Q399="",0,
   IF(E399=1,
      IF(H399="Presencial",
         VLOOKUP(D399,TARIFAS!A:K,3,FALSE) + IF(I399="Sí",VLOOKUP(D399,TARIFAS!A:K,5,FALSE),0),
         VLOOKUP(D399,TARIFAS!A:K,4,FALSE) + IF(I399="Sí",VLOOKUP(D399,TARIFAS!A:K,5,FALSE),0)
      ),
      IF(H399="Presencial",
         VLOOKUP(D399,TARIFAS!A:K,9,FALSE) + IF(I399="Sí",VLOOKUP(D399,TARIFAS!A:K,11,FALSE),0),
         VLOOKUP(D399,TARIFAS!A:K,10,FALSE) + IF(I399="Sí",VLOOKUP(D399,TARIFAS!A:K,11,FALSE),0)
      )
   )
)
</f>
        <v>0</v>
      </c>
      <c r="U399" s="45">
        <f>IF(R399="",0,MAX(0,R399 - TARIFAS!G$2) * TARIFAS!F$2)
</f>
        <v>0</v>
      </c>
      <c r="V399" s="45">
        <f>+T399*TARIFAS!$K$2</f>
        <v>0</v>
      </c>
      <c r="W399" s="45">
        <f t="shared" si="2"/>
        <v>0</v>
      </c>
      <c r="X399" s="45">
        <f t="shared" si="3"/>
        <v>0</v>
      </c>
      <c r="Y399" s="45">
        <f t="shared" si="4"/>
        <v>0</v>
      </c>
      <c r="Z399" s="42" t="str">
        <f>CONFERENCIAS!AB399</f>
        <v/>
      </c>
      <c r="AA399" s="42" t="str">
        <f>CONFERENCIAS!AC399</f>
        <v/>
      </c>
      <c r="AB399" s="47" t="str">
        <f t="shared" si="5"/>
        <v/>
      </c>
      <c r="AC399" s="9" t="str">
        <f t="shared" si="6"/>
        <v/>
      </c>
    </row>
    <row r="400">
      <c r="A400" s="42" t="str">
        <f>CONFERENCIAS!A400</f>
        <v/>
      </c>
      <c r="D400" s="42" t="str">
        <f>CONFERENCIAS!C400</f>
        <v/>
      </c>
      <c r="E400" s="42" t="str">
        <f>CONFERENCIAS!K400</f>
        <v/>
      </c>
      <c r="F400" s="49" t="str">
        <f>CONFERENCIAS!J400</f>
        <v/>
      </c>
      <c r="G400" s="42" t="str">
        <f>CONFERENCIAS!O400</f>
        <v/>
      </c>
      <c r="H400" s="42" t="str">
        <f>CONFERENCIAS!X400</f>
        <v/>
      </c>
      <c r="I400" s="42" t="str">
        <f>CONFERENCIAS!AA400</f>
        <v/>
      </c>
      <c r="J400" s="44" t="str">
        <f>CONFERENCIAS!P400</f>
        <v/>
      </c>
      <c r="K400" s="45" t="str">
        <f>CONFERENCIAS!R400</f>
        <v/>
      </c>
      <c r="L400" s="45">
        <f>IF(D400="",0,
 IF(E400=1,
   IF(H400="Presencial",
      VLOOKUP(D400,TARIFAS!A:K,3,FALSE) + IF(I400="Sí",VLOOKUP(D400,TARIFAS!A:K,5,FALSE),0),
      VLOOKUP(D400,TARIFAS!A:K,4,FALSE) + IF(I400="Sí",VLOOKUP(D400,TARIFAS!A:K,5,FALSE),0)
   ),
   IF(H400="Presencial",
      VLOOKUP(D400,TARIFAS!A:K,9,FALSE) + IF(I400="Sí",VLOOKUP(D400,TARIFAS!A:K,11,FALSE),0),
      VLOOKUP(D400,TARIFAS!A:K,10,FALSE) + IF(I400="Sí",VLOOKUP(D400,TARIFAS!A:K,11,FALSE),0)
   )
 )
)
</f>
        <v>0</v>
      </c>
      <c r="M400" s="45">
        <f>IF(J400="",0,MAX(0,J400 - TARIFAS!G$2) * TARIFAS!F$2)
</f>
        <v>0</v>
      </c>
      <c r="N400" s="45">
        <f>+L400*TARIFAS!$K$2</f>
        <v>0</v>
      </c>
      <c r="O400" s="45">
        <f t="shared" si="1"/>
        <v>0</v>
      </c>
      <c r="P400" s="45">
        <f>+M400+O400+K400+(+I400-(I400*TARIFAS!$K$2))</f>
        <v>0</v>
      </c>
      <c r="Q400" s="42" t="str">
        <f>CONFERENCIAS!T400</f>
        <v/>
      </c>
      <c r="R400" s="45" t="str">
        <f>CONFERENCIAS!U400</f>
        <v/>
      </c>
      <c r="S400" s="45" t="str">
        <f>CONFERENCIAS!W400</f>
        <v/>
      </c>
      <c r="T400" s="48">
        <f>IF(Q400="",0,
   IF(E400=1,
      IF(H400="Presencial",
         VLOOKUP(D400,TARIFAS!A:K,3,FALSE) + IF(I400="Sí",VLOOKUP(D400,TARIFAS!A:K,5,FALSE),0),
         VLOOKUP(D400,TARIFAS!A:K,4,FALSE) + IF(I400="Sí",VLOOKUP(D400,TARIFAS!A:K,5,FALSE),0)
      ),
      IF(H400="Presencial",
         VLOOKUP(D400,TARIFAS!A:K,9,FALSE) + IF(I400="Sí",VLOOKUP(D400,TARIFAS!A:K,11,FALSE),0),
         VLOOKUP(D400,TARIFAS!A:K,10,FALSE) + IF(I400="Sí",VLOOKUP(D400,TARIFAS!A:K,11,FALSE),0)
      )
   )
)
</f>
        <v>0</v>
      </c>
      <c r="U400" s="45">
        <f>IF(R400="",0,MAX(0,R400 - TARIFAS!G$2) * TARIFAS!F$2)
</f>
        <v>0</v>
      </c>
      <c r="V400" s="45">
        <f>+T400*TARIFAS!$K$2</f>
        <v>0</v>
      </c>
      <c r="W400" s="45">
        <f t="shared" si="2"/>
        <v>0</v>
      </c>
      <c r="X400" s="45">
        <f t="shared" si="3"/>
        <v>0</v>
      </c>
      <c r="Y400" s="45">
        <f t="shared" si="4"/>
        <v>0</v>
      </c>
      <c r="Z400" s="42" t="str">
        <f>CONFERENCIAS!AB400</f>
        <v/>
      </c>
      <c r="AA400" s="42" t="str">
        <f>CONFERENCIAS!AC400</f>
        <v/>
      </c>
      <c r="AB400" s="47" t="str">
        <f t="shared" si="5"/>
        <v/>
      </c>
      <c r="AC400" s="9" t="str">
        <f t="shared" si="6"/>
        <v/>
      </c>
    </row>
    <row r="401">
      <c r="A401" s="42" t="str">
        <f>CONFERENCIAS!A401</f>
        <v/>
      </c>
      <c r="D401" s="42" t="str">
        <f>CONFERENCIAS!C401</f>
        <v/>
      </c>
      <c r="E401" s="42" t="str">
        <f>CONFERENCIAS!K401</f>
        <v/>
      </c>
      <c r="F401" s="49" t="str">
        <f>CONFERENCIAS!J401</f>
        <v/>
      </c>
      <c r="G401" s="42" t="str">
        <f>CONFERENCIAS!O401</f>
        <v/>
      </c>
      <c r="H401" s="42" t="str">
        <f>CONFERENCIAS!X401</f>
        <v/>
      </c>
      <c r="I401" s="42" t="str">
        <f>CONFERENCIAS!AA401</f>
        <v/>
      </c>
      <c r="J401" s="44" t="str">
        <f>CONFERENCIAS!P401</f>
        <v/>
      </c>
      <c r="K401" s="45" t="str">
        <f>CONFERENCIAS!R401</f>
        <v/>
      </c>
      <c r="L401" s="45">
        <f>IF(D401="",0,
 IF(E401=1,
   IF(H401="Presencial",
      VLOOKUP(D401,TARIFAS!A:K,3,FALSE) + IF(I401="Sí",VLOOKUP(D401,TARIFAS!A:K,5,FALSE),0),
      VLOOKUP(D401,TARIFAS!A:K,4,FALSE) + IF(I401="Sí",VLOOKUP(D401,TARIFAS!A:K,5,FALSE),0)
   ),
   IF(H401="Presencial",
      VLOOKUP(D401,TARIFAS!A:K,9,FALSE) + IF(I401="Sí",VLOOKUP(D401,TARIFAS!A:K,11,FALSE),0),
      VLOOKUP(D401,TARIFAS!A:K,10,FALSE) + IF(I401="Sí",VLOOKUP(D401,TARIFAS!A:K,11,FALSE),0)
   )
 )
)
</f>
        <v>0</v>
      </c>
      <c r="M401" s="45">
        <f>IF(J401="",0,MAX(0,J401 - TARIFAS!G$2) * TARIFAS!F$2)
</f>
        <v>0</v>
      </c>
      <c r="N401" s="45">
        <f>+L401*TARIFAS!$K$2</f>
        <v>0</v>
      </c>
      <c r="O401" s="45">
        <f t="shared" si="1"/>
        <v>0</v>
      </c>
      <c r="P401" s="45">
        <f>+M401+O401+K401+(+I401-(I401*TARIFAS!$K$2))</f>
        <v>0</v>
      </c>
      <c r="Q401" s="42" t="str">
        <f>CONFERENCIAS!T401</f>
        <v/>
      </c>
      <c r="R401" s="45" t="str">
        <f>CONFERENCIAS!U401</f>
        <v/>
      </c>
      <c r="S401" s="45" t="str">
        <f>CONFERENCIAS!W401</f>
        <v/>
      </c>
      <c r="T401" s="48">
        <f>IF(Q401="",0,
   IF(E401=1,
      IF(H401="Presencial",
         VLOOKUP(D401,TARIFAS!A:K,3,FALSE) + IF(I401="Sí",VLOOKUP(D401,TARIFAS!A:K,5,FALSE),0),
         VLOOKUP(D401,TARIFAS!A:K,4,FALSE) + IF(I401="Sí",VLOOKUP(D401,TARIFAS!A:K,5,FALSE),0)
      ),
      IF(H401="Presencial",
         VLOOKUP(D401,TARIFAS!A:K,9,FALSE) + IF(I401="Sí",VLOOKUP(D401,TARIFAS!A:K,11,FALSE),0),
         VLOOKUP(D401,TARIFAS!A:K,10,FALSE) + IF(I401="Sí",VLOOKUP(D401,TARIFAS!A:K,11,FALSE),0)
      )
   )
)
</f>
        <v>0</v>
      </c>
      <c r="U401" s="45">
        <f>IF(R401="",0,MAX(0,R401 - TARIFAS!G$2) * TARIFAS!F$2)
</f>
        <v>0</v>
      </c>
      <c r="V401" s="45">
        <f>+T401*TARIFAS!$K$2</f>
        <v>0</v>
      </c>
      <c r="W401" s="45">
        <f t="shared" si="2"/>
        <v>0</v>
      </c>
      <c r="X401" s="45">
        <f t="shared" si="3"/>
        <v>0</v>
      </c>
      <c r="Y401" s="45">
        <f t="shared" si="4"/>
        <v>0</v>
      </c>
      <c r="Z401" s="42" t="str">
        <f>CONFERENCIAS!AB401</f>
        <v/>
      </c>
      <c r="AA401" s="42" t="str">
        <f>CONFERENCIAS!AC401</f>
        <v/>
      </c>
      <c r="AB401" s="47" t="str">
        <f t="shared" si="5"/>
        <v/>
      </c>
      <c r="AC401" s="9" t="str">
        <f t="shared" si="6"/>
        <v/>
      </c>
    </row>
    <row r="402">
      <c r="A402" s="42" t="str">
        <f>CONFERENCIAS!A402</f>
        <v/>
      </c>
      <c r="D402" s="42" t="str">
        <f>CONFERENCIAS!C402</f>
        <v/>
      </c>
      <c r="E402" s="42" t="str">
        <f>CONFERENCIAS!K402</f>
        <v/>
      </c>
      <c r="F402" s="49" t="str">
        <f>CONFERENCIAS!J402</f>
        <v/>
      </c>
      <c r="G402" s="42" t="str">
        <f>CONFERENCIAS!O402</f>
        <v/>
      </c>
      <c r="H402" s="42" t="str">
        <f>CONFERENCIAS!X402</f>
        <v/>
      </c>
      <c r="I402" s="42" t="str">
        <f>CONFERENCIAS!AA402</f>
        <v/>
      </c>
      <c r="J402" s="44" t="str">
        <f>CONFERENCIAS!P402</f>
        <v/>
      </c>
      <c r="K402" s="45" t="str">
        <f>CONFERENCIAS!R402</f>
        <v/>
      </c>
      <c r="L402" s="45">
        <f>IF(D402="",0,
 IF(E402=1,
   IF(H402="Presencial",
      VLOOKUP(D402,TARIFAS!A:K,3,FALSE) + IF(I402="Sí",VLOOKUP(D402,TARIFAS!A:K,5,FALSE),0),
      VLOOKUP(D402,TARIFAS!A:K,4,FALSE) + IF(I402="Sí",VLOOKUP(D402,TARIFAS!A:K,5,FALSE),0)
   ),
   IF(H402="Presencial",
      VLOOKUP(D402,TARIFAS!A:K,9,FALSE) + IF(I402="Sí",VLOOKUP(D402,TARIFAS!A:K,11,FALSE),0),
      VLOOKUP(D402,TARIFAS!A:K,10,FALSE) + IF(I402="Sí",VLOOKUP(D402,TARIFAS!A:K,11,FALSE),0)
   )
 )
)
</f>
        <v>0</v>
      </c>
      <c r="M402" s="45">
        <f>IF(J402="",0,MAX(0,J402 - TARIFAS!G$2) * TARIFAS!F$2)
</f>
        <v>0</v>
      </c>
      <c r="N402" s="45">
        <f>+L402*TARIFAS!$K$2</f>
        <v>0</v>
      </c>
      <c r="O402" s="45">
        <f t="shared" si="1"/>
        <v>0</v>
      </c>
      <c r="P402" s="45">
        <f>+M402+O402+K402+(+I402-(I402*TARIFAS!$K$2))</f>
        <v>0</v>
      </c>
      <c r="Q402" s="42" t="str">
        <f>CONFERENCIAS!T402</f>
        <v/>
      </c>
      <c r="R402" s="45" t="str">
        <f>CONFERENCIAS!U402</f>
        <v/>
      </c>
      <c r="S402" s="45" t="str">
        <f>CONFERENCIAS!W402</f>
        <v/>
      </c>
      <c r="T402" s="48">
        <f>IF(Q402="",0,
   IF(E402=1,
      IF(H402="Presencial",
         VLOOKUP(D402,TARIFAS!A:K,3,FALSE) + IF(I402="Sí",VLOOKUP(D402,TARIFAS!A:K,5,FALSE),0),
         VLOOKUP(D402,TARIFAS!A:K,4,FALSE) + IF(I402="Sí",VLOOKUP(D402,TARIFAS!A:K,5,FALSE),0)
      ),
      IF(H402="Presencial",
         VLOOKUP(D402,TARIFAS!A:K,9,FALSE) + IF(I402="Sí",VLOOKUP(D402,TARIFAS!A:K,11,FALSE),0),
         VLOOKUP(D402,TARIFAS!A:K,10,FALSE) + IF(I402="Sí",VLOOKUP(D402,TARIFAS!A:K,11,FALSE),0)
      )
   )
)
</f>
        <v>0</v>
      </c>
      <c r="U402" s="45">
        <f>IF(R402="",0,MAX(0,R402 - TARIFAS!G$2) * TARIFAS!F$2)
</f>
        <v>0</v>
      </c>
      <c r="V402" s="45">
        <f>+T402*TARIFAS!$K$2</f>
        <v>0</v>
      </c>
      <c r="W402" s="45">
        <f t="shared" si="2"/>
        <v>0</v>
      </c>
      <c r="X402" s="45">
        <f t="shared" si="3"/>
        <v>0</v>
      </c>
      <c r="Y402" s="45">
        <f t="shared" si="4"/>
        <v>0</v>
      </c>
      <c r="Z402" s="42" t="str">
        <f>CONFERENCIAS!AB402</f>
        <v/>
      </c>
      <c r="AA402" s="42" t="str">
        <f>CONFERENCIAS!AC402</f>
        <v/>
      </c>
      <c r="AB402" s="47" t="str">
        <f t="shared" si="5"/>
        <v/>
      </c>
      <c r="AC402" s="9" t="str">
        <f t="shared" si="6"/>
        <v/>
      </c>
    </row>
    <row r="403">
      <c r="A403" s="42" t="str">
        <f>CONFERENCIAS!A403</f>
        <v/>
      </c>
      <c r="D403" s="42" t="str">
        <f>CONFERENCIAS!C403</f>
        <v/>
      </c>
      <c r="E403" s="42" t="str">
        <f>CONFERENCIAS!K403</f>
        <v/>
      </c>
      <c r="F403" s="49" t="str">
        <f>CONFERENCIAS!J403</f>
        <v/>
      </c>
      <c r="G403" s="42" t="str">
        <f>CONFERENCIAS!O403</f>
        <v/>
      </c>
      <c r="H403" s="42" t="str">
        <f>CONFERENCIAS!X403</f>
        <v/>
      </c>
      <c r="I403" s="42" t="str">
        <f>CONFERENCIAS!AA403</f>
        <v/>
      </c>
      <c r="J403" s="44" t="str">
        <f>CONFERENCIAS!P403</f>
        <v/>
      </c>
      <c r="K403" s="45" t="str">
        <f>CONFERENCIAS!R403</f>
        <v/>
      </c>
      <c r="L403" s="45">
        <f>IF(D403="",0,
 IF(E403=1,
   IF(H403="Presencial",
      VLOOKUP(D403,TARIFAS!A:K,3,FALSE) + IF(I403="Sí",VLOOKUP(D403,TARIFAS!A:K,5,FALSE),0),
      VLOOKUP(D403,TARIFAS!A:K,4,FALSE) + IF(I403="Sí",VLOOKUP(D403,TARIFAS!A:K,5,FALSE),0)
   ),
   IF(H403="Presencial",
      VLOOKUP(D403,TARIFAS!A:K,9,FALSE) + IF(I403="Sí",VLOOKUP(D403,TARIFAS!A:K,11,FALSE),0),
      VLOOKUP(D403,TARIFAS!A:K,10,FALSE) + IF(I403="Sí",VLOOKUP(D403,TARIFAS!A:K,11,FALSE),0)
   )
 )
)
</f>
        <v>0</v>
      </c>
      <c r="M403" s="45">
        <f>IF(J403="",0,MAX(0,J403 - TARIFAS!G$2) * TARIFAS!F$2)
</f>
        <v>0</v>
      </c>
      <c r="N403" s="45">
        <f>+L403*TARIFAS!$K$2</f>
        <v>0</v>
      </c>
      <c r="O403" s="45">
        <f t="shared" si="1"/>
        <v>0</v>
      </c>
      <c r="P403" s="45">
        <f>+M403+O403+K403+(+I403-(I403*TARIFAS!$K$2))</f>
        <v>0</v>
      </c>
      <c r="Q403" s="42" t="str">
        <f>CONFERENCIAS!T403</f>
        <v/>
      </c>
      <c r="R403" s="45" t="str">
        <f>CONFERENCIAS!U403</f>
        <v/>
      </c>
      <c r="S403" s="45" t="str">
        <f>CONFERENCIAS!W403</f>
        <v/>
      </c>
      <c r="T403" s="48">
        <f>IF(Q403="",0,
   IF(E403=1,
      IF(H403="Presencial",
         VLOOKUP(D403,TARIFAS!A:K,3,FALSE) + IF(I403="Sí",VLOOKUP(D403,TARIFAS!A:K,5,FALSE),0),
         VLOOKUP(D403,TARIFAS!A:K,4,FALSE) + IF(I403="Sí",VLOOKUP(D403,TARIFAS!A:K,5,FALSE),0)
      ),
      IF(H403="Presencial",
         VLOOKUP(D403,TARIFAS!A:K,9,FALSE) + IF(I403="Sí",VLOOKUP(D403,TARIFAS!A:K,11,FALSE),0),
         VLOOKUP(D403,TARIFAS!A:K,10,FALSE) + IF(I403="Sí",VLOOKUP(D403,TARIFAS!A:K,11,FALSE),0)
      )
   )
)
</f>
        <v>0</v>
      </c>
      <c r="U403" s="45">
        <f>IF(R403="",0,MAX(0,R403 - TARIFAS!G$2) * TARIFAS!F$2)
</f>
        <v>0</v>
      </c>
      <c r="V403" s="45">
        <f>+T403*TARIFAS!$K$2</f>
        <v>0</v>
      </c>
      <c r="W403" s="45">
        <f t="shared" si="2"/>
        <v>0</v>
      </c>
      <c r="X403" s="45">
        <f t="shared" si="3"/>
        <v>0</v>
      </c>
      <c r="Y403" s="45">
        <f t="shared" si="4"/>
        <v>0</v>
      </c>
      <c r="Z403" s="42" t="str">
        <f>CONFERENCIAS!AB403</f>
        <v/>
      </c>
      <c r="AA403" s="42" t="str">
        <f>CONFERENCIAS!AC403</f>
        <v/>
      </c>
      <c r="AB403" s="47" t="str">
        <f t="shared" si="5"/>
        <v/>
      </c>
      <c r="AC403" s="9" t="str">
        <f t="shared" si="6"/>
        <v/>
      </c>
    </row>
    <row r="404">
      <c r="A404" s="42" t="str">
        <f>CONFERENCIAS!A404</f>
        <v/>
      </c>
      <c r="D404" s="42" t="str">
        <f>CONFERENCIAS!C404</f>
        <v/>
      </c>
      <c r="E404" s="42" t="str">
        <f>CONFERENCIAS!K404</f>
        <v/>
      </c>
      <c r="F404" s="49" t="str">
        <f>CONFERENCIAS!J404</f>
        <v/>
      </c>
      <c r="G404" s="42" t="str">
        <f>CONFERENCIAS!O404</f>
        <v/>
      </c>
      <c r="H404" s="42" t="str">
        <f>CONFERENCIAS!X404</f>
        <v/>
      </c>
      <c r="I404" s="42" t="str">
        <f>CONFERENCIAS!AA404</f>
        <v/>
      </c>
      <c r="J404" s="44" t="str">
        <f>CONFERENCIAS!P404</f>
        <v/>
      </c>
      <c r="K404" s="45" t="str">
        <f>CONFERENCIAS!R404</f>
        <v/>
      </c>
      <c r="L404" s="45">
        <f>IF(D404="",0,
 IF(E404=1,
   IF(H404="Presencial",
      VLOOKUP(D404,TARIFAS!A:K,3,FALSE) + IF(I404="Sí",VLOOKUP(D404,TARIFAS!A:K,5,FALSE),0),
      VLOOKUP(D404,TARIFAS!A:K,4,FALSE) + IF(I404="Sí",VLOOKUP(D404,TARIFAS!A:K,5,FALSE),0)
   ),
   IF(H404="Presencial",
      VLOOKUP(D404,TARIFAS!A:K,9,FALSE) + IF(I404="Sí",VLOOKUP(D404,TARIFAS!A:K,11,FALSE),0),
      VLOOKUP(D404,TARIFAS!A:K,10,FALSE) + IF(I404="Sí",VLOOKUP(D404,TARIFAS!A:K,11,FALSE),0)
   )
 )
)
</f>
        <v>0</v>
      </c>
      <c r="M404" s="45">
        <f>IF(J404="",0,MAX(0,J404 - TARIFAS!G$2) * TARIFAS!F$2)
</f>
        <v>0</v>
      </c>
      <c r="N404" s="45">
        <f>+L404*TARIFAS!$K$2</f>
        <v>0</v>
      </c>
      <c r="O404" s="45">
        <f t="shared" si="1"/>
        <v>0</v>
      </c>
      <c r="P404" s="45">
        <f>+M404+O404+K404+(+I404-(I404*TARIFAS!$K$2))</f>
        <v>0</v>
      </c>
      <c r="Q404" s="42" t="str">
        <f>CONFERENCIAS!T404</f>
        <v/>
      </c>
      <c r="R404" s="45" t="str">
        <f>CONFERENCIAS!U404</f>
        <v/>
      </c>
      <c r="S404" s="45" t="str">
        <f>CONFERENCIAS!W404</f>
        <v/>
      </c>
      <c r="T404" s="48">
        <f>IF(Q404="",0,
   IF(E404=1,
      IF(H404="Presencial",
         VLOOKUP(D404,TARIFAS!A:K,3,FALSE) + IF(I404="Sí",VLOOKUP(D404,TARIFAS!A:K,5,FALSE),0),
         VLOOKUP(D404,TARIFAS!A:K,4,FALSE) + IF(I404="Sí",VLOOKUP(D404,TARIFAS!A:K,5,FALSE),0)
      ),
      IF(H404="Presencial",
         VLOOKUP(D404,TARIFAS!A:K,9,FALSE) + IF(I404="Sí",VLOOKUP(D404,TARIFAS!A:K,11,FALSE),0),
         VLOOKUP(D404,TARIFAS!A:K,10,FALSE) + IF(I404="Sí",VLOOKUP(D404,TARIFAS!A:K,11,FALSE),0)
      )
   )
)
</f>
        <v>0</v>
      </c>
      <c r="U404" s="45">
        <f>IF(R404="",0,MAX(0,R404 - TARIFAS!G$2) * TARIFAS!F$2)
</f>
        <v>0</v>
      </c>
      <c r="V404" s="45">
        <f>+T404*TARIFAS!$K$2</f>
        <v>0</v>
      </c>
      <c r="W404" s="45">
        <f t="shared" si="2"/>
        <v>0</v>
      </c>
      <c r="X404" s="45">
        <f t="shared" si="3"/>
        <v>0</v>
      </c>
      <c r="Y404" s="45">
        <f t="shared" si="4"/>
        <v>0</v>
      </c>
      <c r="Z404" s="42" t="str">
        <f>CONFERENCIAS!AB404</f>
        <v/>
      </c>
      <c r="AA404" s="42" t="str">
        <f>CONFERENCIAS!AC404</f>
        <v/>
      </c>
      <c r="AB404" s="47" t="str">
        <f t="shared" si="5"/>
        <v/>
      </c>
      <c r="AC404" s="9" t="str">
        <f t="shared" si="6"/>
        <v/>
      </c>
    </row>
    <row r="405">
      <c r="A405" s="42" t="str">
        <f>CONFERENCIAS!A405</f>
        <v/>
      </c>
      <c r="D405" s="42" t="str">
        <f>CONFERENCIAS!C405</f>
        <v/>
      </c>
      <c r="E405" s="42" t="str">
        <f>CONFERENCIAS!K405</f>
        <v/>
      </c>
      <c r="F405" s="49" t="str">
        <f>CONFERENCIAS!J405</f>
        <v/>
      </c>
      <c r="G405" s="42" t="str">
        <f>CONFERENCIAS!O405</f>
        <v/>
      </c>
      <c r="H405" s="42" t="str">
        <f>CONFERENCIAS!X405</f>
        <v/>
      </c>
      <c r="I405" s="42" t="str">
        <f>CONFERENCIAS!AA405</f>
        <v/>
      </c>
      <c r="J405" s="44" t="str">
        <f>CONFERENCIAS!P405</f>
        <v/>
      </c>
      <c r="K405" s="45" t="str">
        <f>CONFERENCIAS!R405</f>
        <v/>
      </c>
      <c r="L405" s="45">
        <f>IF(D405="",0,
 IF(E405=1,
   IF(H405="Presencial",
      VLOOKUP(D405,TARIFAS!A:K,3,FALSE) + IF(I405="Sí",VLOOKUP(D405,TARIFAS!A:K,5,FALSE),0),
      VLOOKUP(D405,TARIFAS!A:K,4,FALSE) + IF(I405="Sí",VLOOKUP(D405,TARIFAS!A:K,5,FALSE),0)
   ),
   IF(H405="Presencial",
      VLOOKUP(D405,TARIFAS!A:K,9,FALSE) + IF(I405="Sí",VLOOKUP(D405,TARIFAS!A:K,11,FALSE),0),
      VLOOKUP(D405,TARIFAS!A:K,10,FALSE) + IF(I405="Sí",VLOOKUP(D405,TARIFAS!A:K,11,FALSE),0)
   )
 )
)
</f>
        <v>0</v>
      </c>
      <c r="M405" s="45">
        <f>IF(J405="",0,MAX(0,J405 - TARIFAS!G$2) * TARIFAS!F$2)
</f>
        <v>0</v>
      </c>
      <c r="N405" s="45">
        <f>+L405*TARIFAS!$K$2</f>
        <v>0</v>
      </c>
      <c r="O405" s="45">
        <f t="shared" si="1"/>
        <v>0</v>
      </c>
      <c r="P405" s="45">
        <f>+M405+O405+K405+(+I405-(I405*TARIFAS!$K$2))</f>
        <v>0</v>
      </c>
      <c r="Q405" s="42" t="str">
        <f>CONFERENCIAS!T405</f>
        <v/>
      </c>
      <c r="R405" s="45" t="str">
        <f>CONFERENCIAS!U405</f>
        <v/>
      </c>
      <c r="S405" s="45" t="str">
        <f>CONFERENCIAS!W405</f>
        <v/>
      </c>
      <c r="T405" s="48">
        <f>IF(Q405="",0,
   IF(E405=1,
      IF(H405="Presencial",
         VLOOKUP(D405,TARIFAS!A:K,3,FALSE) + IF(I405="Sí",VLOOKUP(D405,TARIFAS!A:K,5,FALSE),0),
         VLOOKUP(D405,TARIFAS!A:K,4,FALSE) + IF(I405="Sí",VLOOKUP(D405,TARIFAS!A:K,5,FALSE),0)
      ),
      IF(H405="Presencial",
         VLOOKUP(D405,TARIFAS!A:K,9,FALSE) + IF(I405="Sí",VLOOKUP(D405,TARIFAS!A:K,11,FALSE),0),
         VLOOKUP(D405,TARIFAS!A:K,10,FALSE) + IF(I405="Sí",VLOOKUP(D405,TARIFAS!A:K,11,FALSE),0)
      )
   )
)
</f>
        <v>0</v>
      </c>
      <c r="U405" s="45">
        <f>IF(R405="",0,MAX(0,R405 - TARIFAS!G$2) * TARIFAS!F$2)
</f>
        <v>0</v>
      </c>
      <c r="V405" s="45">
        <f>+T405*TARIFAS!$K$2</f>
        <v>0</v>
      </c>
      <c r="W405" s="45">
        <f t="shared" si="2"/>
        <v>0</v>
      </c>
      <c r="X405" s="45">
        <f t="shared" si="3"/>
        <v>0</v>
      </c>
      <c r="Y405" s="45">
        <f t="shared" si="4"/>
        <v>0</v>
      </c>
      <c r="Z405" s="42" t="str">
        <f>CONFERENCIAS!AB405</f>
        <v/>
      </c>
      <c r="AA405" s="42" t="str">
        <f>CONFERENCIAS!AC405</f>
        <v/>
      </c>
      <c r="AB405" s="47" t="str">
        <f t="shared" si="5"/>
        <v/>
      </c>
      <c r="AC405" s="9" t="str">
        <f t="shared" si="6"/>
        <v/>
      </c>
    </row>
    <row r="406">
      <c r="A406" s="42" t="str">
        <f>CONFERENCIAS!A406</f>
        <v/>
      </c>
      <c r="D406" s="42" t="str">
        <f>CONFERENCIAS!C406</f>
        <v/>
      </c>
      <c r="E406" s="42" t="str">
        <f>CONFERENCIAS!K406</f>
        <v/>
      </c>
      <c r="F406" s="49" t="str">
        <f>CONFERENCIAS!J406</f>
        <v/>
      </c>
      <c r="G406" s="42" t="str">
        <f>CONFERENCIAS!O406</f>
        <v/>
      </c>
      <c r="H406" s="42" t="str">
        <f>CONFERENCIAS!X406</f>
        <v/>
      </c>
      <c r="I406" s="42" t="str">
        <f>CONFERENCIAS!AA406</f>
        <v/>
      </c>
      <c r="J406" s="44" t="str">
        <f>CONFERENCIAS!P406</f>
        <v/>
      </c>
      <c r="K406" s="45" t="str">
        <f>CONFERENCIAS!R406</f>
        <v/>
      </c>
      <c r="L406" s="45">
        <f>IF(D406="",0,
 IF(E406=1,
   IF(H406="Presencial",
      VLOOKUP(D406,TARIFAS!A:K,3,FALSE) + IF(I406="Sí",VLOOKUP(D406,TARIFAS!A:K,5,FALSE),0),
      VLOOKUP(D406,TARIFAS!A:K,4,FALSE) + IF(I406="Sí",VLOOKUP(D406,TARIFAS!A:K,5,FALSE),0)
   ),
   IF(H406="Presencial",
      VLOOKUP(D406,TARIFAS!A:K,9,FALSE) + IF(I406="Sí",VLOOKUP(D406,TARIFAS!A:K,11,FALSE),0),
      VLOOKUP(D406,TARIFAS!A:K,10,FALSE) + IF(I406="Sí",VLOOKUP(D406,TARIFAS!A:K,11,FALSE),0)
   )
 )
)
</f>
        <v>0</v>
      </c>
      <c r="M406" s="45">
        <f>IF(J406="",0,MAX(0,J406 - TARIFAS!G$2) * TARIFAS!F$2)
</f>
        <v>0</v>
      </c>
      <c r="N406" s="45">
        <f>+L406*TARIFAS!$K$2</f>
        <v>0</v>
      </c>
      <c r="O406" s="45">
        <f t="shared" si="1"/>
        <v>0</v>
      </c>
      <c r="P406" s="45">
        <f>+M406+O406+K406+(+I406-(I406*TARIFAS!$K$2))</f>
        <v>0</v>
      </c>
      <c r="Q406" s="42" t="str">
        <f>CONFERENCIAS!T406</f>
        <v/>
      </c>
      <c r="R406" s="45" t="str">
        <f>CONFERENCIAS!U406</f>
        <v/>
      </c>
      <c r="S406" s="45" t="str">
        <f>CONFERENCIAS!W406</f>
        <v/>
      </c>
      <c r="T406" s="48">
        <f>IF(Q406="",0,
   IF(E406=1,
      IF(H406="Presencial",
         VLOOKUP(D406,TARIFAS!A:K,3,FALSE) + IF(I406="Sí",VLOOKUP(D406,TARIFAS!A:K,5,FALSE),0),
         VLOOKUP(D406,TARIFAS!A:K,4,FALSE) + IF(I406="Sí",VLOOKUP(D406,TARIFAS!A:K,5,FALSE),0)
      ),
      IF(H406="Presencial",
         VLOOKUP(D406,TARIFAS!A:K,9,FALSE) + IF(I406="Sí",VLOOKUP(D406,TARIFAS!A:K,11,FALSE),0),
         VLOOKUP(D406,TARIFAS!A:K,10,FALSE) + IF(I406="Sí",VLOOKUP(D406,TARIFAS!A:K,11,FALSE),0)
      )
   )
)
</f>
        <v>0</v>
      </c>
      <c r="U406" s="45">
        <f>IF(R406="",0,MAX(0,R406 - TARIFAS!G$2) * TARIFAS!F$2)
</f>
        <v>0</v>
      </c>
      <c r="V406" s="45">
        <f>+T406*TARIFAS!$K$2</f>
        <v>0</v>
      </c>
      <c r="W406" s="45">
        <f t="shared" si="2"/>
        <v>0</v>
      </c>
      <c r="X406" s="45">
        <f t="shared" si="3"/>
        <v>0</v>
      </c>
      <c r="Y406" s="45">
        <f t="shared" si="4"/>
        <v>0</v>
      </c>
      <c r="Z406" s="42" t="str">
        <f>CONFERENCIAS!AB406</f>
        <v/>
      </c>
      <c r="AA406" s="42" t="str">
        <f>CONFERENCIAS!AC406</f>
        <v/>
      </c>
      <c r="AB406" s="47" t="str">
        <f t="shared" si="5"/>
        <v/>
      </c>
      <c r="AC406" s="9" t="str">
        <f t="shared" si="6"/>
        <v/>
      </c>
    </row>
    <row r="407">
      <c r="A407" s="42" t="str">
        <f>CONFERENCIAS!A407</f>
        <v/>
      </c>
      <c r="D407" s="42" t="str">
        <f>CONFERENCIAS!C407</f>
        <v/>
      </c>
      <c r="E407" s="42" t="str">
        <f>CONFERENCIAS!K407</f>
        <v/>
      </c>
      <c r="F407" s="49" t="str">
        <f>CONFERENCIAS!J407</f>
        <v/>
      </c>
      <c r="G407" s="42" t="str">
        <f>CONFERENCIAS!O407</f>
        <v/>
      </c>
      <c r="H407" s="42" t="str">
        <f>CONFERENCIAS!X407</f>
        <v/>
      </c>
      <c r="I407" s="42" t="str">
        <f>CONFERENCIAS!AA407</f>
        <v/>
      </c>
      <c r="J407" s="44" t="str">
        <f>CONFERENCIAS!P407</f>
        <v/>
      </c>
      <c r="K407" s="45" t="str">
        <f>CONFERENCIAS!R407</f>
        <v/>
      </c>
      <c r="L407" s="45">
        <f>IF(D407="",0,
 IF(E407=1,
   IF(H407="Presencial",
      VLOOKUP(D407,TARIFAS!A:K,3,FALSE) + IF(I407="Sí",VLOOKUP(D407,TARIFAS!A:K,5,FALSE),0),
      VLOOKUP(D407,TARIFAS!A:K,4,FALSE) + IF(I407="Sí",VLOOKUP(D407,TARIFAS!A:K,5,FALSE),0)
   ),
   IF(H407="Presencial",
      VLOOKUP(D407,TARIFAS!A:K,9,FALSE) + IF(I407="Sí",VLOOKUP(D407,TARIFAS!A:K,11,FALSE),0),
      VLOOKUP(D407,TARIFAS!A:K,10,FALSE) + IF(I407="Sí",VLOOKUP(D407,TARIFAS!A:K,11,FALSE),0)
   )
 )
)
</f>
        <v>0</v>
      </c>
      <c r="M407" s="45">
        <f>IF(J407="",0,MAX(0,J407 - TARIFAS!G$2) * TARIFAS!F$2)
</f>
        <v>0</v>
      </c>
      <c r="N407" s="45">
        <f>+L407*TARIFAS!$K$2</f>
        <v>0</v>
      </c>
      <c r="O407" s="45">
        <f t="shared" si="1"/>
        <v>0</v>
      </c>
      <c r="P407" s="45">
        <f>+M407+O407+K407+(+I407-(I407*TARIFAS!$K$2))</f>
        <v>0</v>
      </c>
      <c r="Q407" s="42" t="str">
        <f>CONFERENCIAS!T407</f>
        <v/>
      </c>
      <c r="R407" s="45" t="str">
        <f>CONFERENCIAS!U407</f>
        <v/>
      </c>
      <c r="S407" s="45" t="str">
        <f>CONFERENCIAS!W407</f>
        <v/>
      </c>
      <c r="T407" s="48">
        <f>IF(Q407="",0,
   IF(E407=1,
      IF(H407="Presencial",
         VLOOKUP(D407,TARIFAS!A:K,3,FALSE) + IF(I407="Sí",VLOOKUP(D407,TARIFAS!A:K,5,FALSE),0),
         VLOOKUP(D407,TARIFAS!A:K,4,FALSE) + IF(I407="Sí",VLOOKUP(D407,TARIFAS!A:K,5,FALSE),0)
      ),
      IF(H407="Presencial",
         VLOOKUP(D407,TARIFAS!A:K,9,FALSE) + IF(I407="Sí",VLOOKUP(D407,TARIFAS!A:K,11,FALSE),0),
         VLOOKUP(D407,TARIFAS!A:K,10,FALSE) + IF(I407="Sí",VLOOKUP(D407,TARIFAS!A:K,11,FALSE),0)
      )
   )
)
</f>
        <v>0</v>
      </c>
      <c r="U407" s="45">
        <f>IF(R407="",0,MAX(0,R407 - TARIFAS!G$2) * TARIFAS!F$2)
</f>
        <v>0</v>
      </c>
      <c r="V407" s="45">
        <f>+T407*TARIFAS!$K$2</f>
        <v>0</v>
      </c>
      <c r="W407" s="45">
        <f t="shared" si="2"/>
        <v>0</v>
      </c>
      <c r="X407" s="45">
        <f t="shared" si="3"/>
        <v>0</v>
      </c>
      <c r="Y407" s="45">
        <f t="shared" si="4"/>
        <v>0</v>
      </c>
      <c r="Z407" s="42" t="str">
        <f>CONFERENCIAS!AB407</f>
        <v/>
      </c>
      <c r="AA407" s="42" t="str">
        <f>CONFERENCIAS!AC407</f>
        <v/>
      </c>
      <c r="AB407" s="47" t="str">
        <f t="shared" si="5"/>
        <v/>
      </c>
      <c r="AC407" s="9" t="str">
        <f t="shared" si="6"/>
        <v/>
      </c>
    </row>
    <row r="408">
      <c r="A408" s="42" t="str">
        <f>CONFERENCIAS!A408</f>
        <v/>
      </c>
      <c r="D408" s="42" t="str">
        <f>CONFERENCIAS!C408</f>
        <v/>
      </c>
      <c r="E408" s="42" t="str">
        <f>CONFERENCIAS!K408</f>
        <v/>
      </c>
      <c r="F408" s="49" t="str">
        <f>CONFERENCIAS!J408</f>
        <v/>
      </c>
      <c r="G408" s="42" t="str">
        <f>CONFERENCIAS!O408</f>
        <v/>
      </c>
      <c r="H408" s="42" t="str">
        <f>CONFERENCIAS!X408</f>
        <v/>
      </c>
      <c r="I408" s="42" t="str">
        <f>CONFERENCIAS!AA408</f>
        <v/>
      </c>
      <c r="J408" s="44" t="str">
        <f>CONFERENCIAS!P408</f>
        <v/>
      </c>
      <c r="K408" s="45" t="str">
        <f>CONFERENCIAS!R408</f>
        <v/>
      </c>
      <c r="L408" s="45">
        <f>IF(D408="",0,
 IF(E408=1,
   IF(H408="Presencial",
      VLOOKUP(D408,TARIFAS!A:K,3,FALSE) + IF(I408="Sí",VLOOKUP(D408,TARIFAS!A:K,5,FALSE),0),
      VLOOKUP(D408,TARIFAS!A:K,4,FALSE) + IF(I408="Sí",VLOOKUP(D408,TARIFAS!A:K,5,FALSE),0)
   ),
   IF(H408="Presencial",
      VLOOKUP(D408,TARIFAS!A:K,9,FALSE) + IF(I408="Sí",VLOOKUP(D408,TARIFAS!A:K,11,FALSE),0),
      VLOOKUP(D408,TARIFAS!A:K,10,FALSE) + IF(I408="Sí",VLOOKUP(D408,TARIFAS!A:K,11,FALSE),0)
   )
 )
)
</f>
        <v>0</v>
      </c>
      <c r="M408" s="45">
        <f>IF(J408="",0,MAX(0,J408 - TARIFAS!G$2) * TARIFAS!F$2)
</f>
        <v>0</v>
      </c>
      <c r="N408" s="45">
        <f>+L408*TARIFAS!$K$2</f>
        <v>0</v>
      </c>
      <c r="O408" s="45">
        <f t="shared" si="1"/>
        <v>0</v>
      </c>
      <c r="P408" s="45">
        <f>+M408+O408+K408+(+I408-(I408*TARIFAS!$K$2))</f>
        <v>0</v>
      </c>
      <c r="Q408" s="42" t="str">
        <f>CONFERENCIAS!T408</f>
        <v/>
      </c>
      <c r="R408" s="45" t="str">
        <f>CONFERENCIAS!U408</f>
        <v/>
      </c>
      <c r="S408" s="45" t="str">
        <f>CONFERENCIAS!W408</f>
        <v/>
      </c>
      <c r="T408" s="48">
        <f>IF(Q408="",0,
   IF(E408=1,
      IF(H408="Presencial",
         VLOOKUP(D408,TARIFAS!A:K,3,FALSE) + IF(I408="Sí",VLOOKUP(D408,TARIFAS!A:K,5,FALSE),0),
         VLOOKUP(D408,TARIFAS!A:K,4,FALSE) + IF(I408="Sí",VLOOKUP(D408,TARIFAS!A:K,5,FALSE),0)
      ),
      IF(H408="Presencial",
         VLOOKUP(D408,TARIFAS!A:K,9,FALSE) + IF(I408="Sí",VLOOKUP(D408,TARIFAS!A:K,11,FALSE),0),
         VLOOKUP(D408,TARIFAS!A:K,10,FALSE) + IF(I408="Sí",VLOOKUP(D408,TARIFAS!A:K,11,FALSE),0)
      )
   )
)
</f>
        <v>0</v>
      </c>
      <c r="U408" s="45">
        <f>IF(R408="",0,MAX(0,R408 - TARIFAS!G$2) * TARIFAS!F$2)
</f>
        <v>0</v>
      </c>
      <c r="V408" s="45">
        <f>+T408*TARIFAS!$K$2</f>
        <v>0</v>
      </c>
      <c r="W408" s="45">
        <f t="shared" si="2"/>
        <v>0</v>
      </c>
      <c r="X408" s="45">
        <f t="shared" si="3"/>
        <v>0</v>
      </c>
      <c r="Y408" s="45">
        <f t="shared" si="4"/>
        <v>0</v>
      </c>
      <c r="Z408" s="42" t="str">
        <f>CONFERENCIAS!AB408</f>
        <v/>
      </c>
      <c r="AA408" s="42" t="str">
        <f>CONFERENCIAS!AC408</f>
        <v/>
      </c>
      <c r="AB408" s="47" t="str">
        <f t="shared" si="5"/>
        <v/>
      </c>
      <c r="AC408" s="9" t="str">
        <f t="shared" si="6"/>
        <v/>
      </c>
    </row>
    <row r="409">
      <c r="A409" s="42" t="str">
        <f>CONFERENCIAS!A409</f>
        <v/>
      </c>
      <c r="D409" s="42" t="str">
        <f>CONFERENCIAS!C409</f>
        <v/>
      </c>
      <c r="E409" s="42" t="str">
        <f>CONFERENCIAS!K409</f>
        <v/>
      </c>
      <c r="F409" s="49" t="str">
        <f>CONFERENCIAS!J409</f>
        <v/>
      </c>
      <c r="G409" s="42" t="str">
        <f>CONFERENCIAS!O409</f>
        <v/>
      </c>
      <c r="H409" s="42" t="str">
        <f>CONFERENCIAS!X409</f>
        <v/>
      </c>
      <c r="I409" s="42" t="str">
        <f>CONFERENCIAS!AA409</f>
        <v/>
      </c>
      <c r="J409" s="44" t="str">
        <f>CONFERENCIAS!P409</f>
        <v/>
      </c>
      <c r="K409" s="45" t="str">
        <f>CONFERENCIAS!R409</f>
        <v/>
      </c>
      <c r="L409" s="45">
        <f>IF(D409="",0,
 IF(E409=1,
   IF(H409="Presencial",
      VLOOKUP(D409,TARIFAS!A:K,3,FALSE) + IF(I409="Sí",VLOOKUP(D409,TARIFAS!A:K,5,FALSE),0),
      VLOOKUP(D409,TARIFAS!A:K,4,FALSE) + IF(I409="Sí",VLOOKUP(D409,TARIFAS!A:K,5,FALSE),0)
   ),
   IF(H409="Presencial",
      VLOOKUP(D409,TARIFAS!A:K,9,FALSE) + IF(I409="Sí",VLOOKUP(D409,TARIFAS!A:K,11,FALSE),0),
      VLOOKUP(D409,TARIFAS!A:K,10,FALSE) + IF(I409="Sí",VLOOKUP(D409,TARIFAS!A:K,11,FALSE),0)
   )
 )
)
</f>
        <v>0</v>
      </c>
      <c r="M409" s="45">
        <f>IF(J409="",0,MAX(0,J409 - TARIFAS!G$2) * TARIFAS!F$2)
</f>
        <v>0</v>
      </c>
      <c r="N409" s="45">
        <f>+L409*TARIFAS!$K$2</f>
        <v>0</v>
      </c>
      <c r="O409" s="45">
        <f t="shared" si="1"/>
        <v>0</v>
      </c>
      <c r="P409" s="45">
        <f>+M409+O409+K409+(+I409-(I409*TARIFAS!$K$2))</f>
        <v>0</v>
      </c>
      <c r="Q409" s="42" t="str">
        <f>CONFERENCIAS!T409</f>
        <v/>
      </c>
      <c r="R409" s="45" t="str">
        <f>CONFERENCIAS!U409</f>
        <v/>
      </c>
      <c r="S409" s="45" t="str">
        <f>CONFERENCIAS!W409</f>
        <v/>
      </c>
      <c r="T409" s="48">
        <f>IF(Q409="",0,
   IF(E409=1,
      IF(H409="Presencial",
         VLOOKUP(D409,TARIFAS!A:K,3,FALSE) + IF(I409="Sí",VLOOKUP(D409,TARIFAS!A:K,5,FALSE),0),
         VLOOKUP(D409,TARIFAS!A:K,4,FALSE) + IF(I409="Sí",VLOOKUP(D409,TARIFAS!A:K,5,FALSE),0)
      ),
      IF(H409="Presencial",
         VLOOKUP(D409,TARIFAS!A:K,9,FALSE) + IF(I409="Sí",VLOOKUP(D409,TARIFAS!A:K,11,FALSE),0),
         VLOOKUP(D409,TARIFAS!A:K,10,FALSE) + IF(I409="Sí",VLOOKUP(D409,TARIFAS!A:K,11,FALSE),0)
      )
   )
)
</f>
        <v>0</v>
      </c>
      <c r="U409" s="45">
        <f>IF(R409="",0,MAX(0,R409 - TARIFAS!G$2) * TARIFAS!F$2)
</f>
        <v>0</v>
      </c>
      <c r="V409" s="45">
        <f>+T409*TARIFAS!$K$2</f>
        <v>0</v>
      </c>
      <c r="W409" s="45">
        <f t="shared" si="2"/>
        <v>0</v>
      </c>
      <c r="X409" s="45">
        <f t="shared" si="3"/>
        <v>0</v>
      </c>
      <c r="Y409" s="45">
        <f t="shared" si="4"/>
        <v>0</v>
      </c>
      <c r="Z409" s="42" t="str">
        <f>CONFERENCIAS!AB409</f>
        <v/>
      </c>
      <c r="AA409" s="42" t="str">
        <f>CONFERENCIAS!AC409</f>
        <v/>
      </c>
      <c r="AB409" s="47" t="str">
        <f t="shared" si="5"/>
        <v/>
      </c>
      <c r="AC409" s="9" t="str">
        <f t="shared" si="6"/>
        <v/>
      </c>
    </row>
    <row r="410">
      <c r="A410" s="42" t="str">
        <f>CONFERENCIAS!A410</f>
        <v/>
      </c>
      <c r="D410" s="42" t="str">
        <f>CONFERENCIAS!C410</f>
        <v/>
      </c>
      <c r="E410" s="42" t="str">
        <f>CONFERENCIAS!K410</f>
        <v/>
      </c>
      <c r="F410" s="49" t="str">
        <f>CONFERENCIAS!J410</f>
        <v/>
      </c>
      <c r="G410" s="42" t="str">
        <f>CONFERENCIAS!O410</f>
        <v/>
      </c>
      <c r="H410" s="42" t="str">
        <f>CONFERENCIAS!X410</f>
        <v/>
      </c>
      <c r="I410" s="42" t="str">
        <f>CONFERENCIAS!AA410</f>
        <v/>
      </c>
      <c r="J410" s="44" t="str">
        <f>CONFERENCIAS!P410</f>
        <v/>
      </c>
      <c r="K410" s="45" t="str">
        <f>CONFERENCIAS!R410</f>
        <v/>
      </c>
      <c r="L410" s="45">
        <f>IF(D410="",0,
 IF(E410=1,
   IF(H410="Presencial",
      VLOOKUP(D410,TARIFAS!A:K,3,FALSE) + IF(I410="Sí",VLOOKUP(D410,TARIFAS!A:K,5,FALSE),0),
      VLOOKUP(D410,TARIFAS!A:K,4,FALSE) + IF(I410="Sí",VLOOKUP(D410,TARIFAS!A:K,5,FALSE),0)
   ),
   IF(H410="Presencial",
      VLOOKUP(D410,TARIFAS!A:K,9,FALSE) + IF(I410="Sí",VLOOKUP(D410,TARIFAS!A:K,11,FALSE),0),
      VLOOKUP(D410,TARIFAS!A:K,10,FALSE) + IF(I410="Sí",VLOOKUP(D410,TARIFAS!A:K,11,FALSE),0)
   )
 )
)
</f>
        <v>0</v>
      </c>
      <c r="M410" s="45">
        <f>IF(J410="",0,MAX(0,J410 - TARIFAS!G$2) * TARIFAS!F$2)
</f>
        <v>0</v>
      </c>
      <c r="N410" s="45">
        <f>+L410*TARIFAS!$K$2</f>
        <v>0</v>
      </c>
      <c r="O410" s="45">
        <f t="shared" si="1"/>
        <v>0</v>
      </c>
      <c r="P410" s="45">
        <f>+M410+O410+K410+(+I410-(I410*TARIFAS!$K$2))</f>
        <v>0</v>
      </c>
      <c r="Q410" s="42" t="str">
        <f>CONFERENCIAS!T410</f>
        <v/>
      </c>
      <c r="R410" s="45" t="str">
        <f>CONFERENCIAS!U410</f>
        <v/>
      </c>
      <c r="S410" s="45" t="str">
        <f>CONFERENCIAS!W410</f>
        <v/>
      </c>
      <c r="T410" s="48">
        <f>IF(Q410="",0,
   IF(E410=1,
      IF(H410="Presencial",
         VLOOKUP(D410,TARIFAS!A:K,3,FALSE) + IF(I410="Sí",VLOOKUP(D410,TARIFAS!A:K,5,FALSE),0),
         VLOOKUP(D410,TARIFAS!A:K,4,FALSE) + IF(I410="Sí",VLOOKUP(D410,TARIFAS!A:K,5,FALSE),0)
      ),
      IF(H410="Presencial",
         VLOOKUP(D410,TARIFAS!A:K,9,FALSE) + IF(I410="Sí",VLOOKUP(D410,TARIFAS!A:K,11,FALSE),0),
         VLOOKUP(D410,TARIFAS!A:K,10,FALSE) + IF(I410="Sí",VLOOKUP(D410,TARIFAS!A:K,11,FALSE),0)
      )
   )
)
</f>
        <v>0</v>
      </c>
      <c r="U410" s="45">
        <f>IF(R410="",0,MAX(0,R410 - TARIFAS!G$2) * TARIFAS!F$2)
</f>
        <v>0</v>
      </c>
      <c r="V410" s="45">
        <f>+T410*TARIFAS!$K$2</f>
        <v>0</v>
      </c>
      <c r="W410" s="45">
        <f t="shared" si="2"/>
        <v>0</v>
      </c>
      <c r="X410" s="45">
        <f t="shared" si="3"/>
        <v>0</v>
      </c>
      <c r="Y410" s="45">
        <f t="shared" si="4"/>
        <v>0</v>
      </c>
      <c r="Z410" s="42" t="str">
        <f>CONFERENCIAS!AB410</f>
        <v/>
      </c>
      <c r="AA410" s="42" t="str">
        <f>CONFERENCIAS!AC410</f>
        <v/>
      </c>
      <c r="AB410" s="47" t="str">
        <f t="shared" si="5"/>
        <v/>
      </c>
      <c r="AC410" s="9" t="str">
        <f t="shared" si="6"/>
        <v/>
      </c>
    </row>
    <row r="411">
      <c r="A411" s="42" t="str">
        <f>CONFERENCIAS!A411</f>
        <v/>
      </c>
      <c r="D411" s="42" t="str">
        <f>CONFERENCIAS!C411</f>
        <v/>
      </c>
      <c r="E411" s="42" t="str">
        <f>CONFERENCIAS!K411</f>
        <v/>
      </c>
      <c r="F411" s="49" t="str">
        <f>CONFERENCIAS!J411</f>
        <v/>
      </c>
      <c r="G411" s="42" t="str">
        <f>CONFERENCIAS!O411</f>
        <v/>
      </c>
      <c r="H411" s="42" t="str">
        <f>CONFERENCIAS!X411</f>
        <v/>
      </c>
      <c r="I411" s="42" t="str">
        <f>CONFERENCIAS!AA411</f>
        <v/>
      </c>
      <c r="J411" s="44" t="str">
        <f>CONFERENCIAS!P411</f>
        <v/>
      </c>
      <c r="K411" s="45" t="str">
        <f>CONFERENCIAS!R411</f>
        <v/>
      </c>
      <c r="L411" s="45">
        <f>IF(D411="",0,
 IF(E411=1,
   IF(H411="Presencial",
      VLOOKUP(D411,TARIFAS!A:K,3,FALSE) + IF(I411="Sí",VLOOKUP(D411,TARIFAS!A:K,5,FALSE),0),
      VLOOKUP(D411,TARIFAS!A:K,4,FALSE) + IF(I411="Sí",VLOOKUP(D411,TARIFAS!A:K,5,FALSE),0)
   ),
   IF(H411="Presencial",
      VLOOKUP(D411,TARIFAS!A:K,9,FALSE) + IF(I411="Sí",VLOOKUP(D411,TARIFAS!A:K,11,FALSE),0),
      VLOOKUP(D411,TARIFAS!A:K,10,FALSE) + IF(I411="Sí",VLOOKUP(D411,TARIFAS!A:K,11,FALSE),0)
   )
 )
)
</f>
        <v>0</v>
      </c>
      <c r="M411" s="45">
        <f>IF(J411="",0,MAX(0,J411 - TARIFAS!G$2) * TARIFAS!F$2)
</f>
        <v>0</v>
      </c>
      <c r="N411" s="45">
        <f>+L411*TARIFAS!$K$2</f>
        <v>0</v>
      </c>
      <c r="O411" s="45">
        <f t="shared" si="1"/>
        <v>0</v>
      </c>
      <c r="P411" s="45">
        <f>+M411+O411+K411+(+I411-(I411*TARIFAS!$K$2))</f>
        <v>0</v>
      </c>
      <c r="Q411" s="42" t="str">
        <f>CONFERENCIAS!T411</f>
        <v/>
      </c>
      <c r="R411" s="45" t="str">
        <f>CONFERENCIAS!U411</f>
        <v/>
      </c>
      <c r="S411" s="45" t="str">
        <f>CONFERENCIAS!W411</f>
        <v/>
      </c>
      <c r="T411" s="48">
        <f>IF(Q411="",0,
   IF(E411=1,
      IF(H411="Presencial",
         VLOOKUP(D411,TARIFAS!A:K,3,FALSE) + IF(I411="Sí",VLOOKUP(D411,TARIFAS!A:K,5,FALSE),0),
         VLOOKUP(D411,TARIFAS!A:K,4,FALSE) + IF(I411="Sí",VLOOKUP(D411,TARIFAS!A:K,5,FALSE),0)
      ),
      IF(H411="Presencial",
         VLOOKUP(D411,TARIFAS!A:K,9,FALSE) + IF(I411="Sí",VLOOKUP(D411,TARIFAS!A:K,11,FALSE),0),
         VLOOKUP(D411,TARIFAS!A:K,10,FALSE) + IF(I411="Sí",VLOOKUP(D411,TARIFAS!A:K,11,FALSE),0)
      )
   )
)
</f>
        <v>0</v>
      </c>
      <c r="U411" s="45">
        <f>IF(R411="",0,MAX(0,R411 - TARIFAS!G$2) * TARIFAS!F$2)
</f>
        <v>0</v>
      </c>
      <c r="V411" s="45">
        <f>+T411*TARIFAS!$K$2</f>
        <v>0</v>
      </c>
      <c r="W411" s="45">
        <f t="shared" si="2"/>
        <v>0</v>
      </c>
      <c r="X411" s="45">
        <f t="shared" si="3"/>
        <v>0</v>
      </c>
      <c r="Y411" s="45">
        <f t="shared" si="4"/>
        <v>0</v>
      </c>
      <c r="Z411" s="42" t="str">
        <f>CONFERENCIAS!AB411</f>
        <v/>
      </c>
      <c r="AA411" s="42" t="str">
        <f>CONFERENCIAS!AC411</f>
        <v/>
      </c>
      <c r="AB411" s="47" t="str">
        <f t="shared" si="5"/>
        <v/>
      </c>
      <c r="AC411" s="9" t="str">
        <f t="shared" si="6"/>
        <v/>
      </c>
    </row>
    <row r="412">
      <c r="A412" s="42" t="str">
        <f>CONFERENCIAS!A412</f>
        <v/>
      </c>
      <c r="D412" s="42" t="str">
        <f>CONFERENCIAS!C412</f>
        <v/>
      </c>
      <c r="E412" s="42" t="str">
        <f>CONFERENCIAS!K412</f>
        <v/>
      </c>
      <c r="F412" s="49" t="str">
        <f>CONFERENCIAS!J412</f>
        <v/>
      </c>
      <c r="G412" s="42" t="str">
        <f>CONFERENCIAS!O412</f>
        <v/>
      </c>
      <c r="H412" s="42" t="str">
        <f>CONFERENCIAS!X412</f>
        <v/>
      </c>
      <c r="I412" s="42" t="str">
        <f>CONFERENCIAS!AA412</f>
        <v/>
      </c>
      <c r="J412" s="44" t="str">
        <f>CONFERENCIAS!P412</f>
        <v/>
      </c>
      <c r="K412" s="45" t="str">
        <f>CONFERENCIAS!R412</f>
        <v/>
      </c>
      <c r="L412" s="45">
        <f>IF(D412="",0,
 IF(E412=1,
   IF(H412="Presencial",
      VLOOKUP(D412,TARIFAS!A:K,3,FALSE) + IF(I412="Sí",VLOOKUP(D412,TARIFAS!A:K,5,FALSE),0),
      VLOOKUP(D412,TARIFAS!A:K,4,FALSE) + IF(I412="Sí",VLOOKUP(D412,TARIFAS!A:K,5,FALSE),0)
   ),
   IF(H412="Presencial",
      VLOOKUP(D412,TARIFAS!A:K,9,FALSE) + IF(I412="Sí",VLOOKUP(D412,TARIFAS!A:K,11,FALSE),0),
      VLOOKUP(D412,TARIFAS!A:K,10,FALSE) + IF(I412="Sí",VLOOKUP(D412,TARIFAS!A:K,11,FALSE),0)
   )
 )
)
</f>
        <v>0</v>
      </c>
      <c r="M412" s="45">
        <f>IF(J412="",0,MAX(0,J412 - TARIFAS!G$2) * TARIFAS!F$2)
</f>
        <v>0</v>
      </c>
      <c r="N412" s="45">
        <f>+L412*TARIFAS!$K$2</f>
        <v>0</v>
      </c>
      <c r="O412" s="45">
        <f t="shared" si="1"/>
        <v>0</v>
      </c>
      <c r="P412" s="45">
        <f>+M412+O412+K412+(+I412-(I412*TARIFAS!$K$2))</f>
        <v>0</v>
      </c>
      <c r="Q412" s="42" t="str">
        <f>CONFERENCIAS!T412</f>
        <v/>
      </c>
      <c r="R412" s="45" t="str">
        <f>CONFERENCIAS!U412</f>
        <v/>
      </c>
      <c r="S412" s="45" t="str">
        <f>CONFERENCIAS!W412</f>
        <v/>
      </c>
      <c r="T412" s="48">
        <f>IF(Q412="",0,
   IF(E412=1,
      IF(H412="Presencial",
         VLOOKUP(D412,TARIFAS!A:K,3,FALSE) + IF(I412="Sí",VLOOKUP(D412,TARIFAS!A:K,5,FALSE),0),
         VLOOKUP(D412,TARIFAS!A:K,4,FALSE) + IF(I412="Sí",VLOOKUP(D412,TARIFAS!A:K,5,FALSE),0)
      ),
      IF(H412="Presencial",
         VLOOKUP(D412,TARIFAS!A:K,9,FALSE) + IF(I412="Sí",VLOOKUP(D412,TARIFAS!A:K,11,FALSE),0),
         VLOOKUP(D412,TARIFAS!A:K,10,FALSE) + IF(I412="Sí",VLOOKUP(D412,TARIFAS!A:K,11,FALSE),0)
      )
   )
)
</f>
        <v>0</v>
      </c>
      <c r="U412" s="45">
        <f>IF(R412="",0,MAX(0,R412 - TARIFAS!G$2) * TARIFAS!F$2)
</f>
        <v>0</v>
      </c>
      <c r="V412" s="45">
        <f>+T412*TARIFAS!$K$2</f>
        <v>0</v>
      </c>
      <c r="W412" s="45">
        <f t="shared" si="2"/>
        <v>0</v>
      </c>
      <c r="X412" s="45">
        <f t="shared" si="3"/>
        <v>0</v>
      </c>
      <c r="Y412" s="45">
        <f t="shared" si="4"/>
        <v>0</v>
      </c>
      <c r="Z412" s="42" t="str">
        <f>CONFERENCIAS!AB412</f>
        <v/>
      </c>
      <c r="AA412" s="42" t="str">
        <f>CONFERENCIAS!AC412</f>
        <v/>
      </c>
      <c r="AB412" s="47" t="str">
        <f t="shared" si="5"/>
        <v/>
      </c>
      <c r="AC412" s="9" t="str">
        <f t="shared" si="6"/>
        <v/>
      </c>
    </row>
    <row r="413">
      <c r="A413" s="42" t="str">
        <f>CONFERENCIAS!A413</f>
        <v/>
      </c>
      <c r="D413" s="42" t="str">
        <f>CONFERENCIAS!C413</f>
        <v/>
      </c>
      <c r="E413" s="42" t="str">
        <f>CONFERENCIAS!K413</f>
        <v/>
      </c>
      <c r="F413" s="49" t="str">
        <f>CONFERENCIAS!J413</f>
        <v/>
      </c>
      <c r="G413" s="42" t="str">
        <f>CONFERENCIAS!O413</f>
        <v/>
      </c>
      <c r="H413" s="42" t="str">
        <f>CONFERENCIAS!X413</f>
        <v/>
      </c>
      <c r="I413" s="42" t="str">
        <f>CONFERENCIAS!AA413</f>
        <v/>
      </c>
      <c r="J413" s="44" t="str">
        <f>CONFERENCIAS!P413</f>
        <v/>
      </c>
      <c r="K413" s="45" t="str">
        <f>CONFERENCIAS!R413</f>
        <v/>
      </c>
      <c r="L413" s="45">
        <f>IF(D413="",0,
 IF(E413=1,
   IF(H413="Presencial",
      VLOOKUP(D413,TARIFAS!A:K,3,FALSE) + IF(I413="Sí",VLOOKUP(D413,TARIFAS!A:K,5,FALSE),0),
      VLOOKUP(D413,TARIFAS!A:K,4,FALSE) + IF(I413="Sí",VLOOKUP(D413,TARIFAS!A:K,5,FALSE),0)
   ),
   IF(H413="Presencial",
      VLOOKUP(D413,TARIFAS!A:K,9,FALSE) + IF(I413="Sí",VLOOKUP(D413,TARIFAS!A:K,11,FALSE),0),
      VLOOKUP(D413,TARIFAS!A:K,10,FALSE) + IF(I413="Sí",VLOOKUP(D413,TARIFAS!A:K,11,FALSE),0)
   )
 )
)
</f>
        <v>0</v>
      </c>
      <c r="M413" s="45">
        <f>IF(J413="",0,MAX(0,J413 - TARIFAS!G$2) * TARIFAS!F$2)
</f>
        <v>0</v>
      </c>
      <c r="N413" s="45">
        <f>+L413*TARIFAS!$K$2</f>
        <v>0</v>
      </c>
      <c r="O413" s="45">
        <f t="shared" si="1"/>
        <v>0</v>
      </c>
      <c r="P413" s="45">
        <f>+M413+O413+K413+(+I413-(I413*TARIFAS!$K$2))</f>
        <v>0</v>
      </c>
      <c r="Q413" s="42" t="str">
        <f>CONFERENCIAS!T413</f>
        <v/>
      </c>
      <c r="R413" s="45" t="str">
        <f>CONFERENCIAS!U413</f>
        <v/>
      </c>
      <c r="S413" s="45" t="str">
        <f>CONFERENCIAS!W413</f>
        <v/>
      </c>
      <c r="T413" s="48">
        <f>IF(Q413="",0,
   IF(E413=1,
      IF(H413="Presencial",
         VLOOKUP(D413,TARIFAS!A:K,3,FALSE) + IF(I413="Sí",VLOOKUP(D413,TARIFAS!A:K,5,FALSE),0),
         VLOOKUP(D413,TARIFAS!A:K,4,FALSE) + IF(I413="Sí",VLOOKUP(D413,TARIFAS!A:K,5,FALSE),0)
      ),
      IF(H413="Presencial",
         VLOOKUP(D413,TARIFAS!A:K,9,FALSE) + IF(I413="Sí",VLOOKUP(D413,TARIFAS!A:K,11,FALSE),0),
         VLOOKUP(D413,TARIFAS!A:K,10,FALSE) + IF(I413="Sí",VLOOKUP(D413,TARIFAS!A:K,11,FALSE),0)
      )
   )
)
</f>
        <v>0</v>
      </c>
      <c r="U413" s="45">
        <f>IF(R413="",0,MAX(0,R413 - TARIFAS!G$2) * TARIFAS!F$2)
</f>
        <v>0</v>
      </c>
      <c r="V413" s="45">
        <f>+T413*TARIFAS!$K$2</f>
        <v>0</v>
      </c>
      <c r="W413" s="45">
        <f t="shared" si="2"/>
        <v>0</v>
      </c>
      <c r="X413" s="45">
        <f t="shared" si="3"/>
        <v>0</v>
      </c>
      <c r="Y413" s="45">
        <f t="shared" si="4"/>
        <v>0</v>
      </c>
      <c r="Z413" s="42" t="str">
        <f>CONFERENCIAS!AB413</f>
        <v/>
      </c>
      <c r="AA413" s="42" t="str">
        <f>CONFERENCIAS!AC413</f>
        <v/>
      </c>
      <c r="AB413" s="47" t="str">
        <f t="shared" si="5"/>
        <v/>
      </c>
      <c r="AC413" s="9" t="str">
        <f t="shared" si="6"/>
        <v/>
      </c>
    </row>
    <row r="414">
      <c r="A414" s="42" t="str">
        <f>CONFERENCIAS!A414</f>
        <v/>
      </c>
      <c r="D414" s="42" t="str">
        <f>CONFERENCIAS!C414</f>
        <v/>
      </c>
      <c r="E414" s="42" t="str">
        <f>CONFERENCIAS!K414</f>
        <v/>
      </c>
      <c r="F414" s="49" t="str">
        <f>CONFERENCIAS!J414</f>
        <v/>
      </c>
      <c r="G414" s="42" t="str">
        <f>CONFERENCIAS!O414</f>
        <v/>
      </c>
      <c r="H414" s="42" t="str">
        <f>CONFERENCIAS!X414</f>
        <v/>
      </c>
      <c r="I414" s="42" t="str">
        <f>CONFERENCIAS!AA414</f>
        <v/>
      </c>
      <c r="J414" s="44" t="str">
        <f>CONFERENCIAS!P414</f>
        <v/>
      </c>
      <c r="K414" s="45" t="str">
        <f>CONFERENCIAS!R414</f>
        <v/>
      </c>
      <c r="L414" s="45">
        <f>IF(D414="",0,
 IF(E414=1,
   IF(H414="Presencial",
      VLOOKUP(D414,TARIFAS!A:K,3,FALSE) + IF(I414="Sí",VLOOKUP(D414,TARIFAS!A:K,5,FALSE),0),
      VLOOKUP(D414,TARIFAS!A:K,4,FALSE) + IF(I414="Sí",VLOOKUP(D414,TARIFAS!A:K,5,FALSE),0)
   ),
   IF(H414="Presencial",
      VLOOKUP(D414,TARIFAS!A:K,9,FALSE) + IF(I414="Sí",VLOOKUP(D414,TARIFAS!A:K,11,FALSE),0),
      VLOOKUP(D414,TARIFAS!A:K,10,FALSE) + IF(I414="Sí",VLOOKUP(D414,TARIFAS!A:K,11,FALSE),0)
   )
 )
)
</f>
        <v>0</v>
      </c>
      <c r="M414" s="45">
        <f>IF(J414="",0,MAX(0,J414 - TARIFAS!G$2) * TARIFAS!F$2)
</f>
        <v>0</v>
      </c>
      <c r="N414" s="45">
        <f>+L414*TARIFAS!$K$2</f>
        <v>0</v>
      </c>
      <c r="O414" s="45">
        <f t="shared" si="1"/>
        <v>0</v>
      </c>
      <c r="P414" s="45">
        <f>+M414+O414+K414+(+I414-(I414*TARIFAS!$K$2))</f>
        <v>0</v>
      </c>
      <c r="Q414" s="42" t="str">
        <f>CONFERENCIAS!T414</f>
        <v/>
      </c>
      <c r="R414" s="45" t="str">
        <f>CONFERENCIAS!U414</f>
        <v/>
      </c>
      <c r="S414" s="45" t="str">
        <f>CONFERENCIAS!W414</f>
        <v/>
      </c>
      <c r="T414" s="48">
        <f>IF(Q414="",0,
   IF(E414=1,
      IF(H414="Presencial",
         VLOOKUP(D414,TARIFAS!A:K,3,FALSE) + IF(I414="Sí",VLOOKUP(D414,TARIFAS!A:K,5,FALSE),0),
         VLOOKUP(D414,TARIFAS!A:K,4,FALSE) + IF(I414="Sí",VLOOKUP(D414,TARIFAS!A:K,5,FALSE),0)
      ),
      IF(H414="Presencial",
         VLOOKUP(D414,TARIFAS!A:K,9,FALSE) + IF(I414="Sí",VLOOKUP(D414,TARIFAS!A:K,11,FALSE),0),
         VLOOKUP(D414,TARIFAS!A:K,10,FALSE) + IF(I414="Sí",VLOOKUP(D414,TARIFAS!A:K,11,FALSE),0)
      )
   )
)
</f>
        <v>0</v>
      </c>
      <c r="U414" s="45">
        <f>IF(R414="",0,MAX(0,R414 - TARIFAS!G$2) * TARIFAS!F$2)
</f>
        <v>0</v>
      </c>
      <c r="V414" s="45">
        <f>+T414*TARIFAS!$K$2</f>
        <v>0</v>
      </c>
      <c r="W414" s="45">
        <f t="shared" si="2"/>
        <v>0</v>
      </c>
      <c r="X414" s="45">
        <f t="shared" si="3"/>
        <v>0</v>
      </c>
      <c r="Y414" s="45">
        <f t="shared" si="4"/>
        <v>0</v>
      </c>
      <c r="Z414" s="42" t="str">
        <f>CONFERENCIAS!AB414</f>
        <v/>
      </c>
      <c r="AA414" s="42" t="str">
        <f>CONFERENCIAS!AC414</f>
        <v/>
      </c>
      <c r="AB414" s="47" t="str">
        <f t="shared" si="5"/>
        <v/>
      </c>
      <c r="AC414" s="9" t="str">
        <f t="shared" si="6"/>
        <v/>
      </c>
    </row>
    <row r="415">
      <c r="A415" s="42" t="str">
        <f>CONFERENCIAS!A415</f>
        <v/>
      </c>
      <c r="D415" s="42" t="str">
        <f>CONFERENCIAS!C415</f>
        <v/>
      </c>
      <c r="E415" s="42" t="str">
        <f>CONFERENCIAS!K415</f>
        <v/>
      </c>
      <c r="F415" s="49" t="str">
        <f>CONFERENCIAS!J415</f>
        <v/>
      </c>
      <c r="G415" s="42" t="str">
        <f>CONFERENCIAS!O415</f>
        <v/>
      </c>
      <c r="H415" s="42" t="str">
        <f>CONFERENCIAS!X415</f>
        <v/>
      </c>
      <c r="I415" s="42" t="str">
        <f>CONFERENCIAS!AA415</f>
        <v/>
      </c>
      <c r="J415" s="44" t="str">
        <f>CONFERENCIAS!P415</f>
        <v/>
      </c>
      <c r="K415" s="45" t="str">
        <f>CONFERENCIAS!R415</f>
        <v/>
      </c>
      <c r="L415" s="45">
        <f>IF(D415="",0,
 IF(E415=1,
   IF(H415="Presencial",
      VLOOKUP(D415,TARIFAS!A:K,3,FALSE) + IF(I415="Sí",VLOOKUP(D415,TARIFAS!A:K,5,FALSE),0),
      VLOOKUP(D415,TARIFAS!A:K,4,FALSE) + IF(I415="Sí",VLOOKUP(D415,TARIFAS!A:K,5,FALSE),0)
   ),
   IF(H415="Presencial",
      VLOOKUP(D415,TARIFAS!A:K,9,FALSE) + IF(I415="Sí",VLOOKUP(D415,TARIFAS!A:K,11,FALSE),0),
      VLOOKUP(D415,TARIFAS!A:K,10,FALSE) + IF(I415="Sí",VLOOKUP(D415,TARIFAS!A:K,11,FALSE),0)
   )
 )
)
</f>
        <v>0</v>
      </c>
      <c r="M415" s="45">
        <f>IF(J415="",0,MAX(0,J415 - TARIFAS!G$2) * TARIFAS!F$2)
</f>
        <v>0</v>
      </c>
      <c r="N415" s="45">
        <f>+L415*TARIFAS!$K$2</f>
        <v>0</v>
      </c>
      <c r="O415" s="45">
        <f t="shared" si="1"/>
        <v>0</v>
      </c>
      <c r="P415" s="45">
        <f>+M415+O415+K415+(+I415-(I415*TARIFAS!$K$2))</f>
        <v>0</v>
      </c>
      <c r="Q415" s="42" t="str">
        <f>CONFERENCIAS!T415</f>
        <v/>
      </c>
      <c r="R415" s="45" t="str">
        <f>CONFERENCIAS!U415</f>
        <v/>
      </c>
      <c r="S415" s="45" t="str">
        <f>CONFERENCIAS!W415</f>
        <v/>
      </c>
      <c r="T415" s="48">
        <f>IF(Q415="",0,
   IF(E415=1,
      IF(H415="Presencial",
         VLOOKUP(D415,TARIFAS!A:K,3,FALSE) + IF(I415="Sí",VLOOKUP(D415,TARIFAS!A:K,5,FALSE),0),
         VLOOKUP(D415,TARIFAS!A:K,4,FALSE) + IF(I415="Sí",VLOOKUP(D415,TARIFAS!A:K,5,FALSE),0)
      ),
      IF(H415="Presencial",
         VLOOKUP(D415,TARIFAS!A:K,9,FALSE) + IF(I415="Sí",VLOOKUP(D415,TARIFAS!A:K,11,FALSE),0),
         VLOOKUP(D415,TARIFAS!A:K,10,FALSE) + IF(I415="Sí",VLOOKUP(D415,TARIFAS!A:K,11,FALSE),0)
      )
   )
)
</f>
        <v>0</v>
      </c>
      <c r="U415" s="45">
        <f>IF(R415="",0,MAX(0,R415 - TARIFAS!G$2) * TARIFAS!F$2)
</f>
        <v>0</v>
      </c>
      <c r="V415" s="45">
        <f>+T415*TARIFAS!$K$2</f>
        <v>0</v>
      </c>
      <c r="W415" s="45">
        <f t="shared" si="2"/>
        <v>0</v>
      </c>
      <c r="X415" s="45">
        <f t="shared" si="3"/>
        <v>0</v>
      </c>
      <c r="Y415" s="45">
        <f t="shared" si="4"/>
        <v>0</v>
      </c>
      <c r="Z415" s="42" t="str">
        <f>CONFERENCIAS!AB415</f>
        <v/>
      </c>
      <c r="AA415" s="42" t="str">
        <f>CONFERENCIAS!AC415</f>
        <v/>
      </c>
      <c r="AB415" s="47" t="str">
        <f t="shared" si="5"/>
        <v/>
      </c>
      <c r="AC415" s="9" t="str">
        <f t="shared" si="6"/>
        <v/>
      </c>
    </row>
    <row r="416">
      <c r="A416" s="42" t="str">
        <f>CONFERENCIAS!A416</f>
        <v/>
      </c>
      <c r="D416" s="42" t="str">
        <f>CONFERENCIAS!C416</f>
        <v/>
      </c>
      <c r="E416" s="42" t="str">
        <f>CONFERENCIAS!K416</f>
        <v/>
      </c>
      <c r="F416" s="49" t="str">
        <f>CONFERENCIAS!J416</f>
        <v/>
      </c>
      <c r="G416" s="42" t="str">
        <f>CONFERENCIAS!O416</f>
        <v/>
      </c>
      <c r="H416" s="42" t="str">
        <f>CONFERENCIAS!X416</f>
        <v/>
      </c>
      <c r="I416" s="42" t="str">
        <f>CONFERENCIAS!AA416</f>
        <v/>
      </c>
      <c r="J416" s="44" t="str">
        <f>CONFERENCIAS!P416</f>
        <v/>
      </c>
      <c r="K416" s="45" t="str">
        <f>CONFERENCIAS!R416</f>
        <v/>
      </c>
      <c r="L416" s="45">
        <f>IF(D416="",0,
 IF(E416=1,
   IF(H416="Presencial",
      VLOOKUP(D416,TARIFAS!A:K,3,FALSE) + IF(I416="Sí",VLOOKUP(D416,TARIFAS!A:K,5,FALSE),0),
      VLOOKUP(D416,TARIFAS!A:K,4,FALSE) + IF(I416="Sí",VLOOKUP(D416,TARIFAS!A:K,5,FALSE),0)
   ),
   IF(H416="Presencial",
      VLOOKUP(D416,TARIFAS!A:K,9,FALSE) + IF(I416="Sí",VLOOKUP(D416,TARIFAS!A:K,11,FALSE),0),
      VLOOKUP(D416,TARIFAS!A:K,10,FALSE) + IF(I416="Sí",VLOOKUP(D416,TARIFAS!A:K,11,FALSE),0)
   )
 )
)
</f>
        <v>0</v>
      </c>
      <c r="M416" s="45">
        <f>IF(J416="",0,MAX(0,J416 - TARIFAS!G$2) * TARIFAS!F$2)
</f>
        <v>0</v>
      </c>
      <c r="N416" s="45">
        <f>+L416*TARIFAS!$K$2</f>
        <v>0</v>
      </c>
      <c r="O416" s="45">
        <f t="shared" si="1"/>
        <v>0</v>
      </c>
      <c r="P416" s="45">
        <f>+M416+O416+K416+(+I416-(I416*TARIFAS!$K$2))</f>
        <v>0</v>
      </c>
      <c r="Q416" s="42" t="str">
        <f>CONFERENCIAS!T416</f>
        <v/>
      </c>
      <c r="R416" s="45" t="str">
        <f>CONFERENCIAS!U416</f>
        <v/>
      </c>
      <c r="S416" s="45" t="str">
        <f>CONFERENCIAS!W416</f>
        <v/>
      </c>
      <c r="T416" s="48">
        <f>IF(Q416="",0,
   IF(E416=1,
      IF(H416="Presencial",
         VLOOKUP(D416,TARIFAS!A:K,3,FALSE) + IF(I416="Sí",VLOOKUP(D416,TARIFAS!A:K,5,FALSE),0),
         VLOOKUP(D416,TARIFAS!A:K,4,FALSE) + IF(I416="Sí",VLOOKUP(D416,TARIFAS!A:K,5,FALSE),0)
      ),
      IF(H416="Presencial",
         VLOOKUP(D416,TARIFAS!A:K,9,FALSE) + IF(I416="Sí",VLOOKUP(D416,TARIFAS!A:K,11,FALSE),0),
         VLOOKUP(D416,TARIFAS!A:K,10,FALSE) + IF(I416="Sí",VLOOKUP(D416,TARIFAS!A:K,11,FALSE),0)
      )
   )
)
</f>
        <v>0</v>
      </c>
      <c r="U416" s="45">
        <f>IF(R416="",0,MAX(0,R416 - TARIFAS!G$2) * TARIFAS!F$2)
</f>
        <v>0</v>
      </c>
      <c r="V416" s="45">
        <f>+T416*TARIFAS!$K$2</f>
        <v>0</v>
      </c>
      <c r="W416" s="45">
        <f t="shared" si="2"/>
        <v>0</v>
      </c>
      <c r="X416" s="45">
        <f t="shared" si="3"/>
        <v>0</v>
      </c>
      <c r="Y416" s="45">
        <f t="shared" si="4"/>
        <v>0</v>
      </c>
      <c r="Z416" s="42" t="str">
        <f>CONFERENCIAS!AB416</f>
        <v/>
      </c>
      <c r="AA416" s="42" t="str">
        <f>CONFERENCIAS!AC416</f>
        <v/>
      </c>
      <c r="AB416" s="47" t="str">
        <f t="shared" si="5"/>
        <v/>
      </c>
      <c r="AC416" s="9" t="str">
        <f t="shared" si="6"/>
        <v/>
      </c>
    </row>
    <row r="417">
      <c r="A417" s="42" t="str">
        <f>CONFERENCIAS!A417</f>
        <v/>
      </c>
      <c r="D417" s="42" t="str">
        <f>CONFERENCIAS!C417</f>
        <v/>
      </c>
      <c r="E417" s="42" t="str">
        <f>CONFERENCIAS!K417</f>
        <v/>
      </c>
      <c r="F417" s="49" t="str">
        <f>CONFERENCIAS!J417</f>
        <v/>
      </c>
      <c r="G417" s="42" t="str">
        <f>CONFERENCIAS!O417</f>
        <v/>
      </c>
      <c r="H417" s="42" t="str">
        <f>CONFERENCIAS!X417</f>
        <v/>
      </c>
      <c r="I417" s="42" t="str">
        <f>CONFERENCIAS!AA417</f>
        <v/>
      </c>
      <c r="J417" s="44" t="str">
        <f>CONFERENCIAS!P417</f>
        <v/>
      </c>
      <c r="K417" s="45" t="str">
        <f>CONFERENCIAS!R417</f>
        <v/>
      </c>
      <c r="L417" s="45">
        <f>IF(D417="",0,
 IF(E417=1,
   IF(H417="Presencial",
      VLOOKUP(D417,TARIFAS!A:K,3,FALSE) + IF(I417="Sí",VLOOKUP(D417,TARIFAS!A:K,5,FALSE),0),
      VLOOKUP(D417,TARIFAS!A:K,4,FALSE) + IF(I417="Sí",VLOOKUP(D417,TARIFAS!A:K,5,FALSE),0)
   ),
   IF(H417="Presencial",
      VLOOKUP(D417,TARIFAS!A:K,9,FALSE) + IF(I417="Sí",VLOOKUP(D417,TARIFAS!A:K,11,FALSE),0),
      VLOOKUP(D417,TARIFAS!A:K,10,FALSE) + IF(I417="Sí",VLOOKUP(D417,TARIFAS!A:K,11,FALSE),0)
   )
 )
)
</f>
        <v>0</v>
      </c>
      <c r="M417" s="45">
        <f>IF(J417="",0,MAX(0,J417 - TARIFAS!G$2) * TARIFAS!F$2)
</f>
        <v>0</v>
      </c>
      <c r="N417" s="45">
        <f>+L417*TARIFAS!$K$2</f>
        <v>0</v>
      </c>
      <c r="O417" s="45">
        <f t="shared" si="1"/>
        <v>0</v>
      </c>
      <c r="P417" s="45">
        <f>+M417+O417+K417+(+I417-(I417*TARIFAS!$K$2))</f>
        <v>0</v>
      </c>
      <c r="Q417" s="42" t="str">
        <f>CONFERENCIAS!T417</f>
        <v/>
      </c>
      <c r="R417" s="45" t="str">
        <f>CONFERENCIAS!U417</f>
        <v/>
      </c>
      <c r="S417" s="45" t="str">
        <f>CONFERENCIAS!W417</f>
        <v/>
      </c>
      <c r="T417" s="48">
        <f>IF(Q417="",0,
   IF(E417=1,
      IF(H417="Presencial",
         VLOOKUP(D417,TARIFAS!A:K,3,FALSE) + IF(I417="Sí",VLOOKUP(D417,TARIFAS!A:K,5,FALSE),0),
         VLOOKUP(D417,TARIFAS!A:K,4,FALSE) + IF(I417="Sí",VLOOKUP(D417,TARIFAS!A:K,5,FALSE),0)
      ),
      IF(H417="Presencial",
         VLOOKUP(D417,TARIFAS!A:K,9,FALSE) + IF(I417="Sí",VLOOKUP(D417,TARIFAS!A:K,11,FALSE),0),
         VLOOKUP(D417,TARIFAS!A:K,10,FALSE) + IF(I417="Sí",VLOOKUP(D417,TARIFAS!A:K,11,FALSE),0)
      )
   )
)
</f>
        <v>0</v>
      </c>
      <c r="U417" s="45">
        <f>IF(R417="",0,MAX(0,R417 - TARIFAS!G$2) * TARIFAS!F$2)
</f>
        <v>0</v>
      </c>
      <c r="V417" s="45">
        <f>+T417*TARIFAS!$K$2</f>
        <v>0</v>
      </c>
      <c r="W417" s="45">
        <f t="shared" si="2"/>
        <v>0</v>
      </c>
      <c r="X417" s="45">
        <f t="shared" si="3"/>
        <v>0</v>
      </c>
      <c r="Y417" s="45">
        <f t="shared" si="4"/>
        <v>0</v>
      </c>
      <c r="Z417" s="42" t="str">
        <f>CONFERENCIAS!AB417</f>
        <v/>
      </c>
      <c r="AA417" s="42" t="str">
        <f>CONFERENCIAS!AC417</f>
        <v/>
      </c>
      <c r="AB417" s="47" t="str">
        <f t="shared" si="5"/>
        <v/>
      </c>
      <c r="AC417" s="9" t="str">
        <f t="shared" si="6"/>
        <v/>
      </c>
    </row>
    <row r="418">
      <c r="A418" s="42" t="str">
        <f>CONFERENCIAS!A418</f>
        <v/>
      </c>
      <c r="D418" s="42" t="str">
        <f>CONFERENCIAS!C418</f>
        <v/>
      </c>
      <c r="E418" s="42" t="str">
        <f>CONFERENCIAS!K418</f>
        <v/>
      </c>
      <c r="F418" s="49" t="str">
        <f>CONFERENCIAS!J418</f>
        <v/>
      </c>
      <c r="G418" s="42" t="str">
        <f>CONFERENCIAS!O418</f>
        <v/>
      </c>
      <c r="H418" s="42" t="str">
        <f>CONFERENCIAS!X418</f>
        <v/>
      </c>
      <c r="I418" s="42" t="str">
        <f>CONFERENCIAS!AA418</f>
        <v/>
      </c>
      <c r="J418" s="44" t="str">
        <f>CONFERENCIAS!P418</f>
        <v/>
      </c>
      <c r="K418" s="45" t="str">
        <f>CONFERENCIAS!R418</f>
        <v/>
      </c>
      <c r="L418" s="45">
        <f>IF(D418="",0,
 IF(E418=1,
   IF(H418="Presencial",
      VLOOKUP(D418,TARIFAS!A:K,3,FALSE) + IF(I418="Sí",VLOOKUP(D418,TARIFAS!A:K,5,FALSE),0),
      VLOOKUP(D418,TARIFAS!A:K,4,FALSE) + IF(I418="Sí",VLOOKUP(D418,TARIFAS!A:K,5,FALSE),0)
   ),
   IF(H418="Presencial",
      VLOOKUP(D418,TARIFAS!A:K,9,FALSE) + IF(I418="Sí",VLOOKUP(D418,TARIFAS!A:K,11,FALSE),0),
      VLOOKUP(D418,TARIFAS!A:K,10,FALSE) + IF(I418="Sí",VLOOKUP(D418,TARIFAS!A:K,11,FALSE),0)
   )
 )
)
</f>
        <v>0</v>
      </c>
      <c r="M418" s="45">
        <f>IF(J418="",0,MAX(0,J418 - TARIFAS!G$2) * TARIFAS!F$2)
</f>
        <v>0</v>
      </c>
      <c r="N418" s="45">
        <f>+L418*TARIFAS!$K$2</f>
        <v>0</v>
      </c>
      <c r="O418" s="45">
        <f t="shared" si="1"/>
        <v>0</v>
      </c>
      <c r="P418" s="45">
        <f>+M418+O418+K418+(+I418-(I418*TARIFAS!$K$2))</f>
        <v>0</v>
      </c>
      <c r="Q418" s="42" t="str">
        <f>CONFERENCIAS!T418</f>
        <v/>
      </c>
      <c r="R418" s="45" t="str">
        <f>CONFERENCIAS!U418</f>
        <v/>
      </c>
      <c r="S418" s="45" t="str">
        <f>CONFERENCIAS!W418</f>
        <v/>
      </c>
      <c r="T418" s="48">
        <f>IF(Q418="",0,
   IF(E418=1,
      IF(H418="Presencial",
         VLOOKUP(D418,TARIFAS!A:K,3,FALSE) + IF(I418="Sí",VLOOKUP(D418,TARIFAS!A:K,5,FALSE),0),
         VLOOKUP(D418,TARIFAS!A:K,4,FALSE) + IF(I418="Sí",VLOOKUP(D418,TARIFAS!A:K,5,FALSE),0)
      ),
      IF(H418="Presencial",
         VLOOKUP(D418,TARIFAS!A:K,9,FALSE) + IF(I418="Sí",VLOOKUP(D418,TARIFAS!A:K,11,FALSE),0),
         VLOOKUP(D418,TARIFAS!A:K,10,FALSE) + IF(I418="Sí",VLOOKUP(D418,TARIFAS!A:K,11,FALSE),0)
      )
   )
)
</f>
        <v>0</v>
      </c>
      <c r="U418" s="45">
        <f>IF(R418="",0,MAX(0,R418 - TARIFAS!G$2) * TARIFAS!F$2)
</f>
        <v>0</v>
      </c>
      <c r="V418" s="45">
        <f>+T418*TARIFAS!$K$2</f>
        <v>0</v>
      </c>
      <c r="W418" s="45">
        <f t="shared" si="2"/>
        <v>0</v>
      </c>
      <c r="X418" s="45">
        <f t="shared" si="3"/>
        <v>0</v>
      </c>
      <c r="Y418" s="45">
        <f t="shared" si="4"/>
        <v>0</v>
      </c>
      <c r="Z418" s="42" t="str">
        <f>CONFERENCIAS!AB418</f>
        <v/>
      </c>
      <c r="AA418" s="42" t="str">
        <f>CONFERENCIAS!AC418</f>
        <v/>
      </c>
      <c r="AB418" s="47" t="str">
        <f t="shared" si="5"/>
        <v/>
      </c>
      <c r="AC418" s="9" t="str">
        <f t="shared" si="6"/>
        <v/>
      </c>
    </row>
    <row r="419">
      <c r="A419" s="42" t="str">
        <f>CONFERENCIAS!A419</f>
        <v/>
      </c>
      <c r="D419" s="42" t="str">
        <f>CONFERENCIAS!C419</f>
        <v/>
      </c>
      <c r="E419" s="42" t="str">
        <f>CONFERENCIAS!K419</f>
        <v/>
      </c>
      <c r="F419" s="49" t="str">
        <f>CONFERENCIAS!J419</f>
        <v/>
      </c>
      <c r="G419" s="42" t="str">
        <f>CONFERENCIAS!O419</f>
        <v/>
      </c>
      <c r="H419" s="42" t="str">
        <f>CONFERENCIAS!X419</f>
        <v/>
      </c>
      <c r="I419" s="42" t="str">
        <f>CONFERENCIAS!AA419</f>
        <v/>
      </c>
      <c r="J419" s="44" t="str">
        <f>CONFERENCIAS!P419</f>
        <v/>
      </c>
      <c r="K419" s="45" t="str">
        <f>CONFERENCIAS!R419</f>
        <v/>
      </c>
      <c r="L419" s="45">
        <f>IF(D419="",0,
 IF(E419=1,
   IF(H419="Presencial",
      VLOOKUP(D419,TARIFAS!A:K,3,FALSE) + IF(I419="Sí",VLOOKUP(D419,TARIFAS!A:K,5,FALSE),0),
      VLOOKUP(D419,TARIFAS!A:K,4,FALSE) + IF(I419="Sí",VLOOKUP(D419,TARIFAS!A:K,5,FALSE),0)
   ),
   IF(H419="Presencial",
      VLOOKUP(D419,TARIFAS!A:K,9,FALSE) + IF(I419="Sí",VLOOKUP(D419,TARIFAS!A:K,11,FALSE),0),
      VLOOKUP(D419,TARIFAS!A:K,10,FALSE) + IF(I419="Sí",VLOOKUP(D419,TARIFAS!A:K,11,FALSE),0)
   )
 )
)
</f>
        <v>0</v>
      </c>
      <c r="M419" s="45">
        <f>IF(J419="",0,MAX(0,J419 - TARIFAS!G$2) * TARIFAS!F$2)
</f>
        <v>0</v>
      </c>
      <c r="N419" s="45">
        <f>+L419*TARIFAS!$K$2</f>
        <v>0</v>
      </c>
      <c r="O419" s="45">
        <f t="shared" si="1"/>
        <v>0</v>
      </c>
      <c r="P419" s="45">
        <f>+M419+O419+K419+(+I419-(I419*TARIFAS!$K$2))</f>
        <v>0</v>
      </c>
      <c r="Q419" s="42" t="str">
        <f>CONFERENCIAS!T419</f>
        <v/>
      </c>
      <c r="R419" s="45" t="str">
        <f>CONFERENCIAS!U419</f>
        <v/>
      </c>
      <c r="S419" s="45" t="str">
        <f>CONFERENCIAS!W419</f>
        <v/>
      </c>
      <c r="T419" s="48">
        <f>IF(Q419="",0,
   IF(E419=1,
      IF(H419="Presencial",
         VLOOKUP(D419,TARIFAS!A:K,3,FALSE) + IF(I419="Sí",VLOOKUP(D419,TARIFAS!A:K,5,FALSE),0),
         VLOOKUP(D419,TARIFAS!A:K,4,FALSE) + IF(I419="Sí",VLOOKUP(D419,TARIFAS!A:K,5,FALSE),0)
      ),
      IF(H419="Presencial",
         VLOOKUP(D419,TARIFAS!A:K,9,FALSE) + IF(I419="Sí",VLOOKUP(D419,TARIFAS!A:K,11,FALSE),0),
         VLOOKUP(D419,TARIFAS!A:K,10,FALSE) + IF(I419="Sí",VLOOKUP(D419,TARIFAS!A:K,11,FALSE),0)
      )
   )
)
</f>
        <v>0</v>
      </c>
      <c r="U419" s="45">
        <f>IF(R419="",0,MAX(0,R419 - TARIFAS!G$2) * TARIFAS!F$2)
</f>
        <v>0</v>
      </c>
      <c r="V419" s="45">
        <f>+T419*TARIFAS!$K$2</f>
        <v>0</v>
      </c>
      <c r="W419" s="45">
        <f t="shared" si="2"/>
        <v>0</v>
      </c>
      <c r="X419" s="45">
        <f t="shared" si="3"/>
        <v>0</v>
      </c>
      <c r="Y419" s="45">
        <f t="shared" si="4"/>
        <v>0</v>
      </c>
      <c r="Z419" s="42" t="str">
        <f>CONFERENCIAS!AB419</f>
        <v/>
      </c>
      <c r="AA419" s="42" t="str">
        <f>CONFERENCIAS!AC419</f>
        <v/>
      </c>
      <c r="AB419" s="47" t="str">
        <f t="shared" si="5"/>
        <v/>
      </c>
      <c r="AC419" s="9" t="str">
        <f t="shared" si="6"/>
        <v/>
      </c>
    </row>
    <row r="420">
      <c r="A420" s="42" t="str">
        <f>CONFERENCIAS!A420</f>
        <v/>
      </c>
      <c r="D420" s="42" t="str">
        <f>CONFERENCIAS!C420</f>
        <v/>
      </c>
      <c r="E420" s="42" t="str">
        <f>CONFERENCIAS!K420</f>
        <v/>
      </c>
      <c r="F420" s="49" t="str">
        <f>CONFERENCIAS!J420</f>
        <v/>
      </c>
      <c r="G420" s="42" t="str">
        <f>CONFERENCIAS!O420</f>
        <v/>
      </c>
      <c r="H420" s="42" t="str">
        <f>CONFERENCIAS!X420</f>
        <v/>
      </c>
      <c r="I420" s="42" t="str">
        <f>CONFERENCIAS!AA420</f>
        <v/>
      </c>
      <c r="J420" s="44" t="str">
        <f>CONFERENCIAS!P420</f>
        <v/>
      </c>
      <c r="K420" s="45" t="str">
        <f>CONFERENCIAS!R420</f>
        <v/>
      </c>
      <c r="L420" s="45">
        <f>IF(D420="",0,
 IF(E420=1,
   IF(H420="Presencial",
      VLOOKUP(D420,TARIFAS!A:K,3,FALSE) + IF(I420="Sí",VLOOKUP(D420,TARIFAS!A:K,5,FALSE),0),
      VLOOKUP(D420,TARIFAS!A:K,4,FALSE) + IF(I420="Sí",VLOOKUP(D420,TARIFAS!A:K,5,FALSE),0)
   ),
   IF(H420="Presencial",
      VLOOKUP(D420,TARIFAS!A:K,9,FALSE) + IF(I420="Sí",VLOOKUP(D420,TARIFAS!A:K,11,FALSE),0),
      VLOOKUP(D420,TARIFAS!A:K,10,FALSE) + IF(I420="Sí",VLOOKUP(D420,TARIFAS!A:K,11,FALSE),0)
   )
 )
)
</f>
        <v>0</v>
      </c>
      <c r="M420" s="45">
        <f>IF(J420="",0,MAX(0,J420 - TARIFAS!G$2) * TARIFAS!F$2)
</f>
        <v>0</v>
      </c>
      <c r="N420" s="45">
        <f>+L420*TARIFAS!$K$2</f>
        <v>0</v>
      </c>
      <c r="O420" s="45">
        <f t="shared" si="1"/>
        <v>0</v>
      </c>
      <c r="P420" s="45">
        <f>+M420+O420+K420+(+I420-(I420*TARIFAS!$K$2))</f>
        <v>0</v>
      </c>
      <c r="Q420" s="42" t="str">
        <f>CONFERENCIAS!T420</f>
        <v/>
      </c>
      <c r="R420" s="45" t="str">
        <f>CONFERENCIAS!U420</f>
        <v/>
      </c>
      <c r="S420" s="45" t="str">
        <f>CONFERENCIAS!W420</f>
        <v/>
      </c>
      <c r="T420" s="48">
        <f>IF(Q420="",0,
   IF(E420=1,
      IF(H420="Presencial",
         VLOOKUP(D420,TARIFAS!A:K,3,FALSE) + IF(I420="Sí",VLOOKUP(D420,TARIFAS!A:K,5,FALSE),0),
         VLOOKUP(D420,TARIFAS!A:K,4,FALSE) + IF(I420="Sí",VLOOKUP(D420,TARIFAS!A:K,5,FALSE),0)
      ),
      IF(H420="Presencial",
         VLOOKUP(D420,TARIFAS!A:K,9,FALSE) + IF(I420="Sí",VLOOKUP(D420,TARIFAS!A:K,11,FALSE),0),
         VLOOKUP(D420,TARIFAS!A:K,10,FALSE) + IF(I420="Sí",VLOOKUP(D420,TARIFAS!A:K,11,FALSE),0)
      )
   )
)
</f>
        <v>0</v>
      </c>
      <c r="U420" s="45">
        <f>IF(R420="",0,MAX(0,R420 - TARIFAS!G$2) * TARIFAS!F$2)
</f>
        <v>0</v>
      </c>
      <c r="V420" s="45">
        <f>+T420*TARIFAS!$K$2</f>
        <v>0</v>
      </c>
      <c r="W420" s="45">
        <f t="shared" si="2"/>
        <v>0</v>
      </c>
      <c r="X420" s="45">
        <f t="shared" si="3"/>
        <v>0</v>
      </c>
      <c r="Y420" s="45">
        <f t="shared" si="4"/>
        <v>0</v>
      </c>
      <c r="Z420" s="42" t="str">
        <f>CONFERENCIAS!AB420</f>
        <v/>
      </c>
      <c r="AA420" s="42" t="str">
        <f>CONFERENCIAS!AC420</f>
        <v/>
      </c>
      <c r="AB420" s="47" t="str">
        <f t="shared" si="5"/>
        <v/>
      </c>
      <c r="AC420" s="9" t="str">
        <f t="shared" si="6"/>
        <v/>
      </c>
    </row>
    <row r="421">
      <c r="A421" s="42" t="str">
        <f>CONFERENCIAS!A421</f>
        <v/>
      </c>
      <c r="D421" s="42" t="str">
        <f>CONFERENCIAS!C421</f>
        <v/>
      </c>
      <c r="E421" s="42" t="str">
        <f>CONFERENCIAS!K421</f>
        <v/>
      </c>
      <c r="F421" s="49" t="str">
        <f>CONFERENCIAS!J421</f>
        <v/>
      </c>
      <c r="G421" s="42" t="str">
        <f>CONFERENCIAS!O421</f>
        <v/>
      </c>
      <c r="H421" s="42" t="str">
        <f>CONFERENCIAS!X421</f>
        <v/>
      </c>
      <c r="I421" s="42" t="str">
        <f>CONFERENCIAS!AA421</f>
        <v/>
      </c>
      <c r="J421" s="44" t="str">
        <f>CONFERENCIAS!P421</f>
        <v/>
      </c>
      <c r="K421" s="45" t="str">
        <f>CONFERENCIAS!R421</f>
        <v/>
      </c>
      <c r="L421" s="45">
        <f>IF(D421="",0,
 IF(E421=1,
   IF(H421="Presencial",
      VLOOKUP(D421,TARIFAS!A:K,3,FALSE) + IF(I421="Sí",VLOOKUP(D421,TARIFAS!A:K,5,FALSE),0),
      VLOOKUP(D421,TARIFAS!A:K,4,FALSE) + IF(I421="Sí",VLOOKUP(D421,TARIFAS!A:K,5,FALSE),0)
   ),
   IF(H421="Presencial",
      VLOOKUP(D421,TARIFAS!A:K,9,FALSE) + IF(I421="Sí",VLOOKUP(D421,TARIFAS!A:K,11,FALSE),0),
      VLOOKUP(D421,TARIFAS!A:K,10,FALSE) + IF(I421="Sí",VLOOKUP(D421,TARIFAS!A:K,11,FALSE),0)
   )
 )
)
</f>
        <v>0</v>
      </c>
      <c r="M421" s="45">
        <f>IF(J421="",0,MAX(0,J421 - TARIFAS!G$2) * TARIFAS!F$2)
</f>
        <v>0</v>
      </c>
      <c r="N421" s="45">
        <f>+L421*TARIFAS!$K$2</f>
        <v>0</v>
      </c>
      <c r="O421" s="45">
        <f t="shared" si="1"/>
        <v>0</v>
      </c>
      <c r="P421" s="45">
        <f>+M421+O421+K421+(+I421-(I421*TARIFAS!$K$2))</f>
        <v>0</v>
      </c>
      <c r="Q421" s="42" t="str">
        <f>CONFERENCIAS!T421</f>
        <v/>
      </c>
      <c r="R421" s="45" t="str">
        <f>CONFERENCIAS!U421</f>
        <v/>
      </c>
      <c r="S421" s="45" t="str">
        <f>CONFERENCIAS!W421</f>
        <v/>
      </c>
      <c r="T421" s="48">
        <f>IF(Q421="",0,
   IF(E421=1,
      IF(H421="Presencial",
         VLOOKUP(D421,TARIFAS!A:K,3,FALSE) + IF(I421="Sí",VLOOKUP(D421,TARIFAS!A:K,5,FALSE),0),
         VLOOKUP(D421,TARIFAS!A:K,4,FALSE) + IF(I421="Sí",VLOOKUP(D421,TARIFAS!A:K,5,FALSE),0)
      ),
      IF(H421="Presencial",
         VLOOKUP(D421,TARIFAS!A:K,9,FALSE) + IF(I421="Sí",VLOOKUP(D421,TARIFAS!A:K,11,FALSE),0),
         VLOOKUP(D421,TARIFAS!A:K,10,FALSE) + IF(I421="Sí",VLOOKUP(D421,TARIFAS!A:K,11,FALSE),0)
      )
   )
)
</f>
        <v>0</v>
      </c>
      <c r="U421" s="45">
        <f>IF(R421="",0,MAX(0,R421 - TARIFAS!G$2) * TARIFAS!F$2)
</f>
        <v>0</v>
      </c>
      <c r="V421" s="45">
        <f>+T421*TARIFAS!$K$2</f>
        <v>0</v>
      </c>
      <c r="W421" s="45">
        <f t="shared" si="2"/>
        <v>0</v>
      </c>
      <c r="X421" s="45">
        <f t="shared" si="3"/>
        <v>0</v>
      </c>
      <c r="Y421" s="45">
        <f t="shared" si="4"/>
        <v>0</v>
      </c>
      <c r="Z421" s="42" t="str">
        <f>CONFERENCIAS!AB421</f>
        <v/>
      </c>
      <c r="AA421" s="42" t="str">
        <f>CONFERENCIAS!AC421</f>
        <v/>
      </c>
      <c r="AB421" s="47" t="str">
        <f t="shared" si="5"/>
        <v/>
      </c>
      <c r="AC421" s="9" t="str">
        <f t="shared" si="6"/>
        <v/>
      </c>
    </row>
    <row r="422">
      <c r="A422" s="42" t="str">
        <f>CONFERENCIAS!A422</f>
        <v/>
      </c>
      <c r="D422" s="42" t="str">
        <f>CONFERENCIAS!C422</f>
        <v/>
      </c>
      <c r="E422" s="42" t="str">
        <f>CONFERENCIAS!K422</f>
        <v/>
      </c>
      <c r="F422" s="49" t="str">
        <f>CONFERENCIAS!J422</f>
        <v/>
      </c>
      <c r="G422" s="42" t="str">
        <f>CONFERENCIAS!O422</f>
        <v/>
      </c>
      <c r="H422" s="42" t="str">
        <f>CONFERENCIAS!X422</f>
        <v/>
      </c>
      <c r="I422" s="42" t="str">
        <f>CONFERENCIAS!AA422</f>
        <v/>
      </c>
      <c r="J422" s="44" t="str">
        <f>CONFERENCIAS!P422</f>
        <v/>
      </c>
      <c r="K422" s="45" t="str">
        <f>CONFERENCIAS!R422</f>
        <v/>
      </c>
      <c r="L422" s="45">
        <f>IF(D422="",0,
 IF(E422=1,
   IF(H422="Presencial",
      VLOOKUP(D422,TARIFAS!A:K,3,FALSE) + IF(I422="Sí",VLOOKUP(D422,TARIFAS!A:K,5,FALSE),0),
      VLOOKUP(D422,TARIFAS!A:K,4,FALSE) + IF(I422="Sí",VLOOKUP(D422,TARIFAS!A:K,5,FALSE),0)
   ),
   IF(H422="Presencial",
      VLOOKUP(D422,TARIFAS!A:K,9,FALSE) + IF(I422="Sí",VLOOKUP(D422,TARIFAS!A:K,11,FALSE),0),
      VLOOKUP(D422,TARIFAS!A:K,10,FALSE) + IF(I422="Sí",VLOOKUP(D422,TARIFAS!A:K,11,FALSE),0)
   )
 )
)
</f>
        <v>0</v>
      </c>
      <c r="M422" s="45">
        <f>IF(J422="",0,MAX(0,J422 - TARIFAS!G$2) * TARIFAS!F$2)
</f>
        <v>0</v>
      </c>
      <c r="N422" s="45">
        <f>+L422*TARIFAS!$K$2</f>
        <v>0</v>
      </c>
      <c r="O422" s="45">
        <f t="shared" si="1"/>
        <v>0</v>
      </c>
      <c r="P422" s="45">
        <f>+M422+O422+K422+(+I422-(I422*TARIFAS!$K$2))</f>
        <v>0</v>
      </c>
      <c r="Q422" s="42" t="str">
        <f>CONFERENCIAS!T422</f>
        <v/>
      </c>
      <c r="R422" s="45" t="str">
        <f>CONFERENCIAS!U422</f>
        <v/>
      </c>
      <c r="S422" s="45" t="str">
        <f>CONFERENCIAS!W422</f>
        <v/>
      </c>
      <c r="T422" s="48">
        <f>IF(Q422="",0,
   IF(E422=1,
      IF(H422="Presencial",
         VLOOKUP(D422,TARIFAS!A:K,3,FALSE) + IF(I422="Sí",VLOOKUP(D422,TARIFAS!A:K,5,FALSE),0),
         VLOOKUP(D422,TARIFAS!A:K,4,FALSE) + IF(I422="Sí",VLOOKUP(D422,TARIFAS!A:K,5,FALSE),0)
      ),
      IF(H422="Presencial",
         VLOOKUP(D422,TARIFAS!A:K,9,FALSE) + IF(I422="Sí",VLOOKUP(D422,TARIFAS!A:K,11,FALSE),0),
         VLOOKUP(D422,TARIFAS!A:K,10,FALSE) + IF(I422="Sí",VLOOKUP(D422,TARIFAS!A:K,11,FALSE),0)
      )
   )
)
</f>
        <v>0</v>
      </c>
      <c r="U422" s="45">
        <f>IF(R422="",0,MAX(0,R422 - TARIFAS!G$2) * TARIFAS!F$2)
</f>
        <v>0</v>
      </c>
      <c r="V422" s="45">
        <f>+T422*TARIFAS!$K$2</f>
        <v>0</v>
      </c>
      <c r="W422" s="45">
        <f t="shared" si="2"/>
        <v>0</v>
      </c>
      <c r="X422" s="45">
        <f t="shared" si="3"/>
        <v>0</v>
      </c>
      <c r="Y422" s="45">
        <f t="shared" si="4"/>
        <v>0</v>
      </c>
      <c r="Z422" s="42" t="str">
        <f>CONFERENCIAS!AB422</f>
        <v/>
      </c>
      <c r="AA422" s="42" t="str">
        <f>CONFERENCIAS!AC422</f>
        <v/>
      </c>
      <c r="AB422" s="47" t="str">
        <f t="shared" si="5"/>
        <v/>
      </c>
      <c r="AC422" s="9" t="str">
        <f t="shared" si="6"/>
        <v/>
      </c>
    </row>
    <row r="423">
      <c r="A423" s="42" t="str">
        <f>CONFERENCIAS!A423</f>
        <v/>
      </c>
      <c r="D423" s="42" t="str">
        <f>CONFERENCIAS!C423</f>
        <v/>
      </c>
      <c r="E423" s="42" t="str">
        <f>CONFERENCIAS!K423</f>
        <v/>
      </c>
      <c r="F423" s="49" t="str">
        <f>CONFERENCIAS!J423</f>
        <v/>
      </c>
      <c r="G423" s="42" t="str">
        <f>CONFERENCIAS!O423</f>
        <v/>
      </c>
      <c r="H423" s="42" t="str">
        <f>CONFERENCIAS!X423</f>
        <v/>
      </c>
      <c r="I423" s="42" t="str">
        <f>CONFERENCIAS!AA423</f>
        <v/>
      </c>
      <c r="J423" s="44" t="str">
        <f>CONFERENCIAS!P423</f>
        <v/>
      </c>
      <c r="K423" s="45" t="str">
        <f>CONFERENCIAS!R423</f>
        <v/>
      </c>
      <c r="L423" s="45">
        <f>IF(D423="",0,
 IF(E423=1,
   IF(H423="Presencial",
      VLOOKUP(D423,TARIFAS!A:K,3,FALSE) + IF(I423="Sí",VLOOKUP(D423,TARIFAS!A:K,5,FALSE),0),
      VLOOKUP(D423,TARIFAS!A:K,4,FALSE) + IF(I423="Sí",VLOOKUP(D423,TARIFAS!A:K,5,FALSE),0)
   ),
   IF(H423="Presencial",
      VLOOKUP(D423,TARIFAS!A:K,9,FALSE) + IF(I423="Sí",VLOOKUP(D423,TARIFAS!A:K,11,FALSE),0),
      VLOOKUP(D423,TARIFAS!A:K,10,FALSE) + IF(I423="Sí",VLOOKUP(D423,TARIFAS!A:K,11,FALSE),0)
   )
 )
)
</f>
        <v>0</v>
      </c>
      <c r="M423" s="45">
        <f>IF(J423="",0,MAX(0,J423 - TARIFAS!G$2) * TARIFAS!F$2)
</f>
        <v>0</v>
      </c>
      <c r="N423" s="45">
        <f>+L423*TARIFAS!$K$2</f>
        <v>0</v>
      </c>
      <c r="O423" s="45">
        <f t="shared" si="1"/>
        <v>0</v>
      </c>
      <c r="P423" s="45">
        <f>+M423+O423+K423+(+I423-(I423*TARIFAS!$K$2))</f>
        <v>0</v>
      </c>
      <c r="Q423" s="42" t="str">
        <f>CONFERENCIAS!T423</f>
        <v/>
      </c>
      <c r="R423" s="45" t="str">
        <f>CONFERENCIAS!U423</f>
        <v/>
      </c>
      <c r="S423" s="45" t="str">
        <f>CONFERENCIAS!W423</f>
        <v/>
      </c>
      <c r="T423" s="48">
        <f>IF(Q423="",0,
   IF(E423=1,
      IF(H423="Presencial",
         VLOOKUP(D423,TARIFAS!A:K,3,FALSE) + IF(I423="Sí",VLOOKUP(D423,TARIFAS!A:K,5,FALSE),0),
         VLOOKUP(D423,TARIFAS!A:K,4,FALSE) + IF(I423="Sí",VLOOKUP(D423,TARIFAS!A:K,5,FALSE),0)
      ),
      IF(H423="Presencial",
         VLOOKUP(D423,TARIFAS!A:K,9,FALSE) + IF(I423="Sí",VLOOKUP(D423,TARIFAS!A:K,11,FALSE),0),
         VLOOKUP(D423,TARIFAS!A:K,10,FALSE) + IF(I423="Sí",VLOOKUP(D423,TARIFAS!A:K,11,FALSE),0)
      )
   )
)
</f>
        <v>0</v>
      </c>
      <c r="U423" s="45">
        <f>IF(R423="",0,MAX(0,R423 - TARIFAS!G$2) * TARIFAS!F$2)
</f>
        <v>0</v>
      </c>
      <c r="V423" s="45">
        <f>+T423*TARIFAS!$K$2</f>
        <v>0</v>
      </c>
      <c r="W423" s="45">
        <f t="shared" si="2"/>
        <v>0</v>
      </c>
      <c r="X423" s="45">
        <f t="shared" si="3"/>
        <v>0</v>
      </c>
      <c r="Y423" s="45">
        <f t="shared" si="4"/>
        <v>0</v>
      </c>
      <c r="Z423" s="42" t="str">
        <f>CONFERENCIAS!AB423</f>
        <v/>
      </c>
      <c r="AA423" s="42" t="str">
        <f>CONFERENCIAS!AC423</f>
        <v/>
      </c>
      <c r="AB423" s="47" t="str">
        <f t="shared" si="5"/>
        <v/>
      </c>
      <c r="AC423" s="9" t="str">
        <f t="shared" si="6"/>
        <v/>
      </c>
    </row>
    <row r="424">
      <c r="A424" s="42" t="str">
        <f>CONFERENCIAS!A424</f>
        <v/>
      </c>
      <c r="D424" s="42" t="str">
        <f>CONFERENCIAS!C424</f>
        <v/>
      </c>
      <c r="E424" s="42" t="str">
        <f>CONFERENCIAS!K424</f>
        <v/>
      </c>
      <c r="F424" s="49" t="str">
        <f>CONFERENCIAS!J424</f>
        <v/>
      </c>
      <c r="G424" s="42" t="str">
        <f>CONFERENCIAS!O424</f>
        <v/>
      </c>
      <c r="H424" s="42" t="str">
        <f>CONFERENCIAS!X424</f>
        <v/>
      </c>
      <c r="I424" s="42" t="str">
        <f>CONFERENCIAS!AA424</f>
        <v/>
      </c>
      <c r="J424" s="44" t="str">
        <f>CONFERENCIAS!P424</f>
        <v/>
      </c>
      <c r="K424" s="45" t="str">
        <f>CONFERENCIAS!R424</f>
        <v/>
      </c>
      <c r="L424" s="45">
        <f>IF(D424="",0,
 IF(E424=1,
   IF(H424="Presencial",
      VLOOKUP(D424,TARIFAS!A:K,3,FALSE) + IF(I424="Sí",VLOOKUP(D424,TARIFAS!A:K,5,FALSE),0),
      VLOOKUP(D424,TARIFAS!A:K,4,FALSE) + IF(I424="Sí",VLOOKUP(D424,TARIFAS!A:K,5,FALSE),0)
   ),
   IF(H424="Presencial",
      VLOOKUP(D424,TARIFAS!A:K,9,FALSE) + IF(I424="Sí",VLOOKUP(D424,TARIFAS!A:K,11,FALSE),0),
      VLOOKUP(D424,TARIFAS!A:K,10,FALSE) + IF(I424="Sí",VLOOKUP(D424,TARIFAS!A:K,11,FALSE),0)
   )
 )
)
</f>
        <v>0</v>
      </c>
      <c r="M424" s="45">
        <f>IF(J424="",0,MAX(0,J424 - TARIFAS!G$2) * TARIFAS!F$2)
</f>
        <v>0</v>
      </c>
      <c r="N424" s="45">
        <f>+L424*TARIFAS!$K$2</f>
        <v>0</v>
      </c>
      <c r="O424" s="45">
        <f t="shared" si="1"/>
        <v>0</v>
      </c>
      <c r="P424" s="45">
        <f>+M424+O424+K424+(+I424-(I424*TARIFAS!$K$2))</f>
        <v>0</v>
      </c>
      <c r="Q424" s="42" t="str">
        <f>CONFERENCIAS!T424</f>
        <v/>
      </c>
      <c r="R424" s="45" t="str">
        <f>CONFERENCIAS!U424</f>
        <v/>
      </c>
      <c r="S424" s="45" t="str">
        <f>CONFERENCIAS!W424</f>
        <v/>
      </c>
      <c r="T424" s="48">
        <f>IF(Q424="",0,
   IF(E424=1,
      IF(H424="Presencial",
         VLOOKUP(D424,TARIFAS!A:K,3,FALSE) + IF(I424="Sí",VLOOKUP(D424,TARIFAS!A:K,5,FALSE),0),
         VLOOKUP(D424,TARIFAS!A:K,4,FALSE) + IF(I424="Sí",VLOOKUP(D424,TARIFAS!A:K,5,FALSE),0)
      ),
      IF(H424="Presencial",
         VLOOKUP(D424,TARIFAS!A:K,9,FALSE) + IF(I424="Sí",VLOOKUP(D424,TARIFAS!A:K,11,FALSE),0),
         VLOOKUP(D424,TARIFAS!A:K,10,FALSE) + IF(I424="Sí",VLOOKUP(D424,TARIFAS!A:K,11,FALSE),0)
      )
   )
)
</f>
        <v>0</v>
      </c>
      <c r="U424" s="45">
        <f>IF(R424="",0,MAX(0,R424 - TARIFAS!G$2) * TARIFAS!F$2)
</f>
        <v>0</v>
      </c>
      <c r="V424" s="45">
        <f>+T424*TARIFAS!$K$2</f>
        <v>0</v>
      </c>
      <c r="W424" s="45">
        <f t="shared" si="2"/>
        <v>0</v>
      </c>
      <c r="X424" s="45">
        <f t="shared" si="3"/>
        <v>0</v>
      </c>
      <c r="Y424" s="45">
        <f t="shared" si="4"/>
        <v>0</v>
      </c>
      <c r="Z424" s="42" t="str">
        <f>CONFERENCIAS!AB424</f>
        <v/>
      </c>
      <c r="AA424" s="42" t="str">
        <f>CONFERENCIAS!AC424</f>
        <v/>
      </c>
      <c r="AB424" s="47" t="str">
        <f t="shared" si="5"/>
        <v/>
      </c>
      <c r="AC424" s="9" t="str">
        <f t="shared" si="6"/>
        <v/>
      </c>
    </row>
    <row r="425">
      <c r="A425" s="42" t="str">
        <f>CONFERENCIAS!A425</f>
        <v/>
      </c>
      <c r="D425" s="42" t="str">
        <f>CONFERENCIAS!C425</f>
        <v/>
      </c>
      <c r="E425" s="42" t="str">
        <f>CONFERENCIAS!K425</f>
        <v/>
      </c>
      <c r="F425" s="49" t="str">
        <f>CONFERENCIAS!J425</f>
        <v/>
      </c>
      <c r="G425" s="42" t="str">
        <f>CONFERENCIAS!O425</f>
        <v/>
      </c>
      <c r="H425" s="42" t="str">
        <f>CONFERENCIAS!X425</f>
        <v/>
      </c>
      <c r="I425" s="42" t="str">
        <f>CONFERENCIAS!AA425</f>
        <v/>
      </c>
      <c r="J425" s="44" t="str">
        <f>CONFERENCIAS!P425</f>
        <v/>
      </c>
      <c r="K425" s="45" t="str">
        <f>CONFERENCIAS!R425</f>
        <v/>
      </c>
      <c r="L425" s="45">
        <f>IF(D425="",0,
 IF(E425=1,
   IF(H425="Presencial",
      VLOOKUP(D425,TARIFAS!A:K,3,FALSE) + IF(I425="Sí",VLOOKUP(D425,TARIFAS!A:K,5,FALSE),0),
      VLOOKUP(D425,TARIFAS!A:K,4,FALSE) + IF(I425="Sí",VLOOKUP(D425,TARIFAS!A:K,5,FALSE),0)
   ),
   IF(H425="Presencial",
      VLOOKUP(D425,TARIFAS!A:K,9,FALSE) + IF(I425="Sí",VLOOKUP(D425,TARIFAS!A:K,11,FALSE),0),
      VLOOKUP(D425,TARIFAS!A:K,10,FALSE) + IF(I425="Sí",VLOOKUP(D425,TARIFAS!A:K,11,FALSE),0)
   )
 )
)
</f>
        <v>0</v>
      </c>
      <c r="M425" s="45">
        <f>IF(J425="",0,MAX(0,J425 - TARIFAS!G$2) * TARIFAS!F$2)
</f>
        <v>0</v>
      </c>
      <c r="N425" s="45">
        <f>+L425*TARIFAS!$K$2</f>
        <v>0</v>
      </c>
      <c r="O425" s="45">
        <f t="shared" si="1"/>
        <v>0</v>
      </c>
      <c r="P425" s="45">
        <f>+M425+O425+K425+(+I425-(I425*TARIFAS!$K$2))</f>
        <v>0</v>
      </c>
      <c r="Q425" s="42" t="str">
        <f>CONFERENCIAS!T425</f>
        <v/>
      </c>
      <c r="R425" s="45" t="str">
        <f>CONFERENCIAS!U425</f>
        <v/>
      </c>
      <c r="S425" s="45" t="str">
        <f>CONFERENCIAS!W425</f>
        <v/>
      </c>
      <c r="T425" s="48">
        <f>IF(Q425="",0,
   IF(E425=1,
      IF(H425="Presencial",
         VLOOKUP(D425,TARIFAS!A:K,3,FALSE) + IF(I425="Sí",VLOOKUP(D425,TARIFAS!A:K,5,FALSE),0),
         VLOOKUP(D425,TARIFAS!A:K,4,FALSE) + IF(I425="Sí",VLOOKUP(D425,TARIFAS!A:K,5,FALSE),0)
      ),
      IF(H425="Presencial",
         VLOOKUP(D425,TARIFAS!A:K,9,FALSE) + IF(I425="Sí",VLOOKUP(D425,TARIFAS!A:K,11,FALSE),0),
         VLOOKUP(D425,TARIFAS!A:K,10,FALSE) + IF(I425="Sí",VLOOKUP(D425,TARIFAS!A:K,11,FALSE),0)
      )
   )
)
</f>
        <v>0</v>
      </c>
      <c r="U425" s="45">
        <f>IF(R425="",0,MAX(0,R425 - TARIFAS!G$2) * TARIFAS!F$2)
</f>
        <v>0</v>
      </c>
      <c r="V425" s="45">
        <f>+T425*TARIFAS!$K$2</f>
        <v>0</v>
      </c>
      <c r="W425" s="45">
        <f t="shared" si="2"/>
        <v>0</v>
      </c>
      <c r="X425" s="45">
        <f t="shared" si="3"/>
        <v>0</v>
      </c>
      <c r="Y425" s="45">
        <f t="shared" si="4"/>
        <v>0</v>
      </c>
      <c r="Z425" s="42" t="str">
        <f>CONFERENCIAS!AB425</f>
        <v/>
      </c>
      <c r="AA425" s="42" t="str">
        <f>CONFERENCIAS!AC425</f>
        <v/>
      </c>
      <c r="AB425" s="47" t="str">
        <f t="shared" si="5"/>
        <v/>
      </c>
      <c r="AC425" s="9" t="str">
        <f t="shared" si="6"/>
        <v/>
      </c>
    </row>
    <row r="426">
      <c r="A426" s="42" t="str">
        <f>CONFERENCIAS!A426</f>
        <v/>
      </c>
      <c r="D426" s="42" t="str">
        <f>CONFERENCIAS!C426</f>
        <v/>
      </c>
      <c r="E426" s="42" t="str">
        <f>CONFERENCIAS!K426</f>
        <v/>
      </c>
      <c r="F426" s="49" t="str">
        <f>CONFERENCIAS!J426</f>
        <v/>
      </c>
      <c r="G426" s="42" t="str">
        <f>CONFERENCIAS!O426</f>
        <v/>
      </c>
      <c r="H426" s="42" t="str">
        <f>CONFERENCIAS!X426</f>
        <v/>
      </c>
      <c r="I426" s="42" t="str">
        <f>CONFERENCIAS!AA426</f>
        <v/>
      </c>
      <c r="J426" s="44" t="str">
        <f>CONFERENCIAS!P426</f>
        <v/>
      </c>
      <c r="K426" s="45" t="str">
        <f>CONFERENCIAS!R426</f>
        <v/>
      </c>
      <c r="L426" s="45">
        <f>IF(D426="",0,
 IF(E426=1,
   IF(H426="Presencial",
      VLOOKUP(D426,TARIFAS!A:K,3,FALSE) + IF(I426="Sí",VLOOKUP(D426,TARIFAS!A:K,5,FALSE),0),
      VLOOKUP(D426,TARIFAS!A:K,4,FALSE) + IF(I426="Sí",VLOOKUP(D426,TARIFAS!A:K,5,FALSE),0)
   ),
   IF(H426="Presencial",
      VLOOKUP(D426,TARIFAS!A:K,9,FALSE) + IF(I426="Sí",VLOOKUP(D426,TARIFAS!A:K,11,FALSE),0),
      VLOOKUP(D426,TARIFAS!A:K,10,FALSE) + IF(I426="Sí",VLOOKUP(D426,TARIFAS!A:K,11,FALSE),0)
   )
 )
)
</f>
        <v>0</v>
      </c>
      <c r="M426" s="45">
        <f>IF(J426="",0,MAX(0,J426 - TARIFAS!G$2) * TARIFAS!F$2)
</f>
        <v>0</v>
      </c>
      <c r="N426" s="45">
        <f>+L426*TARIFAS!$K$2</f>
        <v>0</v>
      </c>
      <c r="O426" s="45">
        <f t="shared" si="1"/>
        <v>0</v>
      </c>
      <c r="P426" s="45">
        <f>+M426+O426+K426+(+I426-(I426*TARIFAS!$K$2))</f>
        <v>0</v>
      </c>
      <c r="Q426" s="42" t="str">
        <f>CONFERENCIAS!T426</f>
        <v/>
      </c>
      <c r="R426" s="45" t="str">
        <f>CONFERENCIAS!U426</f>
        <v/>
      </c>
      <c r="S426" s="45" t="str">
        <f>CONFERENCIAS!W426</f>
        <v/>
      </c>
      <c r="T426" s="48">
        <f>IF(Q426="",0,
   IF(E426=1,
      IF(H426="Presencial",
         VLOOKUP(D426,TARIFAS!A:K,3,FALSE) + IF(I426="Sí",VLOOKUP(D426,TARIFAS!A:K,5,FALSE),0),
         VLOOKUP(D426,TARIFAS!A:K,4,FALSE) + IF(I426="Sí",VLOOKUP(D426,TARIFAS!A:K,5,FALSE),0)
      ),
      IF(H426="Presencial",
         VLOOKUP(D426,TARIFAS!A:K,9,FALSE) + IF(I426="Sí",VLOOKUP(D426,TARIFAS!A:K,11,FALSE),0),
         VLOOKUP(D426,TARIFAS!A:K,10,FALSE) + IF(I426="Sí",VLOOKUP(D426,TARIFAS!A:K,11,FALSE),0)
      )
   )
)
</f>
        <v>0</v>
      </c>
      <c r="U426" s="45">
        <f>IF(R426="",0,MAX(0,R426 - TARIFAS!G$2) * TARIFAS!F$2)
</f>
        <v>0</v>
      </c>
      <c r="V426" s="45">
        <f>+T426*TARIFAS!$K$2</f>
        <v>0</v>
      </c>
      <c r="W426" s="45">
        <f t="shared" si="2"/>
        <v>0</v>
      </c>
      <c r="X426" s="45">
        <f t="shared" si="3"/>
        <v>0</v>
      </c>
      <c r="Y426" s="45">
        <f t="shared" si="4"/>
        <v>0</v>
      </c>
      <c r="Z426" s="42" t="str">
        <f>CONFERENCIAS!AB426</f>
        <v/>
      </c>
      <c r="AA426" s="42" t="str">
        <f>CONFERENCIAS!AC426</f>
        <v/>
      </c>
      <c r="AB426" s="47" t="str">
        <f t="shared" si="5"/>
        <v/>
      </c>
      <c r="AC426" s="9" t="str">
        <f t="shared" si="6"/>
        <v/>
      </c>
    </row>
    <row r="427">
      <c r="A427" s="42" t="str">
        <f>CONFERENCIAS!A427</f>
        <v/>
      </c>
      <c r="D427" s="42" t="str">
        <f>CONFERENCIAS!C427</f>
        <v/>
      </c>
      <c r="E427" s="42" t="str">
        <f>CONFERENCIAS!K427</f>
        <v/>
      </c>
      <c r="F427" s="49" t="str">
        <f>CONFERENCIAS!J427</f>
        <v/>
      </c>
      <c r="G427" s="42" t="str">
        <f>CONFERENCIAS!O427</f>
        <v/>
      </c>
      <c r="H427" s="42" t="str">
        <f>CONFERENCIAS!X427</f>
        <v/>
      </c>
      <c r="I427" s="42" t="str">
        <f>CONFERENCIAS!AA427</f>
        <v/>
      </c>
      <c r="J427" s="44" t="str">
        <f>CONFERENCIAS!P427</f>
        <v/>
      </c>
      <c r="K427" s="45" t="str">
        <f>CONFERENCIAS!R427</f>
        <v/>
      </c>
      <c r="L427" s="45">
        <f>IF(D427="",0,
 IF(E427=1,
   IF(H427="Presencial",
      VLOOKUP(D427,TARIFAS!A:K,3,FALSE) + IF(I427="Sí",VLOOKUP(D427,TARIFAS!A:K,5,FALSE),0),
      VLOOKUP(D427,TARIFAS!A:K,4,FALSE) + IF(I427="Sí",VLOOKUP(D427,TARIFAS!A:K,5,FALSE),0)
   ),
   IF(H427="Presencial",
      VLOOKUP(D427,TARIFAS!A:K,9,FALSE) + IF(I427="Sí",VLOOKUP(D427,TARIFAS!A:K,11,FALSE),0),
      VLOOKUP(D427,TARIFAS!A:K,10,FALSE) + IF(I427="Sí",VLOOKUP(D427,TARIFAS!A:K,11,FALSE),0)
   )
 )
)
</f>
        <v>0</v>
      </c>
      <c r="M427" s="45">
        <f>IF(J427="",0,MAX(0,J427 - TARIFAS!G$2) * TARIFAS!F$2)
</f>
        <v>0</v>
      </c>
      <c r="N427" s="45">
        <f>+L427*TARIFAS!$K$2</f>
        <v>0</v>
      </c>
      <c r="O427" s="45">
        <f t="shared" si="1"/>
        <v>0</v>
      </c>
      <c r="P427" s="45">
        <f>+M427+O427+K427+(+I427-(I427*TARIFAS!$K$2))</f>
        <v>0</v>
      </c>
      <c r="Q427" s="42" t="str">
        <f>CONFERENCIAS!T427</f>
        <v/>
      </c>
      <c r="R427" s="45" t="str">
        <f>CONFERENCIAS!U427</f>
        <v/>
      </c>
      <c r="S427" s="45" t="str">
        <f>CONFERENCIAS!W427</f>
        <v/>
      </c>
      <c r="T427" s="48">
        <f>IF(Q427="",0,
   IF(E427=1,
      IF(H427="Presencial",
         VLOOKUP(D427,TARIFAS!A:K,3,FALSE) + IF(I427="Sí",VLOOKUP(D427,TARIFAS!A:K,5,FALSE),0),
         VLOOKUP(D427,TARIFAS!A:K,4,FALSE) + IF(I427="Sí",VLOOKUP(D427,TARIFAS!A:K,5,FALSE),0)
      ),
      IF(H427="Presencial",
         VLOOKUP(D427,TARIFAS!A:K,9,FALSE) + IF(I427="Sí",VLOOKUP(D427,TARIFAS!A:K,11,FALSE),0),
         VLOOKUP(D427,TARIFAS!A:K,10,FALSE) + IF(I427="Sí",VLOOKUP(D427,TARIFAS!A:K,11,FALSE),0)
      )
   )
)
</f>
        <v>0</v>
      </c>
      <c r="U427" s="45">
        <f>IF(R427="",0,MAX(0,R427 - TARIFAS!G$2) * TARIFAS!F$2)
</f>
        <v>0</v>
      </c>
      <c r="V427" s="45">
        <f>+T427*TARIFAS!$K$2</f>
        <v>0</v>
      </c>
      <c r="W427" s="45">
        <f t="shared" si="2"/>
        <v>0</v>
      </c>
      <c r="X427" s="45">
        <f t="shared" si="3"/>
        <v>0</v>
      </c>
      <c r="Y427" s="45">
        <f t="shared" si="4"/>
        <v>0</v>
      </c>
      <c r="Z427" s="42" t="str">
        <f>CONFERENCIAS!AB427</f>
        <v/>
      </c>
      <c r="AA427" s="42" t="str">
        <f>CONFERENCIAS!AC427</f>
        <v/>
      </c>
      <c r="AB427" s="47" t="str">
        <f t="shared" si="5"/>
        <v/>
      </c>
      <c r="AC427" s="9" t="str">
        <f t="shared" si="6"/>
        <v/>
      </c>
    </row>
    <row r="428">
      <c r="A428" s="42" t="str">
        <f>CONFERENCIAS!A428</f>
        <v/>
      </c>
      <c r="D428" s="42" t="str">
        <f>CONFERENCIAS!C428</f>
        <v/>
      </c>
      <c r="E428" s="42" t="str">
        <f>CONFERENCIAS!K428</f>
        <v/>
      </c>
      <c r="F428" s="49" t="str">
        <f>CONFERENCIAS!J428</f>
        <v/>
      </c>
      <c r="G428" s="42" t="str">
        <f>CONFERENCIAS!O428</f>
        <v/>
      </c>
      <c r="H428" s="42" t="str">
        <f>CONFERENCIAS!X428</f>
        <v/>
      </c>
      <c r="I428" s="42" t="str">
        <f>CONFERENCIAS!AA428</f>
        <v/>
      </c>
      <c r="J428" s="44" t="str">
        <f>CONFERENCIAS!P428</f>
        <v/>
      </c>
      <c r="K428" s="45" t="str">
        <f>CONFERENCIAS!R428</f>
        <v/>
      </c>
      <c r="L428" s="45">
        <f>IF(D428="",0,
 IF(E428=1,
   IF(H428="Presencial",
      VLOOKUP(D428,TARIFAS!A:K,3,FALSE) + IF(I428="Sí",VLOOKUP(D428,TARIFAS!A:K,5,FALSE),0),
      VLOOKUP(D428,TARIFAS!A:K,4,FALSE) + IF(I428="Sí",VLOOKUP(D428,TARIFAS!A:K,5,FALSE),0)
   ),
   IF(H428="Presencial",
      VLOOKUP(D428,TARIFAS!A:K,9,FALSE) + IF(I428="Sí",VLOOKUP(D428,TARIFAS!A:K,11,FALSE),0),
      VLOOKUP(D428,TARIFAS!A:K,10,FALSE) + IF(I428="Sí",VLOOKUP(D428,TARIFAS!A:K,11,FALSE),0)
   )
 )
)
</f>
        <v>0</v>
      </c>
      <c r="M428" s="45">
        <f>IF(J428="",0,MAX(0,J428 - TARIFAS!G$2) * TARIFAS!F$2)
</f>
        <v>0</v>
      </c>
      <c r="N428" s="45">
        <f>+L428*TARIFAS!$K$2</f>
        <v>0</v>
      </c>
      <c r="O428" s="45">
        <f t="shared" si="1"/>
        <v>0</v>
      </c>
      <c r="P428" s="45">
        <f>+M428+O428+K428+(+I428-(I428*TARIFAS!$K$2))</f>
        <v>0</v>
      </c>
      <c r="Q428" s="42" t="str">
        <f>CONFERENCIAS!T428</f>
        <v/>
      </c>
      <c r="R428" s="45" t="str">
        <f>CONFERENCIAS!U428</f>
        <v/>
      </c>
      <c r="S428" s="45" t="str">
        <f>CONFERENCIAS!W428</f>
        <v/>
      </c>
      <c r="T428" s="48">
        <f>IF(Q428="",0,
   IF(E428=1,
      IF(H428="Presencial",
         VLOOKUP(D428,TARIFAS!A:K,3,FALSE) + IF(I428="Sí",VLOOKUP(D428,TARIFAS!A:K,5,FALSE),0),
         VLOOKUP(D428,TARIFAS!A:K,4,FALSE) + IF(I428="Sí",VLOOKUP(D428,TARIFAS!A:K,5,FALSE),0)
      ),
      IF(H428="Presencial",
         VLOOKUP(D428,TARIFAS!A:K,9,FALSE) + IF(I428="Sí",VLOOKUP(D428,TARIFAS!A:K,11,FALSE),0),
         VLOOKUP(D428,TARIFAS!A:K,10,FALSE) + IF(I428="Sí",VLOOKUP(D428,TARIFAS!A:K,11,FALSE),0)
      )
   )
)
</f>
        <v>0</v>
      </c>
      <c r="U428" s="45">
        <f>IF(R428="",0,MAX(0,R428 - TARIFAS!G$2) * TARIFAS!F$2)
</f>
        <v>0</v>
      </c>
      <c r="V428" s="45">
        <f>+T428*TARIFAS!$K$2</f>
        <v>0</v>
      </c>
      <c r="W428" s="45">
        <f t="shared" si="2"/>
        <v>0</v>
      </c>
      <c r="X428" s="45">
        <f t="shared" si="3"/>
        <v>0</v>
      </c>
      <c r="Y428" s="45">
        <f t="shared" si="4"/>
        <v>0</v>
      </c>
      <c r="Z428" s="42" t="str">
        <f>CONFERENCIAS!AB428</f>
        <v/>
      </c>
      <c r="AA428" s="42" t="str">
        <f>CONFERENCIAS!AC428</f>
        <v/>
      </c>
      <c r="AB428" s="47" t="str">
        <f t="shared" si="5"/>
        <v/>
      </c>
      <c r="AC428" s="9" t="str">
        <f t="shared" si="6"/>
        <v/>
      </c>
    </row>
    <row r="429">
      <c r="A429" s="42" t="str">
        <f>CONFERENCIAS!A429</f>
        <v/>
      </c>
      <c r="D429" s="42" t="str">
        <f>CONFERENCIAS!C429</f>
        <v/>
      </c>
      <c r="E429" s="42" t="str">
        <f>CONFERENCIAS!K429</f>
        <v/>
      </c>
      <c r="F429" s="49" t="str">
        <f>CONFERENCIAS!J429</f>
        <v/>
      </c>
      <c r="G429" s="42" t="str">
        <f>CONFERENCIAS!O429</f>
        <v/>
      </c>
      <c r="H429" s="42" t="str">
        <f>CONFERENCIAS!X429</f>
        <v/>
      </c>
      <c r="I429" s="42" t="str">
        <f>CONFERENCIAS!AA429</f>
        <v/>
      </c>
      <c r="J429" s="44" t="str">
        <f>CONFERENCIAS!P429</f>
        <v/>
      </c>
      <c r="K429" s="45" t="str">
        <f>CONFERENCIAS!R429</f>
        <v/>
      </c>
      <c r="L429" s="45">
        <f>IF(D429="",0,
 IF(E429=1,
   IF(H429="Presencial",
      VLOOKUP(D429,TARIFAS!A:K,3,FALSE) + IF(I429="Sí",VLOOKUP(D429,TARIFAS!A:K,5,FALSE),0),
      VLOOKUP(D429,TARIFAS!A:K,4,FALSE) + IF(I429="Sí",VLOOKUP(D429,TARIFAS!A:K,5,FALSE),0)
   ),
   IF(H429="Presencial",
      VLOOKUP(D429,TARIFAS!A:K,9,FALSE) + IF(I429="Sí",VLOOKUP(D429,TARIFAS!A:K,11,FALSE),0),
      VLOOKUP(D429,TARIFAS!A:K,10,FALSE) + IF(I429="Sí",VLOOKUP(D429,TARIFAS!A:K,11,FALSE),0)
   )
 )
)
</f>
        <v>0</v>
      </c>
      <c r="M429" s="45">
        <f>IF(J429="",0,MAX(0,J429 - TARIFAS!G$2) * TARIFAS!F$2)
</f>
        <v>0</v>
      </c>
      <c r="N429" s="45">
        <f>+L429*TARIFAS!$K$2</f>
        <v>0</v>
      </c>
      <c r="O429" s="45">
        <f t="shared" si="1"/>
        <v>0</v>
      </c>
      <c r="P429" s="45">
        <f>+M429+O429+K429+(+I429-(I429*TARIFAS!$K$2))</f>
        <v>0</v>
      </c>
      <c r="Q429" s="42" t="str">
        <f>CONFERENCIAS!T429</f>
        <v/>
      </c>
      <c r="R429" s="45" t="str">
        <f>CONFERENCIAS!U429</f>
        <v/>
      </c>
      <c r="S429" s="45" t="str">
        <f>CONFERENCIAS!W429</f>
        <v/>
      </c>
      <c r="T429" s="48">
        <f>IF(Q429="",0,
   IF(E429=1,
      IF(H429="Presencial",
         VLOOKUP(D429,TARIFAS!A:K,3,FALSE) + IF(I429="Sí",VLOOKUP(D429,TARIFAS!A:K,5,FALSE),0),
         VLOOKUP(D429,TARIFAS!A:K,4,FALSE) + IF(I429="Sí",VLOOKUP(D429,TARIFAS!A:K,5,FALSE),0)
      ),
      IF(H429="Presencial",
         VLOOKUP(D429,TARIFAS!A:K,9,FALSE) + IF(I429="Sí",VLOOKUP(D429,TARIFAS!A:K,11,FALSE),0),
         VLOOKUP(D429,TARIFAS!A:K,10,FALSE) + IF(I429="Sí",VLOOKUP(D429,TARIFAS!A:K,11,FALSE),0)
      )
   )
)
</f>
        <v>0</v>
      </c>
      <c r="U429" s="45">
        <f>IF(R429="",0,MAX(0,R429 - TARIFAS!G$2) * TARIFAS!F$2)
</f>
        <v>0</v>
      </c>
      <c r="V429" s="45">
        <f>+T429*TARIFAS!$K$2</f>
        <v>0</v>
      </c>
      <c r="W429" s="45">
        <f t="shared" si="2"/>
        <v>0</v>
      </c>
      <c r="X429" s="45">
        <f t="shared" si="3"/>
        <v>0</v>
      </c>
      <c r="Y429" s="45">
        <f t="shared" si="4"/>
        <v>0</v>
      </c>
      <c r="Z429" s="42" t="str">
        <f>CONFERENCIAS!AB429</f>
        <v/>
      </c>
      <c r="AA429" s="42" t="str">
        <f>CONFERENCIAS!AC429</f>
        <v/>
      </c>
      <c r="AB429" s="47" t="str">
        <f t="shared" si="5"/>
        <v/>
      </c>
      <c r="AC429" s="9" t="str">
        <f t="shared" si="6"/>
        <v/>
      </c>
    </row>
    <row r="430">
      <c r="A430" s="42" t="str">
        <f>CONFERENCIAS!A430</f>
        <v/>
      </c>
      <c r="D430" s="42" t="str">
        <f>CONFERENCIAS!C430</f>
        <v/>
      </c>
      <c r="E430" s="42" t="str">
        <f>CONFERENCIAS!K430</f>
        <v/>
      </c>
      <c r="F430" s="49" t="str">
        <f>CONFERENCIAS!J430</f>
        <v/>
      </c>
      <c r="G430" s="42" t="str">
        <f>CONFERENCIAS!O430</f>
        <v/>
      </c>
      <c r="H430" s="42" t="str">
        <f>CONFERENCIAS!X430</f>
        <v/>
      </c>
      <c r="I430" s="42" t="str">
        <f>CONFERENCIAS!AA430</f>
        <v/>
      </c>
      <c r="J430" s="44" t="str">
        <f>CONFERENCIAS!P430</f>
        <v/>
      </c>
      <c r="K430" s="45" t="str">
        <f>CONFERENCIAS!R430</f>
        <v/>
      </c>
      <c r="L430" s="45">
        <f>IF(D430="",0,
 IF(E430=1,
   IF(H430="Presencial",
      VLOOKUP(D430,TARIFAS!A:K,3,FALSE) + IF(I430="Sí",VLOOKUP(D430,TARIFAS!A:K,5,FALSE),0),
      VLOOKUP(D430,TARIFAS!A:K,4,FALSE) + IF(I430="Sí",VLOOKUP(D430,TARIFAS!A:K,5,FALSE),0)
   ),
   IF(H430="Presencial",
      VLOOKUP(D430,TARIFAS!A:K,9,FALSE) + IF(I430="Sí",VLOOKUP(D430,TARIFAS!A:K,11,FALSE),0),
      VLOOKUP(D430,TARIFAS!A:K,10,FALSE) + IF(I430="Sí",VLOOKUP(D430,TARIFAS!A:K,11,FALSE),0)
   )
 )
)
</f>
        <v>0</v>
      </c>
      <c r="M430" s="45">
        <f>IF(J430="",0,MAX(0,J430 - TARIFAS!G$2) * TARIFAS!F$2)
</f>
        <v>0</v>
      </c>
      <c r="N430" s="45">
        <f>+L430*TARIFAS!$K$2</f>
        <v>0</v>
      </c>
      <c r="O430" s="45">
        <f t="shared" si="1"/>
        <v>0</v>
      </c>
      <c r="P430" s="45">
        <f>+M430+O430+K430+(+I430-(I430*TARIFAS!$K$2))</f>
        <v>0</v>
      </c>
      <c r="Q430" s="42" t="str">
        <f>CONFERENCIAS!T430</f>
        <v/>
      </c>
      <c r="R430" s="45" t="str">
        <f>CONFERENCIAS!U430</f>
        <v/>
      </c>
      <c r="S430" s="45" t="str">
        <f>CONFERENCIAS!W430</f>
        <v/>
      </c>
      <c r="T430" s="48">
        <f>IF(Q430="",0,
   IF(E430=1,
      IF(H430="Presencial",
         VLOOKUP(D430,TARIFAS!A:K,3,FALSE) + IF(I430="Sí",VLOOKUP(D430,TARIFAS!A:K,5,FALSE),0),
         VLOOKUP(D430,TARIFAS!A:K,4,FALSE) + IF(I430="Sí",VLOOKUP(D430,TARIFAS!A:K,5,FALSE),0)
      ),
      IF(H430="Presencial",
         VLOOKUP(D430,TARIFAS!A:K,9,FALSE) + IF(I430="Sí",VLOOKUP(D430,TARIFAS!A:K,11,FALSE),0),
         VLOOKUP(D430,TARIFAS!A:K,10,FALSE) + IF(I430="Sí",VLOOKUP(D430,TARIFAS!A:K,11,FALSE),0)
      )
   )
)
</f>
        <v>0</v>
      </c>
      <c r="U430" s="45">
        <f>IF(R430="",0,MAX(0,R430 - TARIFAS!G$2) * TARIFAS!F$2)
</f>
        <v>0</v>
      </c>
      <c r="V430" s="45">
        <f>+T430*TARIFAS!$K$2</f>
        <v>0</v>
      </c>
      <c r="W430" s="45">
        <f t="shared" si="2"/>
        <v>0</v>
      </c>
      <c r="X430" s="45">
        <f t="shared" si="3"/>
        <v>0</v>
      </c>
      <c r="Y430" s="45">
        <f t="shared" si="4"/>
        <v>0</v>
      </c>
      <c r="Z430" s="42" t="str">
        <f>CONFERENCIAS!AB430</f>
        <v/>
      </c>
      <c r="AA430" s="42" t="str">
        <f>CONFERENCIAS!AC430</f>
        <v/>
      </c>
      <c r="AB430" s="47" t="str">
        <f t="shared" si="5"/>
        <v/>
      </c>
      <c r="AC430" s="9" t="str">
        <f t="shared" si="6"/>
        <v/>
      </c>
    </row>
    <row r="431">
      <c r="A431" s="42" t="str">
        <f>CONFERENCIAS!A431</f>
        <v/>
      </c>
      <c r="D431" s="42" t="str">
        <f>CONFERENCIAS!C431</f>
        <v/>
      </c>
      <c r="E431" s="42" t="str">
        <f>CONFERENCIAS!K431</f>
        <v/>
      </c>
      <c r="F431" s="49" t="str">
        <f>CONFERENCIAS!J431</f>
        <v/>
      </c>
      <c r="G431" s="42" t="str">
        <f>CONFERENCIAS!O431</f>
        <v/>
      </c>
      <c r="H431" s="42" t="str">
        <f>CONFERENCIAS!X431</f>
        <v/>
      </c>
      <c r="I431" s="42" t="str">
        <f>CONFERENCIAS!AA431</f>
        <v/>
      </c>
      <c r="J431" s="44" t="str">
        <f>CONFERENCIAS!P431</f>
        <v/>
      </c>
      <c r="K431" s="45" t="str">
        <f>CONFERENCIAS!R431</f>
        <v/>
      </c>
      <c r="L431" s="45">
        <f>IF(D431="",0,
 IF(E431=1,
   IF(H431="Presencial",
      VLOOKUP(D431,TARIFAS!A:K,3,FALSE) + IF(I431="Sí",VLOOKUP(D431,TARIFAS!A:K,5,FALSE),0),
      VLOOKUP(D431,TARIFAS!A:K,4,FALSE) + IF(I431="Sí",VLOOKUP(D431,TARIFAS!A:K,5,FALSE),0)
   ),
   IF(H431="Presencial",
      VLOOKUP(D431,TARIFAS!A:K,9,FALSE) + IF(I431="Sí",VLOOKUP(D431,TARIFAS!A:K,11,FALSE),0),
      VLOOKUP(D431,TARIFAS!A:K,10,FALSE) + IF(I431="Sí",VLOOKUP(D431,TARIFAS!A:K,11,FALSE),0)
   )
 )
)
</f>
        <v>0</v>
      </c>
      <c r="M431" s="45">
        <f>IF(J431="",0,MAX(0,J431 - TARIFAS!G$2) * TARIFAS!F$2)
</f>
        <v>0</v>
      </c>
      <c r="N431" s="45">
        <f>+L431*TARIFAS!$K$2</f>
        <v>0</v>
      </c>
      <c r="O431" s="45">
        <f t="shared" si="1"/>
        <v>0</v>
      </c>
      <c r="P431" s="45">
        <f>+M431+O431+K431+(+I431-(I431*TARIFAS!$K$2))</f>
        <v>0</v>
      </c>
      <c r="Q431" s="42" t="str">
        <f>CONFERENCIAS!T431</f>
        <v/>
      </c>
      <c r="R431" s="45" t="str">
        <f>CONFERENCIAS!U431</f>
        <v/>
      </c>
      <c r="S431" s="45" t="str">
        <f>CONFERENCIAS!W431</f>
        <v/>
      </c>
      <c r="T431" s="48">
        <f>IF(Q431="",0,
   IF(E431=1,
      IF(H431="Presencial",
         VLOOKUP(D431,TARIFAS!A:K,3,FALSE) + IF(I431="Sí",VLOOKUP(D431,TARIFAS!A:K,5,FALSE),0),
         VLOOKUP(D431,TARIFAS!A:K,4,FALSE) + IF(I431="Sí",VLOOKUP(D431,TARIFAS!A:K,5,FALSE),0)
      ),
      IF(H431="Presencial",
         VLOOKUP(D431,TARIFAS!A:K,9,FALSE) + IF(I431="Sí",VLOOKUP(D431,TARIFAS!A:K,11,FALSE),0),
         VLOOKUP(D431,TARIFAS!A:K,10,FALSE) + IF(I431="Sí",VLOOKUP(D431,TARIFAS!A:K,11,FALSE),0)
      )
   )
)
</f>
        <v>0</v>
      </c>
      <c r="U431" s="45">
        <f>IF(R431="",0,MAX(0,R431 - TARIFAS!G$2) * TARIFAS!F$2)
</f>
        <v>0</v>
      </c>
      <c r="V431" s="45">
        <f>+T431*TARIFAS!$K$2</f>
        <v>0</v>
      </c>
      <c r="W431" s="45">
        <f t="shared" si="2"/>
        <v>0</v>
      </c>
      <c r="X431" s="45">
        <f t="shared" si="3"/>
        <v>0</v>
      </c>
      <c r="Y431" s="45">
        <f t="shared" si="4"/>
        <v>0</v>
      </c>
      <c r="Z431" s="42" t="str">
        <f>CONFERENCIAS!AB431</f>
        <v/>
      </c>
      <c r="AA431" s="42" t="str">
        <f>CONFERENCIAS!AC431</f>
        <v/>
      </c>
      <c r="AB431" s="47" t="str">
        <f t="shared" si="5"/>
        <v/>
      </c>
      <c r="AC431" s="9" t="str">
        <f t="shared" si="6"/>
        <v/>
      </c>
    </row>
    <row r="432">
      <c r="A432" s="42" t="str">
        <f>CONFERENCIAS!A432</f>
        <v/>
      </c>
      <c r="D432" s="42" t="str">
        <f>CONFERENCIAS!C432</f>
        <v/>
      </c>
      <c r="E432" s="42" t="str">
        <f>CONFERENCIAS!K432</f>
        <v/>
      </c>
      <c r="F432" s="49" t="str">
        <f>CONFERENCIAS!J432</f>
        <v/>
      </c>
      <c r="G432" s="42" t="str">
        <f>CONFERENCIAS!O432</f>
        <v/>
      </c>
      <c r="H432" s="42" t="str">
        <f>CONFERENCIAS!X432</f>
        <v/>
      </c>
      <c r="I432" s="42" t="str">
        <f>CONFERENCIAS!AA432</f>
        <v/>
      </c>
      <c r="J432" s="44" t="str">
        <f>CONFERENCIAS!P432</f>
        <v/>
      </c>
      <c r="K432" s="45" t="str">
        <f>CONFERENCIAS!R432</f>
        <v/>
      </c>
      <c r="L432" s="45">
        <f>IF(D432="",0,
 IF(E432=1,
   IF(H432="Presencial",
      VLOOKUP(D432,TARIFAS!A:K,3,FALSE) + IF(I432="Sí",VLOOKUP(D432,TARIFAS!A:K,5,FALSE),0),
      VLOOKUP(D432,TARIFAS!A:K,4,FALSE) + IF(I432="Sí",VLOOKUP(D432,TARIFAS!A:K,5,FALSE),0)
   ),
   IF(H432="Presencial",
      VLOOKUP(D432,TARIFAS!A:K,9,FALSE) + IF(I432="Sí",VLOOKUP(D432,TARIFAS!A:K,11,FALSE),0),
      VLOOKUP(D432,TARIFAS!A:K,10,FALSE) + IF(I432="Sí",VLOOKUP(D432,TARIFAS!A:K,11,FALSE),0)
   )
 )
)
</f>
        <v>0</v>
      </c>
      <c r="M432" s="45">
        <f>IF(J432="",0,MAX(0,J432 - TARIFAS!G$2) * TARIFAS!F$2)
</f>
        <v>0</v>
      </c>
      <c r="N432" s="45">
        <f>+L432*TARIFAS!$K$2</f>
        <v>0</v>
      </c>
      <c r="O432" s="45">
        <f t="shared" si="1"/>
        <v>0</v>
      </c>
      <c r="P432" s="45">
        <f>+M432+O432+K432+(+I432-(I432*TARIFAS!$K$2))</f>
        <v>0</v>
      </c>
      <c r="Q432" s="42" t="str">
        <f>CONFERENCIAS!T432</f>
        <v/>
      </c>
      <c r="R432" s="45" t="str">
        <f>CONFERENCIAS!U432</f>
        <v/>
      </c>
      <c r="S432" s="45" t="str">
        <f>CONFERENCIAS!W432</f>
        <v/>
      </c>
      <c r="T432" s="48">
        <f>IF(Q432="",0,
   IF(E432=1,
      IF(H432="Presencial",
         VLOOKUP(D432,TARIFAS!A:K,3,FALSE) + IF(I432="Sí",VLOOKUP(D432,TARIFAS!A:K,5,FALSE),0),
         VLOOKUP(D432,TARIFAS!A:K,4,FALSE) + IF(I432="Sí",VLOOKUP(D432,TARIFAS!A:K,5,FALSE),0)
      ),
      IF(H432="Presencial",
         VLOOKUP(D432,TARIFAS!A:K,9,FALSE) + IF(I432="Sí",VLOOKUP(D432,TARIFAS!A:K,11,FALSE),0),
         VLOOKUP(D432,TARIFAS!A:K,10,FALSE) + IF(I432="Sí",VLOOKUP(D432,TARIFAS!A:K,11,FALSE),0)
      )
   )
)
</f>
        <v>0</v>
      </c>
      <c r="U432" s="45">
        <f>IF(R432="",0,MAX(0,R432 - TARIFAS!G$2) * TARIFAS!F$2)
</f>
        <v>0</v>
      </c>
      <c r="V432" s="45">
        <f>+T432*TARIFAS!$K$2</f>
        <v>0</v>
      </c>
      <c r="W432" s="45">
        <f t="shared" si="2"/>
        <v>0</v>
      </c>
      <c r="X432" s="45">
        <f t="shared" si="3"/>
        <v>0</v>
      </c>
      <c r="Y432" s="45">
        <f t="shared" si="4"/>
        <v>0</v>
      </c>
      <c r="Z432" s="42" t="str">
        <f>CONFERENCIAS!AB432</f>
        <v/>
      </c>
      <c r="AA432" s="42" t="str">
        <f>CONFERENCIAS!AC432</f>
        <v/>
      </c>
      <c r="AB432" s="47" t="str">
        <f t="shared" si="5"/>
        <v/>
      </c>
      <c r="AC432" s="9" t="str">
        <f t="shared" si="6"/>
        <v/>
      </c>
    </row>
    <row r="433">
      <c r="A433" s="42" t="str">
        <f>CONFERENCIAS!A433</f>
        <v/>
      </c>
      <c r="D433" s="42" t="str">
        <f>CONFERENCIAS!C433</f>
        <v/>
      </c>
      <c r="E433" s="42" t="str">
        <f>CONFERENCIAS!K433</f>
        <v/>
      </c>
      <c r="F433" s="49" t="str">
        <f>CONFERENCIAS!J433</f>
        <v/>
      </c>
      <c r="G433" s="42" t="str">
        <f>CONFERENCIAS!O433</f>
        <v/>
      </c>
      <c r="H433" s="42" t="str">
        <f>CONFERENCIAS!X433</f>
        <v/>
      </c>
      <c r="I433" s="42" t="str">
        <f>CONFERENCIAS!AA433</f>
        <v/>
      </c>
      <c r="J433" s="44" t="str">
        <f>CONFERENCIAS!P433</f>
        <v/>
      </c>
      <c r="K433" s="45" t="str">
        <f>CONFERENCIAS!R433</f>
        <v/>
      </c>
      <c r="L433" s="45">
        <f>IF(D433="",0,
 IF(E433=1,
   IF(H433="Presencial",
      VLOOKUP(D433,TARIFAS!A:K,3,FALSE) + IF(I433="Sí",VLOOKUP(D433,TARIFAS!A:K,5,FALSE),0),
      VLOOKUP(D433,TARIFAS!A:K,4,FALSE) + IF(I433="Sí",VLOOKUP(D433,TARIFAS!A:K,5,FALSE),0)
   ),
   IF(H433="Presencial",
      VLOOKUP(D433,TARIFAS!A:K,9,FALSE) + IF(I433="Sí",VLOOKUP(D433,TARIFAS!A:K,11,FALSE),0),
      VLOOKUP(D433,TARIFAS!A:K,10,FALSE) + IF(I433="Sí",VLOOKUP(D433,TARIFAS!A:K,11,FALSE),0)
   )
 )
)
</f>
        <v>0</v>
      </c>
      <c r="M433" s="45">
        <f>IF(J433="",0,MAX(0,J433 - TARIFAS!G$2) * TARIFAS!F$2)
</f>
        <v>0</v>
      </c>
      <c r="N433" s="45">
        <f>+L433*TARIFAS!$K$2</f>
        <v>0</v>
      </c>
      <c r="O433" s="45">
        <f t="shared" si="1"/>
        <v>0</v>
      </c>
      <c r="P433" s="45">
        <f>+M433+O433+K433+(+I433-(I433*TARIFAS!$K$2))</f>
        <v>0</v>
      </c>
      <c r="Q433" s="42" t="str">
        <f>CONFERENCIAS!T433</f>
        <v/>
      </c>
      <c r="R433" s="45" t="str">
        <f>CONFERENCIAS!U433</f>
        <v/>
      </c>
      <c r="S433" s="45" t="str">
        <f>CONFERENCIAS!W433</f>
        <v/>
      </c>
      <c r="T433" s="48">
        <f>IF(Q433="",0,
   IF(E433=1,
      IF(H433="Presencial",
         VLOOKUP(D433,TARIFAS!A:K,3,FALSE) + IF(I433="Sí",VLOOKUP(D433,TARIFAS!A:K,5,FALSE),0),
         VLOOKUP(D433,TARIFAS!A:K,4,FALSE) + IF(I433="Sí",VLOOKUP(D433,TARIFAS!A:K,5,FALSE),0)
      ),
      IF(H433="Presencial",
         VLOOKUP(D433,TARIFAS!A:K,9,FALSE) + IF(I433="Sí",VLOOKUP(D433,TARIFAS!A:K,11,FALSE),0),
         VLOOKUP(D433,TARIFAS!A:K,10,FALSE) + IF(I433="Sí",VLOOKUP(D433,TARIFAS!A:K,11,FALSE),0)
      )
   )
)
</f>
        <v>0</v>
      </c>
      <c r="U433" s="45">
        <f>IF(R433="",0,MAX(0,R433 - TARIFAS!G$2) * TARIFAS!F$2)
</f>
        <v>0</v>
      </c>
      <c r="V433" s="45">
        <f>+T433*TARIFAS!$K$2</f>
        <v>0</v>
      </c>
      <c r="W433" s="45">
        <f t="shared" si="2"/>
        <v>0</v>
      </c>
      <c r="X433" s="45">
        <f t="shared" si="3"/>
        <v>0</v>
      </c>
      <c r="Y433" s="45">
        <f t="shared" si="4"/>
        <v>0</v>
      </c>
      <c r="Z433" s="42" t="str">
        <f>CONFERENCIAS!AB433</f>
        <v/>
      </c>
      <c r="AA433" s="42" t="str">
        <f>CONFERENCIAS!AC433</f>
        <v/>
      </c>
      <c r="AB433" s="47" t="str">
        <f t="shared" si="5"/>
        <v/>
      </c>
      <c r="AC433" s="9" t="str">
        <f t="shared" si="6"/>
        <v/>
      </c>
    </row>
    <row r="434">
      <c r="A434" s="42" t="str">
        <f>CONFERENCIAS!A434</f>
        <v/>
      </c>
      <c r="D434" s="42" t="str">
        <f>CONFERENCIAS!C434</f>
        <v/>
      </c>
      <c r="E434" s="42" t="str">
        <f>CONFERENCIAS!K434</f>
        <v/>
      </c>
      <c r="F434" s="49" t="str">
        <f>CONFERENCIAS!J434</f>
        <v/>
      </c>
      <c r="G434" s="42" t="str">
        <f>CONFERENCIAS!O434</f>
        <v/>
      </c>
      <c r="H434" s="42" t="str">
        <f>CONFERENCIAS!X434</f>
        <v/>
      </c>
      <c r="I434" s="42" t="str">
        <f>CONFERENCIAS!AA434</f>
        <v/>
      </c>
      <c r="J434" s="44" t="str">
        <f>CONFERENCIAS!P434</f>
        <v/>
      </c>
      <c r="K434" s="45" t="str">
        <f>CONFERENCIAS!R434</f>
        <v/>
      </c>
      <c r="L434" s="45">
        <f>IF(D434="",0,
 IF(E434=1,
   IF(H434="Presencial",
      VLOOKUP(D434,TARIFAS!A:K,3,FALSE) + IF(I434="Sí",VLOOKUP(D434,TARIFAS!A:K,5,FALSE),0),
      VLOOKUP(D434,TARIFAS!A:K,4,FALSE) + IF(I434="Sí",VLOOKUP(D434,TARIFAS!A:K,5,FALSE),0)
   ),
   IF(H434="Presencial",
      VLOOKUP(D434,TARIFAS!A:K,9,FALSE) + IF(I434="Sí",VLOOKUP(D434,TARIFAS!A:K,11,FALSE),0),
      VLOOKUP(D434,TARIFAS!A:K,10,FALSE) + IF(I434="Sí",VLOOKUP(D434,TARIFAS!A:K,11,FALSE),0)
   )
 )
)
</f>
        <v>0</v>
      </c>
      <c r="M434" s="45">
        <f>IF(J434="",0,MAX(0,J434 - TARIFAS!G$2) * TARIFAS!F$2)
</f>
        <v>0</v>
      </c>
      <c r="N434" s="45">
        <f>+L434*TARIFAS!$K$2</f>
        <v>0</v>
      </c>
      <c r="O434" s="45">
        <f t="shared" si="1"/>
        <v>0</v>
      </c>
      <c r="P434" s="45">
        <f>+M434+O434+K434+(+I434-(I434*TARIFAS!$K$2))</f>
        <v>0</v>
      </c>
      <c r="Q434" s="42" t="str">
        <f>CONFERENCIAS!T434</f>
        <v/>
      </c>
      <c r="R434" s="45" t="str">
        <f>CONFERENCIAS!U434</f>
        <v/>
      </c>
      <c r="S434" s="45" t="str">
        <f>CONFERENCIAS!W434</f>
        <v/>
      </c>
      <c r="T434" s="48">
        <f>IF(Q434="",0,
   IF(E434=1,
      IF(H434="Presencial",
         VLOOKUP(D434,TARIFAS!A:K,3,FALSE) + IF(I434="Sí",VLOOKUP(D434,TARIFAS!A:K,5,FALSE),0),
         VLOOKUP(D434,TARIFAS!A:K,4,FALSE) + IF(I434="Sí",VLOOKUP(D434,TARIFAS!A:K,5,FALSE),0)
      ),
      IF(H434="Presencial",
         VLOOKUP(D434,TARIFAS!A:K,9,FALSE) + IF(I434="Sí",VLOOKUP(D434,TARIFAS!A:K,11,FALSE),0),
         VLOOKUP(D434,TARIFAS!A:K,10,FALSE) + IF(I434="Sí",VLOOKUP(D434,TARIFAS!A:K,11,FALSE),0)
      )
   )
)
</f>
        <v>0</v>
      </c>
      <c r="U434" s="45">
        <f>IF(R434="",0,MAX(0,R434 - TARIFAS!G$2) * TARIFAS!F$2)
</f>
        <v>0</v>
      </c>
      <c r="V434" s="45">
        <f>+T434*TARIFAS!$K$2</f>
        <v>0</v>
      </c>
      <c r="W434" s="45">
        <f t="shared" si="2"/>
        <v>0</v>
      </c>
      <c r="X434" s="45">
        <f t="shared" si="3"/>
        <v>0</v>
      </c>
      <c r="Y434" s="45">
        <f t="shared" si="4"/>
        <v>0</v>
      </c>
      <c r="Z434" s="42" t="str">
        <f>CONFERENCIAS!AB434</f>
        <v/>
      </c>
      <c r="AA434" s="42" t="str">
        <f>CONFERENCIAS!AC434</f>
        <v/>
      </c>
      <c r="AB434" s="47" t="str">
        <f t="shared" si="5"/>
        <v/>
      </c>
      <c r="AC434" s="9" t="str">
        <f t="shared" si="6"/>
        <v/>
      </c>
    </row>
    <row r="435">
      <c r="A435" s="42" t="str">
        <f>CONFERENCIAS!A435</f>
        <v/>
      </c>
      <c r="D435" s="42" t="str">
        <f>CONFERENCIAS!C435</f>
        <v/>
      </c>
      <c r="E435" s="42" t="str">
        <f>CONFERENCIAS!K435</f>
        <v/>
      </c>
      <c r="F435" s="49" t="str">
        <f>CONFERENCIAS!J435</f>
        <v/>
      </c>
      <c r="G435" s="42" t="str">
        <f>CONFERENCIAS!O435</f>
        <v/>
      </c>
      <c r="H435" s="42" t="str">
        <f>CONFERENCIAS!X435</f>
        <v/>
      </c>
      <c r="I435" s="42" t="str">
        <f>CONFERENCIAS!AA435</f>
        <v/>
      </c>
      <c r="J435" s="44" t="str">
        <f>CONFERENCIAS!P435</f>
        <v/>
      </c>
      <c r="K435" s="45" t="str">
        <f>CONFERENCIAS!R435</f>
        <v/>
      </c>
      <c r="L435" s="45">
        <f>IF(D435="",0,
 IF(E435=1,
   IF(H435="Presencial",
      VLOOKUP(D435,TARIFAS!A:K,3,FALSE) + IF(I435="Sí",VLOOKUP(D435,TARIFAS!A:K,5,FALSE),0),
      VLOOKUP(D435,TARIFAS!A:K,4,FALSE) + IF(I435="Sí",VLOOKUP(D435,TARIFAS!A:K,5,FALSE),0)
   ),
   IF(H435="Presencial",
      VLOOKUP(D435,TARIFAS!A:K,9,FALSE) + IF(I435="Sí",VLOOKUP(D435,TARIFAS!A:K,11,FALSE),0),
      VLOOKUP(D435,TARIFAS!A:K,10,FALSE) + IF(I435="Sí",VLOOKUP(D435,TARIFAS!A:K,11,FALSE),0)
   )
 )
)
</f>
        <v>0</v>
      </c>
      <c r="M435" s="45">
        <f>IF(J435="",0,MAX(0,J435 - TARIFAS!G$2) * TARIFAS!F$2)
</f>
        <v>0</v>
      </c>
      <c r="N435" s="45">
        <f>+L435*TARIFAS!$K$2</f>
        <v>0</v>
      </c>
      <c r="O435" s="45">
        <f t="shared" si="1"/>
        <v>0</v>
      </c>
      <c r="P435" s="45">
        <f>+M435+O435+K435+(+I435-(I435*TARIFAS!$K$2))</f>
        <v>0</v>
      </c>
      <c r="Q435" s="42" t="str">
        <f>CONFERENCIAS!T435</f>
        <v/>
      </c>
      <c r="R435" s="45" t="str">
        <f>CONFERENCIAS!U435</f>
        <v/>
      </c>
      <c r="S435" s="45" t="str">
        <f>CONFERENCIAS!W435</f>
        <v/>
      </c>
      <c r="T435" s="48">
        <f>IF(Q435="",0,
   IF(E435=1,
      IF(H435="Presencial",
         VLOOKUP(D435,TARIFAS!A:K,3,FALSE) + IF(I435="Sí",VLOOKUP(D435,TARIFAS!A:K,5,FALSE),0),
         VLOOKUP(D435,TARIFAS!A:K,4,FALSE) + IF(I435="Sí",VLOOKUP(D435,TARIFAS!A:K,5,FALSE),0)
      ),
      IF(H435="Presencial",
         VLOOKUP(D435,TARIFAS!A:K,9,FALSE) + IF(I435="Sí",VLOOKUP(D435,TARIFAS!A:K,11,FALSE),0),
         VLOOKUP(D435,TARIFAS!A:K,10,FALSE) + IF(I435="Sí",VLOOKUP(D435,TARIFAS!A:K,11,FALSE),0)
      )
   )
)
</f>
        <v>0</v>
      </c>
      <c r="U435" s="45">
        <f>IF(R435="",0,MAX(0,R435 - TARIFAS!G$2) * TARIFAS!F$2)
</f>
        <v>0</v>
      </c>
      <c r="V435" s="45">
        <f>+T435*TARIFAS!$K$2</f>
        <v>0</v>
      </c>
      <c r="W435" s="45">
        <f t="shared" si="2"/>
        <v>0</v>
      </c>
      <c r="X435" s="45">
        <f t="shared" si="3"/>
        <v>0</v>
      </c>
      <c r="Y435" s="45">
        <f t="shared" si="4"/>
        <v>0</v>
      </c>
      <c r="Z435" s="42" t="str">
        <f>CONFERENCIAS!AB435</f>
        <v/>
      </c>
      <c r="AA435" s="42" t="str">
        <f>CONFERENCIAS!AC435</f>
        <v/>
      </c>
      <c r="AB435" s="47" t="str">
        <f t="shared" si="5"/>
        <v/>
      </c>
      <c r="AC435" s="9" t="str">
        <f t="shared" si="6"/>
        <v/>
      </c>
    </row>
    <row r="436">
      <c r="A436" s="42" t="str">
        <f>CONFERENCIAS!A436</f>
        <v/>
      </c>
      <c r="D436" s="42" t="str">
        <f>CONFERENCIAS!C436</f>
        <v/>
      </c>
      <c r="E436" s="42" t="str">
        <f>CONFERENCIAS!K436</f>
        <v/>
      </c>
      <c r="F436" s="49" t="str">
        <f>CONFERENCIAS!J436</f>
        <v/>
      </c>
      <c r="G436" s="42" t="str">
        <f>CONFERENCIAS!O436</f>
        <v/>
      </c>
      <c r="H436" s="42" t="str">
        <f>CONFERENCIAS!X436</f>
        <v/>
      </c>
      <c r="I436" s="42" t="str">
        <f>CONFERENCIAS!AA436</f>
        <v/>
      </c>
      <c r="J436" s="44" t="str">
        <f>CONFERENCIAS!P436</f>
        <v/>
      </c>
      <c r="K436" s="45" t="str">
        <f>CONFERENCIAS!R436</f>
        <v/>
      </c>
      <c r="L436" s="45">
        <f>IF(D436="",0,
 IF(E436=1,
   IF(H436="Presencial",
      VLOOKUP(D436,TARIFAS!A:K,3,FALSE) + IF(I436="Sí",VLOOKUP(D436,TARIFAS!A:K,5,FALSE),0),
      VLOOKUP(D436,TARIFAS!A:K,4,FALSE) + IF(I436="Sí",VLOOKUP(D436,TARIFAS!A:K,5,FALSE),0)
   ),
   IF(H436="Presencial",
      VLOOKUP(D436,TARIFAS!A:K,9,FALSE) + IF(I436="Sí",VLOOKUP(D436,TARIFAS!A:K,11,FALSE),0),
      VLOOKUP(D436,TARIFAS!A:K,10,FALSE) + IF(I436="Sí",VLOOKUP(D436,TARIFAS!A:K,11,FALSE),0)
   )
 )
)
</f>
        <v>0</v>
      </c>
      <c r="M436" s="45">
        <f>IF(J436="",0,MAX(0,J436 - TARIFAS!G$2) * TARIFAS!F$2)
</f>
        <v>0</v>
      </c>
      <c r="N436" s="45">
        <f>+L436*TARIFAS!$K$2</f>
        <v>0</v>
      </c>
      <c r="O436" s="45">
        <f t="shared" si="1"/>
        <v>0</v>
      </c>
      <c r="P436" s="45">
        <f>+M436+O436+K436+(+I436-(I436*TARIFAS!$K$2))</f>
        <v>0</v>
      </c>
      <c r="Q436" s="42" t="str">
        <f>CONFERENCIAS!T436</f>
        <v/>
      </c>
      <c r="R436" s="45" t="str">
        <f>CONFERENCIAS!U436</f>
        <v/>
      </c>
      <c r="S436" s="45" t="str">
        <f>CONFERENCIAS!W436</f>
        <v/>
      </c>
      <c r="T436" s="48">
        <f>IF(Q436="",0,
   IF(E436=1,
      IF(H436="Presencial",
         VLOOKUP(D436,TARIFAS!A:K,3,FALSE) + IF(I436="Sí",VLOOKUP(D436,TARIFAS!A:K,5,FALSE),0),
         VLOOKUP(D436,TARIFAS!A:K,4,FALSE) + IF(I436="Sí",VLOOKUP(D436,TARIFAS!A:K,5,FALSE),0)
      ),
      IF(H436="Presencial",
         VLOOKUP(D436,TARIFAS!A:K,9,FALSE) + IF(I436="Sí",VLOOKUP(D436,TARIFAS!A:K,11,FALSE),0),
         VLOOKUP(D436,TARIFAS!A:K,10,FALSE) + IF(I436="Sí",VLOOKUP(D436,TARIFAS!A:K,11,FALSE),0)
      )
   )
)
</f>
        <v>0</v>
      </c>
      <c r="U436" s="45">
        <f>IF(R436="",0,MAX(0,R436 - TARIFAS!G$2) * TARIFAS!F$2)
</f>
        <v>0</v>
      </c>
      <c r="V436" s="45">
        <f>+T436*TARIFAS!$K$2</f>
        <v>0</v>
      </c>
      <c r="W436" s="45">
        <f t="shared" si="2"/>
        <v>0</v>
      </c>
      <c r="X436" s="45">
        <f t="shared" si="3"/>
        <v>0</v>
      </c>
      <c r="Y436" s="45">
        <f t="shared" si="4"/>
        <v>0</v>
      </c>
      <c r="Z436" s="42" t="str">
        <f>CONFERENCIAS!AB436</f>
        <v/>
      </c>
      <c r="AA436" s="42" t="str">
        <f>CONFERENCIAS!AC436</f>
        <v/>
      </c>
      <c r="AB436" s="47" t="str">
        <f t="shared" si="5"/>
        <v/>
      </c>
      <c r="AC436" s="9" t="str">
        <f t="shared" si="6"/>
        <v/>
      </c>
    </row>
    <row r="437">
      <c r="A437" s="42" t="str">
        <f>CONFERENCIAS!A437</f>
        <v/>
      </c>
      <c r="D437" s="42" t="str">
        <f>CONFERENCIAS!C437</f>
        <v/>
      </c>
      <c r="E437" s="42" t="str">
        <f>CONFERENCIAS!K437</f>
        <v/>
      </c>
      <c r="F437" s="49" t="str">
        <f>CONFERENCIAS!J437</f>
        <v/>
      </c>
      <c r="G437" s="42" t="str">
        <f>CONFERENCIAS!O437</f>
        <v/>
      </c>
      <c r="H437" s="42" t="str">
        <f>CONFERENCIAS!X437</f>
        <v/>
      </c>
      <c r="I437" s="42" t="str">
        <f>CONFERENCIAS!AA437</f>
        <v/>
      </c>
      <c r="J437" s="44" t="str">
        <f>CONFERENCIAS!P437</f>
        <v/>
      </c>
      <c r="K437" s="45" t="str">
        <f>CONFERENCIAS!R437</f>
        <v/>
      </c>
      <c r="L437" s="45">
        <f>IF(D437="",0,
 IF(E437=1,
   IF(H437="Presencial",
      VLOOKUP(D437,TARIFAS!A:K,3,FALSE) + IF(I437="Sí",VLOOKUP(D437,TARIFAS!A:K,5,FALSE),0),
      VLOOKUP(D437,TARIFAS!A:K,4,FALSE) + IF(I437="Sí",VLOOKUP(D437,TARIFAS!A:K,5,FALSE),0)
   ),
   IF(H437="Presencial",
      VLOOKUP(D437,TARIFAS!A:K,9,FALSE) + IF(I437="Sí",VLOOKUP(D437,TARIFAS!A:K,11,FALSE),0),
      VLOOKUP(D437,TARIFAS!A:K,10,FALSE) + IF(I437="Sí",VLOOKUP(D437,TARIFAS!A:K,11,FALSE),0)
   )
 )
)
</f>
        <v>0</v>
      </c>
      <c r="M437" s="45">
        <f>IF(J437="",0,MAX(0,J437 - TARIFAS!G$2) * TARIFAS!F$2)
</f>
        <v>0</v>
      </c>
      <c r="N437" s="45">
        <f>+L437*TARIFAS!$K$2</f>
        <v>0</v>
      </c>
      <c r="O437" s="45">
        <f t="shared" si="1"/>
        <v>0</v>
      </c>
      <c r="P437" s="45">
        <f>+M437+O437+K437+(+I437-(I437*TARIFAS!$K$2))</f>
        <v>0</v>
      </c>
      <c r="Q437" s="42" t="str">
        <f>CONFERENCIAS!T437</f>
        <v/>
      </c>
      <c r="R437" s="45" t="str">
        <f>CONFERENCIAS!U437</f>
        <v/>
      </c>
      <c r="S437" s="45" t="str">
        <f>CONFERENCIAS!W437</f>
        <v/>
      </c>
      <c r="T437" s="48">
        <f>IF(Q437="",0,
   IF(E437=1,
      IF(H437="Presencial",
         VLOOKUP(D437,TARIFAS!A:K,3,FALSE) + IF(I437="Sí",VLOOKUP(D437,TARIFAS!A:K,5,FALSE),0),
         VLOOKUP(D437,TARIFAS!A:K,4,FALSE) + IF(I437="Sí",VLOOKUP(D437,TARIFAS!A:K,5,FALSE),0)
      ),
      IF(H437="Presencial",
         VLOOKUP(D437,TARIFAS!A:K,9,FALSE) + IF(I437="Sí",VLOOKUP(D437,TARIFAS!A:K,11,FALSE),0),
         VLOOKUP(D437,TARIFAS!A:K,10,FALSE) + IF(I437="Sí",VLOOKUP(D437,TARIFAS!A:K,11,FALSE),0)
      )
   )
)
</f>
        <v>0</v>
      </c>
      <c r="U437" s="45">
        <f>IF(R437="",0,MAX(0,R437 - TARIFAS!G$2) * TARIFAS!F$2)
</f>
        <v>0</v>
      </c>
      <c r="V437" s="45">
        <f>+T437*TARIFAS!$K$2</f>
        <v>0</v>
      </c>
      <c r="W437" s="45">
        <f t="shared" si="2"/>
        <v>0</v>
      </c>
      <c r="X437" s="45">
        <f t="shared" si="3"/>
        <v>0</v>
      </c>
      <c r="Y437" s="45">
        <f t="shared" si="4"/>
        <v>0</v>
      </c>
      <c r="Z437" s="42" t="str">
        <f>CONFERENCIAS!AB437</f>
        <v/>
      </c>
      <c r="AA437" s="42" t="str">
        <f>CONFERENCIAS!AC437</f>
        <v/>
      </c>
      <c r="AB437" s="47" t="str">
        <f t="shared" si="5"/>
        <v/>
      </c>
      <c r="AC437" s="9" t="str">
        <f t="shared" si="6"/>
        <v/>
      </c>
    </row>
    <row r="438">
      <c r="A438" s="42" t="str">
        <f>CONFERENCIAS!A438</f>
        <v/>
      </c>
      <c r="D438" s="42" t="str">
        <f>CONFERENCIAS!C438</f>
        <v/>
      </c>
      <c r="E438" s="42" t="str">
        <f>CONFERENCIAS!K438</f>
        <v/>
      </c>
      <c r="F438" s="49" t="str">
        <f>CONFERENCIAS!J438</f>
        <v/>
      </c>
      <c r="G438" s="42" t="str">
        <f>CONFERENCIAS!O438</f>
        <v/>
      </c>
      <c r="H438" s="42" t="str">
        <f>CONFERENCIAS!X438</f>
        <v/>
      </c>
      <c r="I438" s="42" t="str">
        <f>CONFERENCIAS!AA438</f>
        <v/>
      </c>
      <c r="J438" s="44" t="str">
        <f>CONFERENCIAS!P438</f>
        <v/>
      </c>
      <c r="K438" s="45" t="str">
        <f>CONFERENCIAS!R438</f>
        <v/>
      </c>
      <c r="L438" s="45">
        <f>IF(D438="",0,
 IF(E438=1,
   IF(H438="Presencial",
      VLOOKUP(D438,TARIFAS!A:K,3,FALSE) + IF(I438="Sí",VLOOKUP(D438,TARIFAS!A:K,5,FALSE),0),
      VLOOKUP(D438,TARIFAS!A:K,4,FALSE) + IF(I438="Sí",VLOOKUP(D438,TARIFAS!A:K,5,FALSE),0)
   ),
   IF(H438="Presencial",
      VLOOKUP(D438,TARIFAS!A:K,9,FALSE) + IF(I438="Sí",VLOOKUP(D438,TARIFAS!A:K,11,FALSE),0),
      VLOOKUP(D438,TARIFAS!A:K,10,FALSE) + IF(I438="Sí",VLOOKUP(D438,TARIFAS!A:K,11,FALSE),0)
   )
 )
)
</f>
        <v>0</v>
      </c>
      <c r="M438" s="45">
        <f>IF(J438="",0,MAX(0,J438 - TARIFAS!G$2) * TARIFAS!F$2)
</f>
        <v>0</v>
      </c>
      <c r="N438" s="45">
        <f>+L438*TARIFAS!$K$2</f>
        <v>0</v>
      </c>
      <c r="O438" s="45">
        <f t="shared" si="1"/>
        <v>0</v>
      </c>
      <c r="P438" s="45">
        <f>+M438+O438+K438+(+I438-(I438*TARIFAS!$K$2))</f>
        <v>0</v>
      </c>
      <c r="Q438" s="42" t="str">
        <f>CONFERENCIAS!T438</f>
        <v/>
      </c>
      <c r="R438" s="45" t="str">
        <f>CONFERENCIAS!U438</f>
        <v/>
      </c>
      <c r="S438" s="45" t="str">
        <f>CONFERENCIAS!W438</f>
        <v/>
      </c>
      <c r="T438" s="48">
        <f>IF(Q438="",0,
   IF(E438=1,
      IF(H438="Presencial",
         VLOOKUP(D438,TARIFAS!A:K,3,FALSE) + IF(I438="Sí",VLOOKUP(D438,TARIFAS!A:K,5,FALSE),0),
         VLOOKUP(D438,TARIFAS!A:K,4,FALSE) + IF(I438="Sí",VLOOKUP(D438,TARIFAS!A:K,5,FALSE),0)
      ),
      IF(H438="Presencial",
         VLOOKUP(D438,TARIFAS!A:K,9,FALSE) + IF(I438="Sí",VLOOKUP(D438,TARIFAS!A:K,11,FALSE),0),
         VLOOKUP(D438,TARIFAS!A:K,10,FALSE) + IF(I438="Sí",VLOOKUP(D438,TARIFAS!A:K,11,FALSE),0)
      )
   )
)
</f>
        <v>0</v>
      </c>
      <c r="U438" s="45">
        <f>IF(R438="",0,MAX(0,R438 - TARIFAS!G$2) * TARIFAS!F$2)
</f>
        <v>0</v>
      </c>
      <c r="V438" s="45">
        <f>+T438*TARIFAS!$K$2</f>
        <v>0</v>
      </c>
      <c r="W438" s="45">
        <f t="shared" si="2"/>
        <v>0</v>
      </c>
      <c r="X438" s="45">
        <f t="shared" si="3"/>
        <v>0</v>
      </c>
      <c r="Y438" s="45">
        <f t="shared" si="4"/>
        <v>0</v>
      </c>
      <c r="Z438" s="42" t="str">
        <f>CONFERENCIAS!AB438</f>
        <v/>
      </c>
      <c r="AA438" s="42" t="str">
        <f>CONFERENCIAS!AC438</f>
        <v/>
      </c>
      <c r="AB438" s="47" t="str">
        <f t="shared" si="5"/>
        <v/>
      </c>
      <c r="AC438" s="9" t="str">
        <f t="shared" si="6"/>
        <v/>
      </c>
    </row>
    <row r="439">
      <c r="A439" s="42" t="str">
        <f>CONFERENCIAS!A439</f>
        <v/>
      </c>
      <c r="D439" s="42" t="str">
        <f>CONFERENCIAS!C439</f>
        <v/>
      </c>
      <c r="E439" s="42" t="str">
        <f>CONFERENCIAS!K439</f>
        <v/>
      </c>
      <c r="F439" s="49" t="str">
        <f>CONFERENCIAS!J439</f>
        <v/>
      </c>
      <c r="G439" s="42" t="str">
        <f>CONFERENCIAS!O439</f>
        <v/>
      </c>
      <c r="H439" s="42" t="str">
        <f>CONFERENCIAS!X439</f>
        <v/>
      </c>
      <c r="I439" s="42" t="str">
        <f>CONFERENCIAS!AA439</f>
        <v/>
      </c>
      <c r="J439" s="44" t="str">
        <f>CONFERENCIAS!P439</f>
        <v/>
      </c>
      <c r="K439" s="45" t="str">
        <f>CONFERENCIAS!R439</f>
        <v/>
      </c>
      <c r="L439" s="45">
        <f>IF(D439="",0,
 IF(E439=1,
   IF(H439="Presencial",
      VLOOKUP(D439,TARIFAS!A:K,3,FALSE) + IF(I439="Sí",VLOOKUP(D439,TARIFAS!A:K,5,FALSE),0),
      VLOOKUP(D439,TARIFAS!A:K,4,FALSE) + IF(I439="Sí",VLOOKUP(D439,TARIFAS!A:K,5,FALSE),0)
   ),
   IF(H439="Presencial",
      VLOOKUP(D439,TARIFAS!A:K,9,FALSE) + IF(I439="Sí",VLOOKUP(D439,TARIFAS!A:K,11,FALSE),0),
      VLOOKUP(D439,TARIFAS!A:K,10,FALSE) + IF(I439="Sí",VLOOKUP(D439,TARIFAS!A:K,11,FALSE),0)
   )
 )
)
</f>
        <v>0</v>
      </c>
      <c r="M439" s="45">
        <f>IF(J439="",0,MAX(0,J439 - TARIFAS!G$2) * TARIFAS!F$2)
</f>
        <v>0</v>
      </c>
      <c r="N439" s="45">
        <f>+L439*TARIFAS!$K$2</f>
        <v>0</v>
      </c>
      <c r="O439" s="45">
        <f t="shared" si="1"/>
        <v>0</v>
      </c>
      <c r="P439" s="45">
        <f>+M439+O439+K439+(+I439-(I439*TARIFAS!$K$2))</f>
        <v>0</v>
      </c>
      <c r="Q439" s="42" t="str">
        <f>CONFERENCIAS!T439</f>
        <v/>
      </c>
      <c r="R439" s="45" t="str">
        <f>CONFERENCIAS!U439</f>
        <v/>
      </c>
      <c r="S439" s="45" t="str">
        <f>CONFERENCIAS!W439</f>
        <v/>
      </c>
      <c r="T439" s="48">
        <f>IF(Q439="",0,
   IF(E439=1,
      IF(H439="Presencial",
         VLOOKUP(D439,TARIFAS!A:K,3,FALSE) + IF(I439="Sí",VLOOKUP(D439,TARIFAS!A:K,5,FALSE),0),
         VLOOKUP(D439,TARIFAS!A:K,4,FALSE) + IF(I439="Sí",VLOOKUP(D439,TARIFAS!A:K,5,FALSE),0)
      ),
      IF(H439="Presencial",
         VLOOKUP(D439,TARIFAS!A:K,9,FALSE) + IF(I439="Sí",VLOOKUP(D439,TARIFAS!A:K,11,FALSE),0),
         VLOOKUP(D439,TARIFAS!A:K,10,FALSE) + IF(I439="Sí",VLOOKUP(D439,TARIFAS!A:K,11,FALSE),0)
      )
   )
)
</f>
        <v>0</v>
      </c>
      <c r="U439" s="45">
        <f>IF(R439="",0,MAX(0,R439 - TARIFAS!G$2) * TARIFAS!F$2)
</f>
        <v>0</v>
      </c>
      <c r="V439" s="45">
        <f>+T439*TARIFAS!$K$2</f>
        <v>0</v>
      </c>
      <c r="W439" s="45">
        <f t="shared" si="2"/>
        <v>0</v>
      </c>
      <c r="X439" s="45">
        <f t="shared" si="3"/>
        <v>0</v>
      </c>
      <c r="Y439" s="45">
        <f t="shared" si="4"/>
        <v>0</v>
      </c>
      <c r="Z439" s="42" t="str">
        <f>CONFERENCIAS!AB439</f>
        <v/>
      </c>
      <c r="AA439" s="42" t="str">
        <f>CONFERENCIAS!AC439</f>
        <v/>
      </c>
      <c r="AB439" s="47" t="str">
        <f t="shared" si="5"/>
        <v/>
      </c>
      <c r="AC439" s="9" t="str">
        <f t="shared" si="6"/>
        <v/>
      </c>
    </row>
    <row r="440">
      <c r="A440" s="42" t="str">
        <f>CONFERENCIAS!A440</f>
        <v/>
      </c>
      <c r="D440" s="42" t="str">
        <f>CONFERENCIAS!C440</f>
        <v/>
      </c>
      <c r="E440" s="42" t="str">
        <f>CONFERENCIAS!K440</f>
        <v/>
      </c>
      <c r="F440" s="49" t="str">
        <f>CONFERENCIAS!J440</f>
        <v/>
      </c>
      <c r="G440" s="42" t="str">
        <f>CONFERENCIAS!O440</f>
        <v/>
      </c>
      <c r="H440" s="42" t="str">
        <f>CONFERENCIAS!X440</f>
        <v/>
      </c>
      <c r="I440" s="42" t="str">
        <f>CONFERENCIAS!AA440</f>
        <v/>
      </c>
      <c r="J440" s="44" t="str">
        <f>CONFERENCIAS!P440</f>
        <v/>
      </c>
      <c r="K440" s="45" t="str">
        <f>CONFERENCIAS!R440</f>
        <v/>
      </c>
      <c r="L440" s="45">
        <f>IF(D440="",0,
 IF(E440=1,
   IF(H440="Presencial",
      VLOOKUP(D440,TARIFAS!A:K,3,FALSE) + IF(I440="Sí",VLOOKUP(D440,TARIFAS!A:K,5,FALSE),0),
      VLOOKUP(D440,TARIFAS!A:K,4,FALSE) + IF(I440="Sí",VLOOKUP(D440,TARIFAS!A:K,5,FALSE),0)
   ),
   IF(H440="Presencial",
      VLOOKUP(D440,TARIFAS!A:K,9,FALSE) + IF(I440="Sí",VLOOKUP(D440,TARIFAS!A:K,11,FALSE),0),
      VLOOKUP(D440,TARIFAS!A:K,10,FALSE) + IF(I440="Sí",VLOOKUP(D440,TARIFAS!A:K,11,FALSE),0)
   )
 )
)
</f>
        <v>0</v>
      </c>
      <c r="M440" s="45">
        <f>IF(J440="",0,MAX(0,J440 - TARIFAS!G$2) * TARIFAS!F$2)
</f>
        <v>0</v>
      </c>
      <c r="N440" s="45">
        <f>+L440*TARIFAS!$K$2</f>
        <v>0</v>
      </c>
      <c r="O440" s="45">
        <f t="shared" si="1"/>
        <v>0</v>
      </c>
      <c r="P440" s="45">
        <f>+M440+O440+K440+(+I440-(I440*TARIFAS!$K$2))</f>
        <v>0</v>
      </c>
      <c r="Q440" s="42" t="str">
        <f>CONFERENCIAS!T440</f>
        <v/>
      </c>
      <c r="R440" s="45" t="str">
        <f>CONFERENCIAS!U440</f>
        <v/>
      </c>
      <c r="S440" s="45" t="str">
        <f>CONFERENCIAS!W440</f>
        <v/>
      </c>
      <c r="T440" s="48">
        <f>IF(Q440="",0,
   IF(E440=1,
      IF(H440="Presencial",
         VLOOKUP(D440,TARIFAS!A:K,3,FALSE) + IF(I440="Sí",VLOOKUP(D440,TARIFAS!A:K,5,FALSE),0),
         VLOOKUP(D440,TARIFAS!A:K,4,FALSE) + IF(I440="Sí",VLOOKUP(D440,TARIFAS!A:K,5,FALSE),0)
      ),
      IF(H440="Presencial",
         VLOOKUP(D440,TARIFAS!A:K,9,FALSE) + IF(I440="Sí",VLOOKUP(D440,TARIFAS!A:K,11,FALSE),0),
         VLOOKUP(D440,TARIFAS!A:K,10,FALSE) + IF(I440="Sí",VLOOKUP(D440,TARIFAS!A:K,11,FALSE),0)
      )
   )
)
</f>
        <v>0</v>
      </c>
      <c r="U440" s="45">
        <f>IF(R440="",0,MAX(0,R440 - TARIFAS!G$2) * TARIFAS!F$2)
</f>
        <v>0</v>
      </c>
      <c r="V440" s="45">
        <f>+T440*TARIFAS!$K$2</f>
        <v>0</v>
      </c>
      <c r="W440" s="45">
        <f t="shared" si="2"/>
        <v>0</v>
      </c>
      <c r="X440" s="45">
        <f t="shared" si="3"/>
        <v>0</v>
      </c>
      <c r="Y440" s="45">
        <f t="shared" si="4"/>
        <v>0</v>
      </c>
      <c r="Z440" s="42" t="str">
        <f>CONFERENCIAS!AB440</f>
        <v/>
      </c>
      <c r="AA440" s="42" t="str">
        <f>CONFERENCIAS!AC440</f>
        <v/>
      </c>
      <c r="AB440" s="47" t="str">
        <f t="shared" si="5"/>
        <v/>
      </c>
      <c r="AC440" s="9" t="str">
        <f t="shared" si="6"/>
        <v/>
      </c>
    </row>
    <row r="441">
      <c r="A441" s="42" t="str">
        <f>CONFERENCIAS!A441</f>
        <v/>
      </c>
      <c r="D441" s="42" t="str">
        <f>CONFERENCIAS!C441</f>
        <v/>
      </c>
      <c r="E441" s="42" t="str">
        <f>CONFERENCIAS!K441</f>
        <v/>
      </c>
      <c r="F441" s="49" t="str">
        <f>CONFERENCIAS!J441</f>
        <v/>
      </c>
      <c r="G441" s="42" t="str">
        <f>CONFERENCIAS!O441</f>
        <v/>
      </c>
      <c r="H441" s="42" t="str">
        <f>CONFERENCIAS!X441</f>
        <v/>
      </c>
      <c r="I441" s="42" t="str">
        <f>CONFERENCIAS!AA441</f>
        <v/>
      </c>
      <c r="J441" s="44" t="str">
        <f>CONFERENCIAS!P441</f>
        <v/>
      </c>
      <c r="K441" s="45" t="str">
        <f>CONFERENCIAS!R441</f>
        <v/>
      </c>
      <c r="L441" s="45">
        <f>IF(D441="",0,
 IF(E441=1,
   IF(H441="Presencial",
      VLOOKUP(D441,TARIFAS!A:K,3,FALSE) + IF(I441="Sí",VLOOKUP(D441,TARIFAS!A:K,5,FALSE),0),
      VLOOKUP(D441,TARIFAS!A:K,4,FALSE) + IF(I441="Sí",VLOOKUP(D441,TARIFAS!A:K,5,FALSE),0)
   ),
   IF(H441="Presencial",
      VLOOKUP(D441,TARIFAS!A:K,9,FALSE) + IF(I441="Sí",VLOOKUP(D441,TARIFAS!A:K,11,FALSE),0),
      VLOOKUP(D441,TARIFAS!A:K,10,FALSE) + IF(I441="Sí",VLOOKUP(D441,TARIFAS!A:K,11,FALSE),0)
   )
 )
)
</f>
        <v>0</v>
      </c>
      <c r="M441" s="45">
        <f>IF(J441="",0,MAX(0,J441 - TARIFAS!G$2) * TARIFAS!F$2)
</f>
        <v>0</v>
      </c>
      <c r="N441" s="45">
        <f>+L441*TARIFAS!$K$2</f>
        <v>0</v>
      </c>
      <c r="O441" s="45">
        <f t="shared" si="1"/>
        <v>0</v>
      </c>
      <c r="P441" s="45">
        <f>+M441+O441+K441+(+I441-(I441*TARIFAS!$K$2))</f>
        <v>0</v>
      </c>
      <c r="Q441" s="42" t="str">
        <f>CONFERENCIAS!T441</f>
        <v/>
      </c>
      <c r="R441" s="45" t="str">
        <f>CONFERENCIAS!U441</f>
        <v/>
      </c>
      <c r="S441" s="45" t="str">
        <f>CONFERENCIAS!W441</f>
        <v/>
      </c>
      <c r="T441" s="48">
        <f>IF(Q441="",0,
   IF(E441=1,
      IF(H441="Presencial",
         VLOOKUP(D441,TARIFAS!A:K,3,FALSE) + IF(I441="Sí",VLOOKUP(D441,TARIFAS!A:K,5,FALSE),0),
         VLOOKUP(D441,TARIFAS!A:K,4,FALSE) + IF(I441="Sí",VLOOKUP(D441,TARIFAS!A:K,5,FALSE),0)
      ),
      IF(H441="Presencial",
         VLOOKUP(D441,TARIFAS!A:K,9,FALSE) + IF(I441="Sí",VLOOKUP(D441,TARIFAS!A:K,11,FALSE),0),
         VLOOKUP(D441,TARIFAS!A:K,10,FALSE) + IF(I441="Sí",VLOOKUP(D441,TARIFAS!A:K,11,FALSE),0)
      )
   )
)
</f>
        <v>0</v>
      </c>
      <c r="U441" s="45">
        <f>IF(R441="",0,MAX(0,R441 - TARIFAS!G$2) * TARIFAS!F$2)
</f>
        <v>0</v>
      </c>
      <c r="V441" s="45">
        <f>+T441*TARIFAS!$K$2</f>
        <v>0</v>
      </c>
      <c r="W441" s="45">
        <f t="shared" si="2"/>
        <v>0</v>
      </c>
      <c r="X441" s="45">
        <f t="shared" si="3"/>
        <v>0</v>
      </c>
      <c r="Y441" s="45">
        <f t="shared" si="4"/>
        <v>0</v>
      </c>
      <c r="Z441" s="42" t="str">
        <f>CONFERENCIAS!AB441</f>
        <v/>
      </c>
      <c r="AA441" s="42" t="str">
        <f>CONFERENCIAS!AC441</f>
        <v/>
      </c>
      <c r="AB441" s="47" t="str">
        <f t="shared" si="5"/>
        <v/>
      </c>
      <c r="AC441" s="9" t="str">
        <f t="shared" si="6"/>
        <v/>
      </c>
    </row>
    <row r="442">
      <c r="A442" s="42" t="str">
        <f>CONFERENCIAS!A442</f>
        <v/>
      </c>
      <c r="D442" s="42" t="str">
        <f>CONFERENCIAS!C442</f>
        <v/>
      </c>
      <c r="E442" s="42" t="str">
        <f>CONFERENCIAS!K442</f>
        <v/>
      </c>
      <c r="F442" s="49" t="str">
        <f>CONFERENCIAS!J442</f>
        <v/>
      </c>
      <c r="G442" s="42" t="str">
        <f>CONFERENCIAS!O442</f>
        <v/>
      </c>
      <c r="H442" s="42" t="str">
        <f>CONFERENCIAS!X442</f>
        <v/>
      </c>
      <c r="I442" s="42" t="str">
        <f>CONFERENCIAS!AA442</f>
        <v/>
      </c>
      <c r="J442" s="44" t="str">
        <f>CONFERENCIAS!P442</f>
        <v/>
      </c>
      <c r="K442" s="45" t="str">
        <f>CONFERENCIAS!R442</f>
        <v/>
      </c>
      <c r="L442" s="45">
        <f>IF(D442="",0,
 IF(E442=1,
   IF(H442="Presencial",
      VLOOKUP(D442,TARIFAS!A:K,3,FALSE) + IF(I442="Sí",VLOOKUP(D442,TARIFAS!A:K,5,FALSE),0),
      VLOOKUP(D442,TARIFAS!A:K,4,FALSE) + IF(I442="Sí",VLOOKUP(D442,TARIFAS!A:K,5,FALSE),0)
   ),
   IF(H442="Presencial",
      VLOOKUP(D442,TARIFAS!A:K,9,FALSE) + IF(I442="Sí",VLOOKUP(D442,TARIFAS!A:K,11,FALSE),0),
      VLOOKUP(D442,TARIFAS!A:K,10,FALSE) + IF(I442="Sí",VLOOKUP(D442,TARIFAS!A:K,11,FALSE),0)
   )
 )
)
</f>
        <v>0</v>
      </c>
      <c r="M442" s="45">
        <f>IF(J442="",0,MAX(0,J442 - TARIFAS!G$2) * TARIFAS!F$2)
</f>
        <v>0</v>
      </c>
      <c r="N442" s="45">
        <f>+L442*TARIFAS!$K$2</f>
        <v>0</v>
      </c>
      <c r="O442" s="45">
        <f t="shared" si="1"/>
        <v>0</v>
      </c>
      <c r="P442" s="45">
        <f>+M442+O442+K442+(+I442-(I442*TARIFAS!$K$2))</f>
        <v>0</v>
      </c>
      <c r="Q442" s="42" t="str">
        <f>CONFERENCIAS!T442</f>
        <v/>
      </c>
      <c r="R442" s="45" t="str">
        <f>CONFERENCIAS!U442</f>
        <v/>
      </c>
      <c r="S442" s="45" t="str">
        <f>CONFERENCIAS!W442</f>
        <v/>
      </c>
      <c r="T442" s="48">
        <f>IF(Q442="",0,
   IF(E442=1,
      IF(H442="Presencial",
         VLOOKUP(D442,TARIFAS!A:K,3,FALSE) + IF(I442="Sí",VLOOKUP(D442,TARIFAS!A:K,5,FALSE),0),
         VLOOKUP(D442,TARIFAS!A:K,4,FALSE) + IF(I442="Sí",VLOOKUP(D442,TARIFAS!A:K,5,FALSE),0)
      ),
      IF(H442="Presencial",
         VLOOKUP(D442,TARIFAS!A:K,9,FALSE) + IF(I442="Sí",VLOOKUP(D442,TARIFAS!A:K,11,FALSE),0),
         VLOOKUP(D442,TARIFAS!A:K,10,FALSE) + IF(I442="Sí",VLOOKUP(D442,TARIFAS!A:K,11,FALSE),0)
      )
   )
)
</f>
        <v>0</v>
      </c>
      <c r="U442" s="45">
        <f>IF(R442="",0,MAX(0,R442 - TARIFAS!G$2) * TARIFAS!F$2)
</f>
        <v>0</v>
      </c>
      <c r="V442" s="45">
        <f>+T442*TARIFAS!$K$2</f>
        <v>0</v>
      </c>
      <c r="W442" s="45">
        <f t="shared" si="2"/>
        <v>0</v>
      </c>
      <c r="X442" s="45">
        <f t="shared" si="3"/>
        <v>0</v>
      </c>
      <c r="Y442" s="45">
        <f t="shared" si="4"/>
        <v>0</v>
      </c>
      <c r="Z442" s="42" t="str">
        <f>CONFERENCIAS!AB442</f>
        <v/>
      </c>
      <c r="AA442" s="42" t="str">
        <f>CONFERENCIAS!AC442</f>
        <v/>
      </c>
      <c r="AB442" s="47" t="str">
        <f t="shared" si="5"/>
        <v/>
      </c>
      <c r="AC442" s="9" t="str">
        <f t="shared" si="6"/>
        <v/>
      </c>
    </row>
    <row r="443">
      <c r="A443" s="42" t="str">
        <f>CONFERENCIAS!A443</f>
        <v/>
      </c>
      <c r="D443" s="42" t="str">
        <f>CONFERENCIAS!C443</f>
        <v/>
      </c>
      <c r="E443" s="42" t="str">
        <f>CONFERENCIAS!K443</f>
        <v/>
      </c>
      <c r="F443" s="49" t="str">
        <f>CONFERENCIAS!J443</f>
        <v/>
      </c>
      <c r="G443" s="42" t="str">
        <f>CONFERENCIAS!O443</f>
        <v/>
      </c>
      <c r="H443" s="42" t="str">
        <f>CONFERENCIAS!X443</f>
        <v/>
      </c>
      <c r="I443" s="42" t="str">
        <f>CONFERENCIAS!AA443</f>
        <v/>
      </c>
      <c r="J443" s="44" t="str">
        <f>CONFERENCIAS!P443</f>
        <v/>
      </c>
      <c r="K443" s="45" t="str">
        <f>CONFERENCIAS!R443</f>
        <v/>
      </c>
      <c r="L443" s="45">
        <f>IF(D443="",0,
 IF(E443=1,
   IF(H443="Presencial",
      VLOOKUP(D443,TARIFAS!A:K,3,FALSE) + IF(I443="Sí",VLOOKUP(D443,TARIFAS!A:K,5,FALSE),0),
      VLOOKUP(D443,TARIFAS!A:K,4,FALSE) + IF(I443="Sí",VLOOKUP(D443,TARIFAS!A:K,5,FALSE),0)
   ),
   IF(H443="Presencial",
      VLOOKUP(D443,TARIFAS!A:K,9,FALSE) + IF(I443="Sí",VLOOKUP(D443,TARIFAS!A:K,11,FALSE),0),
      VLOOKUP(D443,TARIFAS!A:K,10,FALSE) + IF(I443="Sí",VLOOKUP(D443,TARIFAS!A:K,11,FALSE),0)
   )
 )
)
</f>
        <v>0</v>
      </c>
      <c r="M443" s="45">
        <f>IF(J443="",0,MAX(0,J443 - TARIFAS!G$2) * TARIFAS!F$2)
</f>
        <v>0</v>
      </c>
      <c r="N443" s="45">
        <f>+L443*TARIFAS!$K$2</f>
        <v>0</v>
      </c>
      <c r="O443" s="45">
        <f t="shared" si="1"/>
        <v>0</v>
      </c>
      <c r="P443" s="45">
        <f>+M443+O443+K443+(+I443-(I443*TARIFAS!$K$2))</f>
        <v>0</v>
      </c>
      <c r="Q443" s="42" t="str">
        <f>CONFERENCIAS!T443</f>
        <v/>
      </c>
      <c r="R443" s="45" t="str">
        <f>CONFERENCIAS!U443</f>
        <v/>
      </c>
      <c r="S443" s="45" t="str">
        <f>CONFERENCIAS!W443</f>
        <v/>
      </c>
      <c r="T443" s="48">
        <f>IF(Q443="",0,
   IF(E443=1,
      IF(H443="Presencial",
         VLOOKUP(D443,TARIFAS!A:K,3,FALSE) + IF(I443="Sí",VLOOKUP(D443,TARIFAS!A:K,5,FALSE),0),
         VLOOKUP(D443,TARIFAS!A:K,4,FALSE) + IF(I443="Sí",VLOOKUP(D443,TARIFAS!A:K,5,FALSE),0)
      ),
      IF(H443="Presencial",
         VLOOKUP(D443,TARIFAS!A:K,9,FALSE) + IF(I443="Sí",VLOOKUP(D443,TARIFAS!A:K,11,FALSE),0),
         VLOOKUP(D443,TARIFAS!A:K,10,FALSE) + IF(I443="Sí",VLOOKUP(D443,TARIFAS!A:K,11,FALSE),0)
      )
   )
)
</f>
        <v>0</v>
      </c>
      <c r="U443" s="45">
        <f>IF(R443="",0,MAX(0,R443 - TARIFAS!G$2) * TARIFAS!F$2)
</f>
        <v>0</v>
      </c>
      <c r="V443" s="45">
        <f>+T443*TARIFAS!$K$2</f>
        <v>0</v>
      </c>
      <c r="W443" s="45">
        <f t="shared" si="2"/>
        <v>0</v>
      </c>
      <c r="X443" s="45">
        <f t="shared" si="3"/>
        <v>0</v>
      </c>
      <c r="Y443" s="45">
        <f t="shared" si="4"/>
        <v>0</v>
      </c>
      <c r="Z443" s="42" t="str">
        <f>CONFERENCIAS!AB443</f>
        <v/>
      </c>
      <c r="AA443" s="42" t="str">
        <f>CONFERENCIAS!AC443</f>
        <v/>
      </c>
      <c r="AB443" s="47" t="str">
        <f t="shared" si="5"/>
        <v/>
      </c>
      <c r="AC443" s="9" t="str">
        <f t="shared" si="6"/>
        <v/>
      </c>
    </row>
    <row r="444">
      <c r="A444" s="42" t="str">
        <f>CONFERENCIAS!A444</f>
        <v/>
      </c>
      <c r="D444" s="42" t="str">
        <f>CONFERENCIAS!C444</f>
        <v/>
      </c>
      <c r="E444" s="42" t="str">
        <f>CONFERENCIAS!K444</f>
        <v/>
      </c>
      <c r="F444" s="49" t="str">
        <f>CONFERENCIAS!J444</f>
        <v/>
      </c>
      <c r="G444" s="42" t="str">
        <f>CONFERENCIAS!O444</f>
        <v/>
      </c>
      <c r="H444" s="42" t="str">
        <f>CONFERENCIAS!X444</f>
        <v/>
      </c>
      <c r="I444" s="42" t="str">
        <f>CONFERENCIAS!AA444</f>
        <v/>
      </c>
      <c r="J444" s="44" t="str">
        <f>CONFERENCIAS!P444</f>
        <v/>
      </c>
      <c r="K444" s="45" t="str">
        <f>CONFERENCIAS!R444</f>
        <v/>
      </c>
      <c r="L444" s="45">
        <f>IF(D444="",0,
 IF(E444=1,
   IF(H444="Presencial",
      VLOOKUP(D444,TARIFAS!A:K,3,FALSE) + IF(I444="Sí",VLOOKUP(D444,TARIFAS!A:K,5,FALSE),0),
      VLOOKUP(D444,TARIFAS!A:K,4,FALSE) + IF(I444="Sí",VLOOKUP(D444,TARIFAS!A:K,5,FALSE),0)
   ),
   IF(H444="Presencial",
      VLOOKUP(D444,TARIFAS!A:K,9,FALSE) + IF(I444="Sí",VLOOKUP(D444,TARIFAS!A:K,11,FALSE),0),
      VLOOKUP(D444,TARIFAS!A:K,10,FALSE) + IF(I444="Sí",VLOOKUP(D444,TARIFAS!A:K,11,FALSE),0)
   )
 )
)
</f>
        <v>0</v>
      </c>
      <c r="M444" s="45">
        <f>IF(J444="",0,MAX(0,J444 - TARIFAS!G$2) * TARIFAS!F$2)
</f>
        <v>0</v>
      </c>
      <c r="N444" s="45">
        <f>+L444*TARIFAS!$K$2</f>
        <v>0</v>
      </c>
      <c r="O444" s="45">
        <f t="shared" si="1"/>
        <v>0</v>
      </c>
      <c r="P444" s="45">
        <f>+M444+O444+K444+(+I444-(I444*TARIFAS!$K$2))</f>
        <v>0</v>
      </c>
      <c r="Q444" s="42" t="str">
        <f>CONFERENCIAS!T444</f>
        <v/>
      </c>
      <c r="R444" s="45" t="str">
        <f>CONFERENCIAS!U444</f>
        <v/>
      </c>
      <c r="S444" s="45" t="str">
        <f>CONFERENCIAS!W444</f>
        <v/>
      </c>
      <c r="T444" s="48">
        <f>IF(Q444="",0,
   IF(E444=1,
      IF(H444="Presencial",
         VLOOKUP(D444,TARIFAS!A:K,3,FALSE) + IF(I444="Sí",VLOOKUP(D444,TARIFAS!A:K,5,FALSE),0),
         VLOOKUP(D444,TARIFAS!A:K,4,FALSE) + IF(I444="Sí",VLOOKUP(D444,TARIFAS!A:K,5,FALSE),0)
      ),
      IF(H444="Presencial",
         VLOOKUP(D444,TARIFAS!A:K,9,FALSE) + IF(I444="Sí",VLOOKUP(D444,TARIFAS!A:K,11,FALSE),0),
         VLOOKUP(D444,TARIFAS!A:K,10,FALSE) + IF(I444="Sí",VLOOKUP(D444,TARIFAS!A:K,11,FALSE),0)
      )
   )
)
</f>
        <v>0</v>
      </c>
      <c r="U444" s="45">
        <f>IF(R444="",0,MAX(0,R444 - TARIFAS!G$2) * TARIFAS!F$2)
</f>
        <v>0</v>
      </c>
      <c r="V444" s="45">
        <f>+T444*TARIFAS!$K$2</f>
        <v>0</v>
      </c>
      <c r="W444" s="45">
        <f t="shared" si="2"/>
        <v>0</v>
      </c>
      <c r="X444" s="45">
        <f t="shared" si="3"/>
        <v>0</v>
      </c>
      <c r="Y444" s="45">
        <f t="shared" si="4"/>
        <v>0</v>
      </c>
      <c r="Z444" s="42" t="str">
        <f>CONFERENCIAS!AB444</f>
        <v/>
      </c>
      <c r="AA444" s="42" t="str">
        <f>CONFERENCIAS!AC444</f>
        <v/>
      </c>
      <c r="AB444" s="47" t="str">
        <f t="shared" si="5"/>
        <v/>
      </c>
      <c r="AC444" s="9" t="str">
        <f t="shared" si="6"/>
        <v/>
      </c>
    </row>
    <row r="445">
      <c r="A445" s="42" t="str">
        <f>CONFERENCIAS!A445</f>
        <v/>
      </c>
      <c r="D445" s="42" t="str">
        <f>CONFERENCIAS!C445</f>
        <v/>
      </c>
      <c r="E445" s="42" t="str">
        <f>CONFERENCIAS!K445</f>
        <v/>
      </c>
      <c r="F445" s="49" t="str">
        <f>CONFERENCIAS!J445</f>
        <v/>
      </c>
      <c r="G445" s="42" t="str">
        <f>CONFERENCIAS!O445</f>
        <v/>
      </c>
      <c r="H445" s="42" t="str">
        <f>CONFERENCIAS!X445</f>
        <v/>
      </c>
      <c r="I445" s="42" t="str">
        <f>CONFERENCIAS!AA445</f>
        <v/>
      </c>
      <c r="J445" s="44" t="str">
        <f>CONFERENCIAS!P445</f>
        <v/>
      </c>
      <c r="K445" s="45" t="str">
        <f>CONFERENCIAS!R445</f>
        <v/>
      </c>
      <c r="L445" s="45">
        <f>IF(D445="",0,
 IF(E445=1,
   IF(H445="Presencial",
      VLOOKUP(D445,TARIFAS!A:K,3,FALSE) + IF(I445="Sí",VLOOKUP(D445,TARIFAS!A:K,5,FALSE),0),
      VLOOKUP(D445,TARIFAS!A:K,4,FALSE) + IF(I445="Sí",VLOOKUP(D445,TARIFAS!A:K,5,FALSE),0)
   ),
   IF(H445="Presencial",
      VLOOKUP(D445,TARIFAS!A:K,9,FALSE) + IF(I445="Sí",VLOOKUP(D445,TARIFAS!A:K,11,FALSE),0),
      VLOOKUP(D445,TARIFAS!A:K,10,FALSE) + IF(I445="Sí",VLOOKUP(D445,TARIFAS!A:K,11,FALSE),0)
   )
 )
)
</f>
        <v>0</v>
      </c>
      <c r="M445" s="45">
        <f>IF(J445="",0,MAX(0,J445 - TARIFAS!G$2) * TARIFAS!F$2)
</f>
        <v>0</v>
      </c>
      <c r="N445" s="45">
        <f>+L445*TARIFAS!$K$2</f>
        <v>0</v>
      </c>
      <c r="O445" s="45">
        <f t="shared" si="1"/>
        <v>0</v>
      </c>
      <c r="P445" s="45">
        <f>+M445+O445+K445+(+I445-(I445*TARIFAS!$K$2))</f>
        <v>0</v>
      </c>
      <c r="Q445" s="42" t="str">
        <f>CONFERENCIAS!T445</f>
        <v/>
      </c>
      <c r="R445" s="45" t="str">
        <f>CONFERENCIAS!U445</f>
        <v/>
      </c>
      <c r="S445" s="45" t="str">
        <f>CONFERENCIAS!W445</f>
        <v/>
      </c>
      <c r="T445" s="48">
        <f>IF(Q445="",0,
   IF(E445=1,
      IF(H445="Presencial",
         VLOOKUP(D445,TARIFAS!A:K,3,FALSE) + IF(I445="Sí",VLOOKUP(D445,TARIFAS!A:K,5,FALSE),0),
         VLOOKUP(D445,TARIFAS!A:K,4,FALSE) + IF(I445="Sí",VLOOKUP(D445,TARIFAS!A:K,5,FALSE),0)
      ),
      IF(H445="Presencial",
         VLOOKUP(D445,TARIFAS!A:K,9,FALSE) + IF(I445="Sí",VLOOKUP(D445,TARIFAS!A:K,11,FALSE),0),
         VLOOKUP(D445,TARIFAS!A:K,10,FALSE) + IF(I445="Sí",VLOOKUP(D445,TARIFAS!A:K,11,FALSE),0)
      )
   )
)
</f>
        <v>0</v>
      </c>
      <c r="U445" s="45">
        <f>IF(R445="",0,MAX(0,R445 - TARIFAS!G$2) * TARIFAS!F$2)
</f>
        <v>0</v>
      </c>
      <c r="V445" s="45">
        <f>+T445*TARIFAS!$K$2</f>
        <v>0</v>
      </c>
      <c r="W445" s="45">
        <f t="shared" si="2"/>
        <v>0</v>
      </c>
      <c r="X445" s="45">
        <f t="shared" si="3"/>
        <v>0</v>
      </c>
      <c r="Y445" s="45">
        <f t="shared" si="4"/>
        <v>0</v>
      </c>
      <c r="Z445" s="42" t="str">
        <f>CONFERENCIAS!AB445</f>
        <v/>
      </c>
      <c r="AA445" s="42" t="str">
        <f>CONFERENCIAS!AC445</f>
        <v/>
      </c>
      <c r="AB445" s="47" t="str">
        <f t="shared" si="5"/>
        <v/>
      </c>
      <c r="AC445" s="9" t="str">
        <f t="shared" si="6"/>
        <v/>
      </c>
    </row>
    <row r="446">
      <c r="A446" s="42" t="str">
        <f>CONFERENCIAS!A446</f>
        <v/>
      </c>
      <c r="D446" s="42" t="str">
        <f>CONFERENCIAS!C446</f>
        <v/>
      </c>
      <c r="E446" s="42" t="str">
        <f>CONFERENCIAS!K446</f>
        <v/>
      </c>
      <c r="F446" s="49" t="str">
        <f>CONFERENCIAS!J446</f>
        <v/>
      </c>
      <c r="G446" s="42" t="str">
        <f>CONFERENCIAS!O446</f>
        <v/>
      </c>
      <c r="H446" s="42" t="str">
        <f>CONFERENCIAS!X446</f>
        <v/>
      </c>
      <c r="I446" s="42" t="str">
        <f>CONFERENCIAS!AA446</f>
        <v/>
      </c>
      <c r="J446" s="44" t="str">
        <f>CONFERENCIAS!P446</f>
        <v/>
      </c>
      <c r="K446" s="45" t="str">
        <f>CONFERENCIAS!R446</f>
        <v/>
      </c>
      <c r="L446" s="45">
        <f>IF(D446="",0,
 IF(E446=1,
   IF(H446="Presencial",
      VLOOKUP(D446,TARIFAS!A:K,3,FALSE) + IF(I446="Sí",VLOOKUP(D446,TARIFAS!A:K,5,FALSE),0),
      VLOOKUP(D446,TARIFAS!A:K,4,FALSE) + IF(I446="Sí",VLOOKUP(D446,TARIFAS!A:K,5,FALSE),0)
   ),
   IF(H446="Presencial",
      VLOOKUP(D446,TARIFAS!A:K,9,FALSE) + IF(I446="Sí",VLOOKUP(D446,TARIFAS!A:K,11,FALSE),0),
      VLOOKUP(D446,TARIFAS!A:K,10,FALSE) + IF(I446="Sí",VLOOKUP(D446,TARIFAS!A:K,11,FALSE),0)
   )
 )
)
</f>
        <v>0</v>
      </c>
      <c r="M446" s="45">
        <f>IF(J446="",0,MAX(0,J446 - TARIFAS!G$2) * TARIFAS!F$2)
</f>
        <v>0</v>
      </c>
      <c r="N446" s="45">
        <f>+L446*TARIFAS!$K$2</f>
        <v>0</v>
      </c>
      <c r="O446" s="45">
        <f t="shared" si="1"/>
        <v>0</v>
      </c>
      <c r="P446" s="45">
        <f>+M446+O446+K446+(+I446-(I446*TARIFAS!$K$2))</f>
        <v>0</v>
      </c>
      <c r="Q446" s="42" t="str">
        <f>CONFERENCIAS!T446</f>
        <v/>
      </c>
      <c r="R446" s="45" t="str">
        <f>CONFERENCIAS!U446</f>
        <v/>
      </c>
      <c r="S446" s="45" t="str">
        <f>CONFERENCIAS!W446</f>
        <v/>
      </c>
      <c r="T446" s="48">
        <f>IF(Q446="",0,
   IF(E446=1,
      IF(H446="Presencial",
         VLOOKUP(D446,TARIFAS!A:K,3,FALSE) + IF(I446="Sí",VLOOKUP(D446,TARIFAS!A:K,5,FALSE),0),
         VLOOKUP(D446,TARIFAS!A:K,4,FALSE) + IF(I446="Sí",VLOOKUP(D446,TARIFAS!A:K,5,FALSE),0)
      ),
      IF(H446="Presencial",
         VLOOKUP(D446,TARIFAS!A:K,9,FALSE) + IF(I446="Sí",VLOOKUP(D446,TARIFAS!A:K,11,FALSE),0),
         VLOOKUP(D446,TARIFAS!A:K,10,FALSE) + IF(I446="Sí",VLOOKUP(D446,TARIFAS!A:K,11,FALSE),0)
      )
   )
)
</f>
        <v>0</v>
      </c>
      <c r="U446" s="45">
        <f>IF(R446="",0,MAX(0,R446 - TARIFAS!G$2) * TARIFAS!F$2)
</f>
        <v>0</v>
      </c>
      <c r="V446" s="45">
        <f>+T446*TARIFAS!$K$2</f>
        <v>0</v>
      </c>
      <c r="W446" s="45">
        <f t="shared" si="2"/>
        <v>0</v>
      </c>
      <c r="X446" s="45">
        <f t="shared" si="3"/>
        <v>0</v>
      </c>
      <c r="Y446" s="45">
        <f t="shared" si="4"/>
        <v>0</v>
      </c>
      <c r="Z446" s="42" t="str">
        <f>CONFERENCIAS!AB446</f>
        <v/>
      </c>
      <c r="AA446" s="42" t="str">
        <f>CONFERENCIAS!AC446</f>
        <v/>
      </c>
      <c r="AB446" s="47" t="str">
        <f t="shared" si="5"/>
        <v/>
      </c>
      <c r="AC446" s="9" t="str">
        <f t="shared" si="6"/>
        <v/>
      </c>
    </row>
    <row r="447">
      <c r="A447" s="42" t="str">
        <f>CONFERENCIAS!A447</f>
        <v/>
      </c>
      <c r="D447" s="42" t="str">
        <f>CONFERENCIAS!C447</f>
        <v/>
      </c>
      <c r="E447" s="42" t="str">
        <f>CONFERENCIAS!K447</f>
        <v/>
      </c>
      <c r="F447" s="49" t="str">
        <f>CONFERENCIAS!J447</f>
        <v/>
      </c>
      <c r="G447" s="42" t="str">
        <f>CONFERENCIAS!O447</f>
        <v/>
      </c>
      <c r="H447" s="42" t="str">
        <f>CONFERENCIAS!X447</f>
        <v/>
      </c>
      <c r="I447" s="42" t="str">
        <f>CONFERENCIAS!AA447</f>
        <v/>
      </c>
      <c r="J447" s="44" t="str">
        <f>CONFERENCIAS!P447</f>
        <v/>
      </c>
      <c r="K447" s="45" t="str">
        <f>CONFERENCIAS!R447</f>
        <v/>
      </c>
      <c r="L447" s="45">
        <f>IF(D447="",0,
 IF(E447=1,
   IF(H447="Presencial",
      VLOOKUP(D447,TARIFAS!A:K,3,FALSE) + IF(I447="Sí",VLOOKUP(D447,TARIFAS!A:K,5,FALSE),0),
      VLOOKUP(D447,TARIFAS!A:K,4,FALSE) + IF(I447="Sí",VLOOKUP(D447,TARIFAS!A:K,5,FALSE),0)
   ),
   IF(H447="Presencial",
      VLOOKUP(D447,TARIFAS!A:K,9,FALSE) + IF(I447="Sí",VLOOKUP(D447,TARIFAS!A:K,11,FALSE),0),
      VLOOKUP(D447,TARIFAS!A:K,10,FALSE) + IF(I447="Sí",VLOOKUP(D447,TARIFAS!A:K,11,FALSE),0)
   )
 )
)
</f>
        <v>0</v>
      </c>
      <c r="M447" s="45">
        <f>IF(J447="",0,MAX(0,J447 - TARIFAS!G$2) * TARIFAS!F$2)
</f>
        <v>0</v>
      </c>
      <c r="N447" s="45">
        <f>+L447*TARIFAS!$K$2</f>
        <v>0</v>
      </c>
      <c r="O447" s="45">
        <f t="shared" si="1"/>
        <v>0</v>
      </c>
      <c r="P447" s="45">
        <f>+M447+O447+K447+(+I447-(I447*TARIFAS!$K$2))</f>
        <v>0</v>
      </c>
      <c r="Q447" s="42" t="str">
        <f>CONFERENCIAS!T447</f>
        <v/>
      </c>
      <c r="R447" s="45" t="str">
        <f>CONFERENCIAS!U447</f>
        <v/>
      </c>
      <c r="S447" s="45" t="str">
        <f>CONFERENCIAS!W447</f>
        <v/>
      </c>
      <c r="T447" s="48">
        <f>IF(Q447="",0,
   IF(E447=1,
      IF(H447="Presencial",
         VLOOKUP(D447,TARIFAS!A:K,3,FALSE) + IF(I447="Sí",VLOOKUP(D447,TARIFAS!A:K,5,FALSE),0),
         VLOOKUP(D447,TARIFAS!A:K,4,FALSE) + IF(I447="Sí",VLOOKUP(D447,TARIFAS!A:K,5,FALSE),0)
      ),
      IF(H447="Presencial",
         VLOOKUP(D447,TARIFAS!A:K,9,FALSE) + IF(I447="Sí",VLOOKUP(D447,TARIFAS!A:K,11,FALSE),0),
         VLOOKUP(D447,TARIFAS!A:K,10,FALSE) + IF(I447="Sí",VLOOKUP(D447,TARIFAS!A:K,11,FALSE),0)
      )
   )
)
</f>
        <v>0</v>
      </c>
      <c r="U447" s="45">
        <f>IF(R447="",0,MAX(0,R447 - TARIFAS!G$2) * TARIFAS!F$2)
</f>
        <v>0</v>
      </c>
      <c r="V447" s="45">
        <f>+T447*TARIFAS!$K$2</f>
        <v>0</v>
      </c>
      <c r="W447" s="45">
        <f t="shared" si="2"/>
        <v>0</v>
      </c>
      <c r="X447" s="45">
        <f t="shared" si="3"/>
        <v>0</v>
      </c>
      <c r="Y447" s="45">
        <f t="shared" si="4"/>
        <v>0</v>
      </c>
      <c r="Z447" s="42" t="str">
        <f>CONFERENCIAS!AB447</f>
        <v/>
      </c>
      <c r="AA447" s="42" t="str">
        <f>CONFERENCIAS!AC447</f>
        <v/>
      </c>
      <c r="AB447" s="47" t="str">
        <f t="shared" si="5"/>
        <v/>
      </c>
      <c r="AC447" s="9" t="str">
        <f t="shared" si="6"/>
        <v/>
      </c>
    </row>
    <row r="448">
      <c r="A448" s="42" t="str">
        <f>CONFERENCIAS!A448</f>
        <v/>
      </c>
      <c r="D448" s="42" t="str">
        <f>CONFERENCIAS!C448</f>
        <v/>
      </c>
      <c r="E448" s="42" t="str">
        <f>CONFERENCIAS!K448</f>
        <v/>
      </c>
      <c r="F448" s="49" t="str">
        <f>CONFERENCIAS!J448</f>
        <v/>
      </c>
      <c r="G448" s="42" t="str">
        <f>CONFERENCIAS!O448</f>
        <v/>
      </c>
      <c r="H448" s="42" t="str">
        <f>CONFERENCIAS!X448</f>
        <v/>
      </c>
      <c r="I448" s="42" t="str">
        <f>CONFERENCIAS!AA448</f>
        <v/>
      </c>
      <c r="J448" s="44" t="str">
        <f>CONFERENCIAS!P448</f>
        <v/>
      </c>
      <c r="K448" s="45" t="str">
        <f>CONFERENCIAS!R448</f>
        <v/>
      </c>
      <c r="L448" s="45">
        <f>IF(D448="",0,
 IF(E448=1,
   IF(H448="Presencial",
      VLOOKUP(D448,TARIFAS!A:K,3,FALSE) + IF(I448="Sí",VLOOKUP(D448,TARIFAS!A:K,5,FALSE),0),
      VLOOKUP(D448,TARIFAS!A:K,4,FALSE) + IF(I448="Sí",VLOOKUP(D448,TARIFAS!A:K,5,FALSE),0)
   ),
   IF(H448="Presencial",
      VLOOKUP(D448,TARIFAS!A:K,9,FALSE) + IF(I448="Sí",VLOOKUP(D448,TARIFAS!A:K,11,FALSE),0),
      VLOOKUP(D448,TARIFAS!A:K,10,FALSE) + IF(I448="Sí",VLOOKUP(D448,TARIFAS!A:K,11,FALSE),0)
   )
 )
)
</f>
        <v>0</v>
      </c>
      <c r="M448" s="45">
        <f>IF(J448="",0,MAX(0,J448 - TARIFAS!G$2) * TARIFAS!F$2)
</f>
        <v>0</v>
      </c>
      <c r="N448" s="45">
        <f>+L448*TARIFAS!$K$2</f>
        <v>0</v>
      </c>
      <c r="O448" s="45">
        <f t="shared" si="1"/>
        <v>0</v>
      </c>
      <c r="P448" s="45">
        <f>+M448+O448+K448+(+I448-(I448*TARIFAS!$K$2))</f>
        <v>0</v>
      </c>
      <c r="Q448" s="42" t="str">
        <f>CONFERENCIAS!T448</f>
        <v/>
      </c>
      <c r="R448" s="45" t="str">
        <f>CONFERENCIAS!U448</f>
        <v/>
      </c>
      <c r="S448" s="45" t="str">
        <f>CONFERENCIAS!W448</f>
        <v/>
      </c>
      <c r="T448" s="48">
        <f>IF(Q448="",0,
   IF(E448=1,
      IF(H448="Presencial",
         VLOOKUP(D448,TARIFAS!A:K,3,FALSE) + IF(I448="Sí",VLOOKUP(D448,TARIFAS!A:K,5,FALSE),0),
         VLOOKUP(D448,TARIFAS!A:K,4,FALSE) + IF(I448="Sí",VLOOKUP(D448,TARIFAS!A:K,5,FALSE),0)
      ),
      IF(H448="Presencial",
         VLOOKUP(D448,TARIFAS!A:K,9,FALSE) + IF(I448="Sí",VLOOKUP(D448,TARIFAS!A:K,11,FALSE),0),
         VLOOKUP(D448,TARIFAS!A:K,10,FALSE) + IF(I448="Sí",VLOOKUP(D448,TARIFAS!A:K,11,FALSE),0)
      )
   )
)
</f>
        <v>0</v>
      </c>
      <c r="U448" s="45">
        <f>IF(R448="",0,MAX(0,R448 - TARIFAS!G$2) * TARIFAS!F$2)
</f>
        <v>0</v>
      </c>
      <c r="V448" s="45">
        <f>+T448*TARIFAS!$K$2</f>
        <v>0</v>
      </c>
      <c r="W448" s="45">
        <f t="shared" si="2"/>
        <v>0</v>
      </c>
      <c r="X448" s="45">
        <f t="shared" si="3"/>
        <v>0</v>
      </c>
      <c r="Y448" s="45">
        <f t="shared" si="4"/>
        <v>0</v>
      </c>
      <c r="Z448" s="42" t="str">
        <f>CONFERENCIAS!AB448</f>
        <v/>
      </c>
      <c r="AA448" s="42" t="str">
        <f>CONFERENCIAS!AC448</f>
        <v/>
      </c>
      <c r="AB448" s="47" t="str">
        <f t="shared" si="5"/>
        <v/>
      </c>
      <c r="AC448" s="9" t="str">
        <f t="shared" si="6"/>
        <v/>
      </c>
    </row>
    <row r="449">
      <c r="A449" s="42" t="str">
        <f>CONFERENCIAS!A449</f>
        <v/>
      </c>
      <c r="D449" s="42" t="str">
        <f>CONFERENCIAS!C449</f>
        <v/>
      </c>
      <c r="E449" s="42" t="str">
        <f>CONFERENCIAS!K449</f>
        <v/>
      </c>
      <c r="F449" s="49" t="str">
        <f>CONFERENCIAS!J449</f>
        <v/>
      </c>
      <c r="G449" s="42" t="str">
        <f>CONFERENCIAS!O449</f>
        <v/>
      </c>
      <c r="H449" s="42" t="str">
        <f>CONFERENCIAS!X449</f>
        <v/>
      </c>
      <c r="I449" s="42" t="str">
        <f>CONFERENCIAS!AA449</f>
        <v/>
      </c>
      <c r="J449" s="44" t="str">
        <f>CONFERENCIAS!P449</f>
        <v/>
      </c>
      <c r="K449" s="45" t="str">
        <f>CONFERENCIAS!R449</f>
        <v/>
      </c>
      <c r="L449" s="45">
        <f>IF(D449="",0,
 IF(E449=1,
   IF(H449="Presencial",
      VLOOKUP(D449,TARIFAS!A:K,3,FALSE) + IF(I449="Sí",VLOOKUP(D449,TARIFAS!A:K,5,FALSE),0),
      VLOOKUP(D449,TARIFAS!A:K,4,FALSE) + IF(I449="Sí",VLOOKUP(D449,TARIFAS!A:K,5,FALSE),0)
   ),
   IF(H449="Presencial",
      VLOOKUP(D449,TARIFAS!A:K,9,FALSE) + IF(I449="Sí",VLOOKUP(D449,TARIFAS!A:K,11,FALSE),0),
      VLOOKUP(D449,TARIFAS!A:K,10,FALSE) + IF(I449="Sí",VLOOKUP(D449,TARIFAS!A:K,11,FALSE),0)
   )
 )
)
</f>
        <v>0</v>
      </c>
      <c r="M449" s="45">
        <f>IF(J449="",0,MAX(0,J449 - TARIFAS!G$2) * TARIFAS!F$2)
</f>
        <v>0</v>
      </c>
      <c r="N449" s="45">
        <f>+L449*TARIFAS!$K$2</f>
        <v>0</v>
      </c>
      <c r="O449" s="45">
        <f t="shared" si="1"/>
        <v>0</v>
      </c>
      <c r="P449" s="45">
        <f>+M449+O449+K449+(+I449-(I449*TARIFAS!$K$2))</f>
        <v>0</v>
      </c>
      <c r="Q449" s="42" t="str">
        <f>CONFERENCIAS!T449</f>
        <v/>
      </c>
      <c r="R449" s="45" t="str">
        <f>CONFERENCIAS!U449</f>
        <v/>
      </c>
      <c r="S449" s="45" t="str">
        <f>CONFERENCIAS!W449</f>
        <v/>
      </c>
      <c r="T449" s="48">
        <f>IF(Q449="",0,
   IF(E449=1,
      IF(H449="Presencial",
         VLOOKUP(D449,TARIFAS!A:K,3,FALSE) + IF(I449="Sí",VLOOKUP(D449,TARIFAS!A:K,5,FALSE),0),
         VLOOKUP(D449,TARIFAS!A:K,4,FALSE) + IF(I449="Sí",VLOOKUP(D449,TARIFAS!A:K,5,FALSE),0)
      ),
      IF(H449="Presencial",
         VLOOKUP(D449,TARIFAS!A:K,9,FALSE) + IF(I449="Sí",VLOOKUP(D449,TARIFAS!A:K,11,FALSE),0),
         VLOOKUP(D449,TARIFAS!A:K,10,FALSE) + IF(I449="Sí",VLOOKUP(D449,TARIFAS!A:K,11,FALSE),0)
      )
   )
)
</f>
        <v>0</v>
      </c>
      <c r="U449" s="45">
        <f>IF(R449="",0,MAX(0,R449 - TARIFAS!G$2) * TARIFAS!F$2)
</f>
        <v>0</v>
      </c>
      <c r="V449" s="45">
        <f>+T449*TARIFAS!$K$2</f>
        <v>0</v>
      </c>
      <c r="W449" s="45">
        <f t="shared" si="2"/>
        <v>0</v>
      </c>
      <c r="X449" s="45">
        <f t="shared" si="3"/>
        <v>0</v>
      </c>
      <c r="Y449" s="45">
        <f t="shared" si="4"/>
        <v>0</v>
      </c>
      <c r="Z449" s="42" t="str">
        <f>CONFERENCIAS!AB449</f>
        <v/>
      </c>
      <c r="AA449" s="42" t="str">
        <f>CONFERENCIAS!AC449</f>
        <v/>
      </c>
      <c r="AB449" s="47" t="str">
        <f t="shared" si="5"/>
        <v/>
      </c>
      <c r="AC449" s="9" t="str">
        <f t="shared" si="6"/>
        <v/>
      </c>
    </row>
    <row r="450">
      <c r="A450" s="42" t="str">
        <f>CONFERENCIAS!A450</f>
        <v/>
      </c>
      <c r="D450" s="42" t="str">
        <f>CONFERENCIAS!C450</f>
        <v/>
      </c>
      <c r="E450" s="42" t="str">
        <f>CONFERENCIAS!K450</f>
        <v/>
      </c>
      <c r="F450" s="49" t="str">
        <f>CONFERENCIAS!J450</f>
        <v/>
      </c>
      <c r="G450" s="42" t="str">
        <f>CONFERENCIAS!O450</f>
        <v/>
      </c>
      <c r="H450" s="42" t="str">
        <f>CONFERENCIAS!X450</f>
        <v/>
      </c>
      <c r="I450" s="42" t="str">
        <f>CONFERENCIAS!AA450</f>
        <v/>
      </c>
      <c r="J450" s="44" t="str">
        <f>CONFERENCIAS!P450</f>
        <v/>
      </c>
      <c r="K450" s="45" t="str">
        <f>CONFERENCIAS!R450</f>
        <v/>
      </c>
      <c r="L450" s="45">
        <f>IF(D450="",0,
 IF(E450=1,
   IF(H450="Presencial",
      VLOOKUP(D450,TARIFAS!A:K,3,FALSE) + IF(I450="Sí",VLOOKUP(D450,TARIFAS!A:K,5,FALSE),0),
      VLOOKUP(D450,TARIFAS!A:K,4,FALSE) + IF(I450="Sí",VLOOKUP(D450,TARIFAS!A:K,5,FALSE),0)
   ),
   IF(H450="Presencial",
      VLOOKUP(D450,TARIFAS!A:K,9,FALSE) + IF(I450="Sí",VLOOKUP(D450,TARIFAS!A:K,11,FALSE),0),
      VLOOKUP(D450,TARIFAS!A:K,10,FALSE) + IF(I450="Sí",VLOOKUP(D450,TARIFAS!A:K,11,FALSE),0)
   )
 )
)
</f>
        <v>0</v>
      </c>
      <c r="M450" s="45">
        <f>IF(J450="",0,MAX(0,J450 - TARIFAS!G$2) * TARIFAS!F$2)
</f>
        <v>0</v>
      </c>
      <c r="N450" s="45">
        <f>+L450*TARIFAS!$K$2</f>
        <v>0</v>
      </c>
      <c r="O450" s="45">
        <f t="shared" si="1"/>
        <v>0</v>
      </c>
      <c r="P450" s="45">
        <f>+M450+O450+K450+(+I450-(I450*TARIFAS!$K$2))</f>
        <v>0</v>
      </c>
      <c r="Q450" s="42" t="str">
        <f>CONFERENCIAS!T450</f>
        <v/>
      </c>
      <c r="R450" s="45" t="str">
        <f>CONFERENCIAS!U450</f>
        <v/>
      </c>
      <c r="S450" s="45" t="str">
        <f>CONFERENCIAS!W450</f>
        <v/>
      </c>
      <c r="T450" s="48">
        <f>IF(Q450="",0,
   IF(E450=1,
      IF(H450="Presencial",
         VLOOKUP(D450,TARIFAS!A:K,3,FALSE) + IF(I450="Sí",VLOOKUP(D450,TARIFAS!A:K,5,FALSE),0),
         VLOOKUP(D450,TARIFAS!A:K,4,FALSE) + IF(I450="Sí",VLOOKUP(D450,TARIFAS!A:K,5,FALSE),0)
      ),
      IF(H450="Presencial",
         VLOOKUP(D450,TARIFAS!A:K,9,FALSE) + IF(I450="Sí",VLOOKUP(D450,TARIFAS!A:K,11,FALSE),0),
         VLOOKUP(D450,TARIFAS!A:K,10,FALSE) + IF(I450="Sí",VLOOKUP(D450,TARIFAS!A:K,11,FALSE),0)
      )
   )
)
</f>
        <v>0</v>
      </c>
      <c r="U450" s="45">
        <f>IF(R450="",0,MAX(0,R450 - TARIFAS!G$2) * TARIFAS!F$2)
</f>
        <v>0</v>
      </c>
      <c r="V450" s="45">
        <f>+T450*TARIFAS!$K$2</f>
        <v>0</v>
      </c>
      <c r="W450" s="45">
        <f t="shared" si="2"/>
        <v>0</v>
      </c>
      <c r="X450" s="45">
        <f t="shared" si="3"/>
        <v>0</v>
      </c>
      <c r="Y450" s="45">
        <f t="shared" si="4"/>
        <v>0</v>
      </c>
      <c r="Z450" s="42" t="str">
        <f>CONFERENCIAS!AB450</f>
        <v/>
      </c>
      <c r="AA450" s="42" t="str">
        <f>CONFERENCIAS!AC450</f>
        <v/>
      </c>
      <c r="AB450" s="47" t="str">
        <f t="shared" si="5"/>
        <v/>
      </c>
      <c r="AC450" s="9" t="str">
        <f t="shared" si="6"/>
        <v/>
      </c>
    </row>
    <row r="451">
      <c r="A451" s="42" t="str">
        <f>CONFERENCIAS!A451</f>
        <v/>
      </c>
      <c r="D451" s="42" t="str">
        <f>CONFERENCIAS!C451</f>
        <v/>
      </c>
      <c r="E451" s="42" t="str">
        <f>CONFERENCIAS!K451</f>
        <v/>
      </c>
      <c r="F451" s="49" t="str">
        <f>CONFERENCIAS!J451</f>
        <v/>
      </c>
      <c r="G451" s="42" t="str">
        <f>CONFERENCIAS!O451</f>
        <v/>
      </c>
      <c r="H451" s="42" t="str">
        <f>CONFERENCIAS!X451</f>
        <v/>
      </c>
      <c r="I451" s="42" t="str">
        <f>CONFERENCIAS!AA451</f>
        <v/>
      </c>
      <c r="J451" s="44" t="str">
        <f>CONFERENCIAS!P451</f>
        <v/>
      </c>
      <c r="K451" s="45" t="str">
        <f>CONFERENCIAS!R451</f>
        <v/>
      </c>
      <c r="L451" s="45">
        <f>IF(D451="",0,
 IF(E451=1,
   IF(H451="Presencial",
      VLOOKUP(D451,TARIFAS!A:K,3,FALSE) + IF(I451="Sí",VLOOKUP(D451,TARIFAS!A:K,5,FALSE),0),
      VLOOKUP(D451,TARIFAS!A:K,4,FALSE) + IF(I451="Sí",VLOOKUP(D451,TARIFAS!A:K,5,FALSE),0)
   ),
   IF(H451="Presencial",
      VLOOKUP(D451,TARIFAS!A:K,9,FALSE) + IF(I451="Sí",VLOOKUP(D451,TARIFAS!A:K,11,FALSE),0),
      VLOOKUP(D451,TARIFAS!A:K,10,FALSE) + IF(I451="Sí",VLOOKUP(D451,TARIFAS!A:K,11,FALSE),0)
   )
 )
)
</f>
        <v>0</v>
      </c>
      <c r="M451" s="45">
        <f>IF(J451="",0,MAX(0,J451 - TARIFAS!G$2) * TARIFAS!F$2)
</f>
        <v>0</v>
      </c>
      <c r="N451" s="45">
        <f>+L451*TARIFAS!$K$2</f>
        <v>0</v>
      </c>
      <c r="O451" s="45">
        <f t="shared" si="1"/>
        <v>0</v>
      </c>
      <c r="P451" s="45">
        <f>+M451+O451+K451+(+I451-(I451*TARIFAS!$K$2))</f>
        <v>0</v>
      </c>
      <c r="Q451" s="42" t="str">
        <f>CONFERENCIAS!T451</f>
        <v/>
      </c>
      <c r="R451" s="45" t="str">
        <f>CONFERENCIAS!U451</f>
        <v/>
      </c>
      <c r="S451" s="45" t="str">
        <f>CONFERENCIAS!W451</f>
        <v/>
      </c>
      <c r="T451" s="48">
        <f>IF(Q451="",0,
   IF(E451=1,
      IF(H451="Presencial",
         VLOOKUP(D451,TARIFAS!A:K,3,FALSE) + IF(I451="Sí",VLOOKUP(D451,TARIFAS!A:K,5,FALSE),0),
         VLOOKUP(D451,TARIFAS!A:K,4,FALSE) + IF(I451="Sí",VLOOKUP(D451,TARIFAS!A:K,5,FALSE),0)
      ),
      IF(H451="Presencial",
         VLOOKUP(D451,TARIFAS!A:K,9,FALSE) + IF(I451="Sí",VLOOKUP(D451,TARIFAS!A:K,11,FALSE),0),
         VLOOKUP(D451,TARIFAS!A:K,10,FALSE) + IF(I451="Sí",VLOOKUP(D451,TARIFAS!A:K,11,FALSE),0)
      )
   )
)
</f>
        <v>0</v>
      </c>
      <c r="U451" s="45">
        <f>IF(R451="",0,MAX(0,R451 - TARIFAS!G$2) * TARIFAS!F$2)
</f>
        <v>0</v>
      </c>
      <c r="V451" s="45">
        <f>+T451*TARIFAS!$K$2</f>
        <v>0</v>
      </c>
      <c r="W451" s="45">
        <f t="shared" si="2"/>
        <v>0</v>
      </c>
      <c r="X451" s="45">
        <f t="shared" si="3"/>
        <v>0</v>
      </c>
      <c r="Y451" s="45">
        <f t="shared" si="4"/>
        <v>0</v>
      </c>
      <c r="Z451" s="42" t="str">
        <f>CONFERENCIAS!AB451</f>
        <v/>
      </c>
      <c r="AA451" s="42" t="str">
        <f>CONFERENCIAS!AC451</f>
        <v/>
      </c>
      <c r="AB451" s="47" t="str">
        <f t="shared" si="5"/>
        <v/>
      </c>
      <c r="AC451" s="9" t="str">
        <f t="shared" si="6"/>
        <v/>
      </c>
    </row>
    <row r="452">
      <c r="A452" s="42" t="str">
        <f>CONFERENCIAS!A452</f>
        <v/>
      </c>
      <c r="D452" s="42" t="str">
        <f>CONFERENCIAS!C452</f>
        <v/>
      </c>
      <c r="E452" s="42" t="str">
        <f>CONFERENCIAS!K452</f>
        <v/>
      </c>
      <c r="F452" s="49" t="str">
        <f>CONFERENCIAS!J452</f>
        <v/>
      </c>
      <c r="G452" s="42" t="str">
        <f>CONFERENCIAS!O452</f>
        <v/>
      </c>
      <c r="H452" s="42" t="str">
        <f>CONFERENCIAS!X452</f>
        <v/>
      </c>
      <c r="I452" s="42" t="str">
        <f>CONFERENCIAS!AA452</f>
        <v/>
      </c>
      <c r="J452" s="44" t="str">
        <f>CONFERENCIAS!P452</f>
        <v/>
      </c>
      <c r="K452" s="45" t="str">
        <f>CONFERENCIAS!R452</f>
        <v/>
      </c>
      <c r="L452" s="45">
        <f>IF(D452="",0,
 IF(E452=1,
   IF(H452="Presencial",
      VLOOKUP(D452,TARIFAS!A:K,3,FALSE) + IF(I452="Sí",VLOOKUP(D452,TARIFAS!A:K,5,FALSE),0),
      VLOOKUP(D452,TARIFAS!A:K,4,FALSE) + IF(I452="Sí",VLOOKUP(D452,TARIFAS!A:K,5,FALSE),0)
   ),
   IF(H452="Presencial",
      VLOOKUP(D452,TARIFAS!A:K,9,FALSE) + IF(I452="Sí",VLOOKUP(D452,TARIFAS!A:K,11,FALSE),0),
      VLOOKUP(D452,TARIFAS!A:K,10,FALSE) + IF(I452="Sí",VLOOKUP(D452,TARIFAS!A:K,11,FALSE),0)
   )
 )
)
</f>
        <v>0</v>
      </c>
      <c r="M452" s="45">
        <f>IF(J452="",0,MAX(0,J452 - TARIFAS!G$2) * TARIFAS!F$2)
</f>
        <v>0</v>
      </c>
      <c r="N452" s="45">
        <f>+L452*TARIFAS!$K$2</f>
        <v>0</v>
      </c>
      <c r="O452" s="45">
        <f t="shared" si="1"/>
        <v>0</v>
      </c>
      <c r="P452" s="45">
        <f>+M452+O452+K452+(+I452-(I452*TARIFAS!$K$2))</f>
        <v>0</v>
      </c>
      <c r="Q452" s="42" t="str">
        <f>CONFERENCIAS!T452</f>
        <v/>
      </c>
      <c r="R452" s="45" t="str">
        <f>CONFERENCIAS!U452</f>
        <v/>
      </c>
      <c r="S452" s="45" t="str">
        <f>CONFERENCIAS!W452</f>
        <v/>
      </c>
      <c r="T452" s="48">
        <f>IF(Q452="",0,
   IF(E452=1,
      IF(H452="Presencial",
         VLOOKUP(D452,TARIFAS!A:K,3,FALSE) + IF(I452="Sí",VLOOKUP(D452,TARIFAS!A:K,5,FALSE),0),
         VLOOKUP(D452,TARIFAS!A:K,4,FALSE) + IF(I452="Sí",VLOOKUP(D452,TARIFAS!A:K,5,FALSE),0)
      ),
      IF(H452="Presencial",
         VLOOKUP(D452,TARIFAS!A:K,9,FALSE) + IF(I452="Sí",VLOOKUP(D452,TARIFAS!A:K,11,FALSE),0),
         VLOOKUP(D452,TARIFAS!A:K,10,FALSE) + IF(I452="Sí",VLOOKUP(D452,TARIFAS!A:K,11,FALSE),0)
      )
   )
)
</f>
        <v>0</v>
      </c>
      <c r="U452" s="45">
        <f>IF(R452="",0,MAX(0,R452 - TARIFAS!G$2) * TARIFAS!F$2)
</f>
        <v>0</v>
      </c>
      <c r="V452" s="45">
        <f>+T452*TARIFAS!$K$2</f>
        <v>0</v>
      </c>
      <c r="W452" s="45">
        <f t="shared" si="2"/>
        <v>0</v>
      </c>
      <c r="X452" s="45">
        <f t="shared" si="3"/>
        <v>0</v>
      </c>
      <c r="Y452" s="45">
        <f t="shared" si="4"/>
        <v>0</v>
      </c>
      <c r="Z452" s="42" t="str">
        <f>CONFERENCIAS!AB452</f>
        <v/>
      </c>
      <c r="AA452" s="42" t="str">
        <f>CONFERENCIAS!AC452</f>
        <v/>
      </c>
      <c r="AB452" s="47" t="str">
        <f t="shared" si="5"/>
        <v/>
      </c>
      <c r="AC452" s="9" t="str">
        <f t="shared" si="6"/>
        <v/>
      </c>
    </row>
    <row r="453">
      <c r="A453" s="42" t="str">
        <f>CONFERENCIAS!A453</f>
        <v/>
      </c>
      <c r="D453" s="42" t="str">
        <f>CONFERENCIAS!C453</f>
        <v/>
      </c>
      <c r="E453" s="42" t="str">
        <f>CONFERENCIAS!K453</f>
        <v/>
      </c>
      <c r="F453" s="49" t="str">
        <f>CONFERENCIAS!J453</f>
        <v/>
      </c>
      <c r="G453" s="42" t="str">
        <f>CONFERENCIAS!O453</f>
        <v/>
      </c>
      <c r="H453" s="42" t="str">
        <f>CONFERENCIAS!X453</f>
        <v/>
      </c>
      <c r="I453" s="42" t="str">
        <f>CONFERENCIAS!AA453</f>
        <v/>
      </c>
      <c r="J453" s="44" t="str">
        <f>CONFERENCIAS!P453</f>
        <v/>
      </c>
      <c r="K453" s="45" t="str">
        <f>CONFERENCIAS!R453</f>
        <v/>
      </c>
      <c r="L453" s="45">
        <f>IF(D453="",0,
 IF(E453=1,
   IF(H453="Presencial",
      VLOOKUP(D453,TARIFAS!A:K,3,FALSE) + IF(I453="Sí",VLOOKUP(D453,TARIFAS!A:K,5,FALSE),0),
      VLOOKUP(D453,TARIFAS!A:K,4,FALSE) + IF(I453="Sí",VLOOKUP(D453,TARIFAS!A:K,5,FALSE),0)
   ),
   IF(H453="Presencial",
      VLOOKUP(D453,TARIFAS!A:K,9,FALSE) + IF(I453="Sí",VLOOKUP(D453,TARIFAS!A:K,11,FALSE),0),
      VLOOKUP(D453,TARIFAS!A:K,10,FALSE) + IF(I453="Sí",VLOOKUP(D453,TARIFAS!A:K,11,FALSE),0)
   )
 )
)
</f>
        <v>0</v>
      </c>
      <c r="M453" s="45">
        <f>IF(J453="",0,MAX(0,J453 - TARIFAS!G$2) * TARIFAS!F$2)
</f>
        <v>0</v>
      </c>
      <c r="N453" s="45">
        <f>+L453*TARIFAS!$K$2</f>
        <v>0</v>
      </c>
      <c r="O453" s="45">
        <f t="shared" si="1"/>
        <v>0</v>
      </c>
      <c r="P453" s="45">
        <f>+M453+O453+K453+(+I453-(I453*TARIFAS!$K$2))</f>
        <v>0</v>
      </c>
      <c r="Q453" s="42" t="str">
        <f>CONFERENCIAS!T453</f>
        <v/>
      </c>
      <c r="R453" s="45" t="str">
        <f>CONFERENCIAS!U453</f>
        <v/>
      </c>
      <c r="S453" s="45" t="str">
        <f>CONFERENCIAS!W453</f>
        <v/>
      </c>
      <c r="T453" s="48">
        <f>IF(Q453="",0,
   IF(E453=1,
      IF(H453="Presencial",
         VLOOKUP(D453,TARIFAS!A:K,3,FALSE) + IF(I453="Sí",VLOOKUP(D453,TARIFAS!A:K,5,FALSE),0),
         VLOOKUP(D453,TARIFAS!A:K,4,FALSE) + IF(I453="Sí",VLOOKUP(D453,TARIFAS!A:K,5,FALSE),0)
      ),
      IF(H453="Presencial",
         VLOOKUP(D453,TARIFAS!A:K,9,FALSE) + IF(I453="Sí",VLOOKUP(D453,TARIFAS!A:K,11,FALSE),0),
         VLOOKUP(D453,TARIFAS!A:K,10,FALSE) + IF(I453="Sí",VLOOKUP(D453,TARIFAS!A:K,11,FALSE),0)
      )
   )
)
</f>
        <v>0</v>
      </c>
      <c r="U453" s="45">
        <f>IF(R453="",0,MAX(0,R453 - TARIFAS!G$2) * TARIFAS!F$2)
</f>
        <v>0</v>
      </c>
      <c r="V453" s="45">
        <f>+T453*TARIFAS!$K$2</f>
        <v>0</v>
      </c>
      <c r="W453" s="45">
        <f t="shared" si="2"/>
        <v>0</v>
      </c>
      <c r="X453" s="45">
        <f t="shared" si="3"/>
        <v>0</v>
      </c>
      <c r="Y453" s="45">
        <f t="shared" si="4"/>
        <v>0</v>
      </c>
      <c r="Z453" s="42" t="str">
        <f>CONFERENCIAS!AB453</f>
        <v/>
      </c>
      <c r="AA453" s="42" t="str">
        <f>CONFERENCIAS!AC453</f>
        <v/>
      </c>
      <c r="AB453" s="47" t="str">
        <f t="shared" si="5"/>
        <v/>
      </c>
      <c r="AC453" s="9" t="str">
        <f t="shared" si="6"/>
        <v/>
      </c>
    </row>
    <row r="454">
      <c r="A454" s="42" t="str">
        <f>CONFERENCIAS!A454</f>
        <v/>
      </c>
      <c r="D454" s="42" t="str">
        <f>CONFERENCIAS!C454</f>
        <v/>
      </c>
      <c r="E454" s="42" t="str">
        <f>CONFERENCIAS!K454</f>
        <v/>
      </c>
      <c r="F454" s="49" t="str">
        <f>CONFERENCIAS!J454</f>
        <v/>
      </c>
      <c r="G454" s="42" t="str">
        <f>CONFERENCIAS!O454</f>
        <v/>
      </c>
      <c r="H454" s="42" t="str">
        <f>CONFERENCIAS!X454</f>
        <v/>
      </c>
      <c r="I454" s="42" t="str">
        <f>CONFERENCIAS!AA454</f>
        <v/>
      </c>
      <c r="J454" s="44" t="str">
        <f>CONFERENCIAS!P454</f>
        <v/>
      </c>
      <c r="K454" s="45" t="str">
        <f>CONFERENCIAS!R454</f>
        <v/>
      </c>
      <c r="L454" s="45">
        <f>IF(D454="",0,
 IF(E454=1,
   IF(H454="Presencial",
      VLOOKUP(D454,TARIFAS!A:K,3,FALSE) + IF(I454="Sí",VLOOKUP(D454,TARIFAS!A:K,5,FALSE),0),
      VLOOKUP(D454,TARIFAS!A:K,4,FALSE) + IF(I454="Sí",VLOOKUP(D454,TARIFAS!A:K,5,FALSE),0)
   ),
   IF(H454="Presencial",
      VLOOKUP(D454,TARIFAS!A:K,9,FALSE) + IF(I454="Sí",VLOOKUP(D454,TARIFAS!A:K,11,FALSE),0),
      VLOOKUP(D454,TARIFAS!A:K,10,FALSE) + IF(I454="Sí",VLOOKUP(D454,TARIFAS!A:K,11,FALSE),0)
   )
 )
)
</f>
        <v>0</v>
      </c>
      <c r="M454" s="45">
        <f>IF(J454="",0,MAX(0,J454 - TARIFAS!G$2) * TARIFAS!F$2)
</f>
        <v>0</v>
      </c>
      <c r="N454" s="45">
        <f>+L454*TARIFAS!$K$2</f>
        <v>0</v>
      </c>
      <c r="O454" s="45">
        <f t="shared" si="1"/>
        <v>0</v>
      </c>
      <c r="P454" s="45">
        <f>+M454+O454+K454+(+I454-(I454*TARIFAS!$K$2))</f>
        <v>0</v>
      </c>
      <c r="Q454" s="42" t="str">
        <f>CONFERENCIAS!T454</f>
        <v/>
      </c>
      <c r="R454" s="45" t="str">
        <f>CONFERENCIAS!U454</f>
        <v/>
      </c>
      <c r="S454" s="45" t="str">
        <f>CONFERENCIAS!W454</f>
        <v/>
      </c>
      <c r="T454" s="48">
        <f>IF(Q454="",0,
   IF(E454=1,
      IF(H454="Presencial",
         VLOOKUP(D454,TARIFAS!A:K,3,FALSE) + IF(I454="Sí",VLOOKUP(D454,TARIFAS!A:K,5,FALSE),0),
         VLOOKUP(D454,TARIFAS!A:K,4,FALSE) + IF(I454="Sí",VLOOKUP(D454,TARIFAS!A:K,5,FALSE),0)
      ),
      IF(H454="Presencial",
         VLOOKUP(D454,TARIFAS!A:K,9,FALSE) + IF(I454="Sí",VLOOKUP(D454,TARIFAS!A:K,11,FALSE),0),
         VLOOKUP(D454,TARIFAS!A:K,10,FALSE) + IF(I454="Sí",VLOOKUP(D454,TARIFAS!A:K,11,FALSE),0)
      )
   )
)
</f>
        <v>0</v>
      </c>
      <c r="U454" s="45">
        <f>IF(R454="",0,MAX(0,R454 - TARIFAS!G$2) * TARIFAS!F$2)
</f>
        <v>0</v>
      </c>
      <c r="V454" s="45">
        <f>+T454*TARIFAS!$K$2</f>
        <v>0</v>
      </c>
      <c r="W454" s="45">
        <f t="shared" si="2"/>
        <v>0</v>
      </c>
      <c r="X454" s="45">
        <f t="shared" si="3"/>
        <v>0</v>
      </c>
      <c r="Y454" s="45">
        <f t="shared" si="4"/>
        <v>0</v>
      </c>
      <c r="Z454" s="42" t="str">
        <f>CONFERENCIAS!AB454</f>
        <v/>
      </c>
      <c r="AA454" s="42" t="str">
        <f>CONFERENCIAS!AC454</f>
        <v/>
      </c>
      <c r="AB454" s="47" t="str">
        <f t="shared" si="5"/>
        <v/>
      </c>
      <c r="AC454" s="9" t="str">
        <f t="shared" si="6"/>
        <v/>
      </c>
    </row>
    <row r="455">
      <c r="A455" s="42" t="str">
        <f>CONFERENCIAS!A455</f>
        <v/>
      </c>
      <c r="D455" s="42" t="str">
        <f>CONFERENCIAS!C455</f>
        <v/>
      </c>
      <c r="E455" s="42" t="str">
        <f>CONFERENCIAS!K455</f>
        <v/>
      </c>
      <c r="F455" s="49" t="str">
        <f>CONFERENCIAS!J455</f>
        <v/>
      </c>
      <c r="G455" s="42" t="str">
        <f>CONFERENCIAS!O455</f>
        <v/>
      </c>
      <c r="H455" s="42" t="str">
        <f>CONFERENCIAS!X455</f>
        <v/>
      </c>
      <c r="I455" s="42" t="str">
        <f>CONFERENCIAS!AA455</f>
        <v/>
      </c>
      <c r="J455" s="44" t="str">
        <f>CONFERENCIAS!P455</f>
        <v/>
      </c>
      <c r="K455" s="45" t="str">
        <f>CONFERENCIAS!R455</f>
        <v/>
      </c>
      <c r="L455" s="45">
        <f>IF(D455="",0,
 IF(E455=1,
   IF(H455="Presencial",
      VLOOKUP(D455,TARIFAS!A:K,3,FALSE) + IF(I455="Sí",VLOOKUP(D455,TARIFAS!A:K,5,FALSE),0),
      VLOOKUP(D455,TARIFAS!A:K,4,FALSE) + IF(I455="Sí",VLOOKUP(D455,TARIFAS!A:K,5,FALSE),0)
   ),
   IF(H455="Presencial",
      VLOOKUP(D455,TARIFAS!A:K,9,FALSE) + IF(I455="Sí",VLOOKUP(D455,TARIFAS!A:K,11,FALSE),0),
      VLOOKUP(D455,TARIFAS!A:K,10,FALSE) + IF(I455="Sí",VLOOKUP(D455,TARIFAS!A:K,11,FALSE),0)
   )
 )
)
</f>
        <v>0</v>
      </c>
      <c r="M455" s="45">
        <f>IF(J455="",0,MAX(0,J455 - TARIFAS!G$2) * TARIFAS!F$2)
</f>
        <v>0</v>
      </c>
      <c r="N455" s="45">
        <f>+L455*TARIFAS!$K$2</f>
        <v>0</v>
      </c>
      <c r="O455" s="45">
        <f t="shared" si="1"/>
        <v>0</v>
      </c>
      <c r="P455" s="45">
        <f>+M455+O455+K455+(+I455-(I455*TARIFAS!$K$2))</f>
        <v>0</v>
      </c>
      <c r="Q455" s="42" t="str">
        <f>CONFERENCIAS!T455</f>
        <v/>
      </c>
      <c r="R455" s="45" t="str">
        <f>CONFERENCIAS!U455</f>
        <v/>
      </c>
      <c r="S455" s="45" t="str">
        <f>CONFERENCIAS!W455</f>
        <v/>
      </c>
      <c r="T455" s="48">
        <f>IF(Q455="",0,
   IF(E455=1,
      IF(H455="Presencial",
         VLOOKUP(D455,TARIFAS!A:K,3,FALSE) + IF(I455="Sí",VLOOKUP(D455,TARIFAS!A:K,5,FALSE),0),
         VLOOKUP(D455,TARIFAS!A:K,4,FALSE) + IF(I455="Sí",VLOOKUP(D455,TARIFAS!A:K,5,FALSE),0)
      ),
      IF(H455="Presencial",
         VLOOKUP(D455,TARIFAS!A:K,9,FALSE) + IF(I455="Sí",VLOOKUP(D455,TARIFAS!A:K,11,FALSE),0),
         VLOOKUP(D455,TARIFAS!A:K,10,FALSE) + IF(I455="Sí",VLOOKUP(D455,TARIFAS!A:K,11,FALSE),0)
      )
   )
)
</f>
        <v>0</v>
      </c>
      <c r="U455" s="45">
        <f>IF(R455="",0,MAX(0,R455 - TARIFAS!G$2) * TARIFAS!F$2)
</f>
        <v>0</v>
      </c>
      <c r="V455" s="45">
        <f>+T455*TARIFAS!$K$2</f>
        <v>0</v>
      </c>
      <c r="W455" s="45">
        <f t="shared" si="2"/>
        <v>0</v>
      </c>
      <c r="X455" s="45">
        <f t="shared" si="3"/>
        <v>0</v>
      </c>
      <c r="Y455" s="45">
        <f t="shared" si="4"/>
        <v>0</v>
      </c>
      <c r="Z455" s="42" t="str">
        <f>CONFERENCIAS!AB455</f>
        <v/>
      </c>
      <c r="AA455" s="42" t="str">
        <f>CONFERENCIAS!AC455</f>
        <v/>
      </c>
      <c r="AB455" s="47" t="str">
        <f t="shared" si="5"/>
        <v/>
      </c>
      <c r="AC455" s="9" t="str">
        <f t="shared" si="6"/>
        <v/>
      </c>
    </row>
    <row r="456">
      <c r="A456" s="42" t="str">
        <f>CONFERENCIAS!A456</f>
        <v/>
      </c>
      <c r="D456" s="42" t="str">
        <f>CONFERENCIAS!C456</f>
        <v/>
      </c>
      <c r="E456" s="42" t="str">
        <f>CONFERENCIAS!K456</f>
        <v/>
      </c>
      <c r="F456" s="49" t="str">
        <f>CONFERENCIAS!J456</f>
        <v/>
      </c>
      <c r="G456" s="42" t="str">
        <f>CONFERENCIAS!O456</f>
        <v/>
      </c>
      <c r="H456" s="42" t="str">
        <f>CONFERENCIAS!X456</f>
        <v/>
      </c>
      <c r="I456" s="42" t="str">
        <f>CONFERENCIAS!AA456</f>
        <v/>
      </c>
      <c r="J456" s="44" t="str">
        <f>CONFERENCIAS!P456</f>
        <v/>
      </c>
      <c r="K456" s="45" t="str">
        <f>CONFERENCIAS!R456</f>
        <v/>
      </c>
      <c r="L456" s="45">
        <f>IF(D456="",0,
 IF(E456=1,
   IF(H456="Presencial",
      VLOOKUP(D456,TARIFAS!A:K,3,FALSE) + IF(I456="Sí",VLOOKUP(D456,TARIFAS!A:K,5,FALSE),0),
      VLOOKUP(D456,TARIFAS!A:K,4,FALSE) + IF(I456="Sí",VLOOKUP(D456,TARIFAS!A:K,5,FALSE),0)
   ),
   IF(H456="Presencial",
      VLOOKUP(D456,TARIFAS!A:K,9,FALSE) + IF(I456="Sí",VLOOKUP(D456,TARIFAS!A:K,11,FALSE),0),
      VLOOKUP(D456,TARIFAS!A:K,10,FALSE) + IF(I456="Sí",VLOOKUP(D456,TARIFAS!A:K,11,FALSE),0)
   )
 )
)
</f>
        <v>0</v>
      </c>
      <c r="M456" s="45">
        <f>IF(J456="",0,MAX(0,J456 - TARIFAS!G$2) * TARIFAS!F$2)
</f>
        <v>0</v>
      </c>
      <c r="N456" s="45">
        <f>+L456*TARIFAS!$K$2</f>
        <v>0</v>
      </c>
      <c r="O456" s="45">
        <f t="shared" si="1"/>
        <v>0</v>
      </c>
      <c r="P456" s="45">
        <f>+M456+O456+K456+(+I456-(I456*TARIFAS!$K$2))</f>
        <v>0</v>
      </c>
      <c r="Q456" s="42" t="str">
        <f>CONFERENCIAS!T456</f>
        <v/>
      </c>
      <c r="R456" s="45" t="str">
        <f>CONFERENCIAS!U456</f>
        <v/>
      </c>
      <c r="S456" s="45" t="str">
        <f>CONFERENCIAS!W456</f>
        <v/>
      </c>
      <c r="T456" s="48">
        <f>IF(Q456="",0,
   IF(E456=1,
      IF(H456="Presencial",
         VLOOKUP(D456,TARIFAS!A:K,3,FALSE) + IF(I456="Sí",VLOOKUP(D456,TARIFAS!A:K,5,FALSE),0),
         VLOOKUP(D456,TARIFAS!A:K,4,FALSE) + IF(I456="Sí",VLOOKUP(D456,TARIFAS!A:K,5,FALSE),0)
      ),
      IF(H456="Presencial",
         VLOOKUP(D456,TARIFAS!A:K,9,FALSE) + IF(I456="Sí",VLOOKUP(D456,TARIFAS!A:K,11,FALSE),0),
         VLOOKUP(D456,TARIFAS!A:K,10,FALSE) + IF(I456="Sí",VLOOKUP(D456,TARIFAS!A:K,11,FALSE),0)
      )
   )
)
</f>
        <v>0</v>
      </c>
      <c r="U456" s="45">
        <f>IF(R456="",0,MAX(0,R456 - TARIFAS!G$2) * TARIFAS!F$2)
</f>
        <v>0</v>
      </c>
      <c r="V456" s="45">
        <f>+T456*TARIFAS!$K$2</f>
        <v>0</v>
      </c>
      <c r="W456" s="45">
        <f t="shared" si="2"/>
        <v>0</v>
      </c>
      <c r="X456" s="45">
        <f t="shared" si="3"/>
        <v>0</v>
      </c>
      <c r="Y456" s="45">
        <f t="shared" si="4"/>
        <v>0</v>
      </c>
      <c r="Z456" s="42" t="str">
        <f>CONFERENCIAS!AB456</f>
        <v/>
      </c>
      <c r="AA456" s="42" t="str">
        <f>CONFERENCIAS!AC456</f>
        <v/>
      </c>
      <c r="AB456" s="47" t="str">
        <f t="shared" si="5"/>
        <v/>
      </c>
      <c r="AC456" s="9" t="str">
        <f t="shared" si="6"/>
        <v/>
      </c>
    </row>
    <row r="457">
      <c r="A457" s="42" t="str">
        <f>CONFERENCIAS!A457</f>
        <v/>
      </c>
      <c r="D457" s="42" t="str">
        <f>CONFERENCIAS!C457</f>
        <v/>
      </c>
      <c r="E457" s="42" t="str">
        <f>CONFERENCIAS!K457</f>
        <v/>
      </c>
      <c r="F457" s="49" t="str">
        <f>CONFERENCIAS!J457</f>
        <v/>
      </c>
      <c r="G457" s="42" t="str">
        <f>CONFERENCIAS!O457</f>
        <v/>
      </c>
      <c r="H457" s="42" t="str">
        <f>CONFERENCIAS!X457</f>
        <v/>
      </c>
      <c r="I457" s="42" t="str">
        <f>CONFERENCIAS!AA457</f>
        <v/>
      </c>
      <c r="J457" s="44" t="str">
        <f>CONFERENCIAS!P457</f>
        <v/>
      </c>
      <c r="K457" s="45" t="str">
        <f>CONFERENCIAS!R457</f>
        <v/>
      </c>
      <c r="L457" s="45">
        <f>IF(D457="",0,
 IF(E457=1,
   IF(H457="Presencial",
      VLOOKUP(D457,TARIFAS!A:K,3,FALSE) + IF(I457="Sí",VLOOKUP(D457,TARIFAS!A:K,5,FALSE),0),
      VLOOKUP(D457,TARIFAS!A:K,4,FALSE) + IF(I457="Sí",VLOOKUP(D457,TARIFAS!A:K,5,FALSE),0)
   ),
   IF(H457="Presencial",
      VLOOKUP(D457,TARIFAS!A:K,9,FALSE) + IF(I457="Sí",VLOOKUP(D457,TARIFAS!A:K,11,FALSE),0),
      VLOOKUP(D457,TARIFAS!A:K,10,FALSE) + IF(I457="Sí",VLOOKUP(D457,TARIFAS!A:K,11,FALSE),0)
   )
 )
)
</f>
        <v>0</v>
      </c>
      <c r="M457" s="45">
        <f>IF(J457="",0,MAX(0,J457 - TARIFAS!G$2) * TARIFAS!F$2)
</f>
        <v>0</v>
      </c>
      <c r="N457" s="45">
        <f>+L457*TARIFAS!$K$2</f>
        <v>0</v>
      </c>
      <c r="O457" s="45">
        <f t="shared" si="1"/>
        <v>0</v>
      </c>
      <c r="P457" s="45">
        <f>+M457+O457+K457+(+I457-(I457*TARIFAS!$K$2))</f>
        <v>0</v>
      </c>
      <c r="Q457" s="42" t="str">
        <f>CONFERENCIAS!T457</f>
        <v/>
      </c>
      <c r="R457" s="45" t="str">
        <f>CONFERENCIAS!U457</f>
        <v/>
      </c>
      <c r="S457" s="45" t="str">
        <f>CONFERENCIAS!W457</f>
        <v/>
      </c>
      <c r="T457" s="48">
        <f>IF(Q457="",0,
   IF(E457=1,
      IF(H457="Presencial",
         VLOOKUP(D457,TARIFAS!A:K,3,FALSE) + IF(I457="Sí",VLOOKUP(D457,TARIFAS!A:K,5,FALSE),0),
         VLOOKUP(D457,TARIFAS!A:K,4,FALSE) + IF(I457="Sí",VLOOKUP(D457,TARIFAS!A:K,5,FALSE),0)
      ),
      IF(H457="Presencial",
         VLOOKUP(D457,TARIFAS!A:K,9,FALSE) + IF(I457="Sí",VLOOKUP(D457,TARIFAS!A:K,11,FALSE),0),
         VLOOKUP(D457,TARIFAS!A:K,10,FALSE) + IF(I457="Sí",VLOOKUP(D457,TARIFAS!A:K,11,FALSE),0)
      )
   )
)
</f>
        <v>0</v>
      </c>
      <c r="U457" s="45">
        <f>IF(R457="",0,MAX(0,R457 - TARIFAS!G$2) * TARIFAS!F$2)
</f>
        <v>0</v>
      </c>
      <c r="V457" s="45">
        <f>+T457*TARIFAS!$K$2</f>
        <v>0</v>
      </c>
      <c r="W457" s="45">
        <f t="shared" si="2"/>
        <v>0</v>
      </c>
      <c r="X457" s="45">
        <f t="shared" si="3"/>
        <v>0</v>
      </c>
      <c r="Y457" s="45">
        <f t="shared" si="4"/>
        <v>0</v>
      </c>
      <c r="Z457" s="42" t="str">
        <f>CONFERENCIAS!AB457</f>
        <v/>
      </c>
      <c r="AA457" s="42" t="str">
        <f>CONFERENCIAS!AC457</f>
        <v/>
      </c>
      <c r="AB457" s="47" t="str">
        <f t="shared" si="5"/>
        <v/>
      </c>
      <c r="AC457" s="9" t="str">
        <f t="shared" si="6"/>
        <v/>
      </c>
    </row>
    <row r="458">
      <c r="A458" s="42" t="str">
        <f>CONFERENCIAS!A458</f>
        <v/>
      </c>
      <c r="D458" s="42" t="str">
        <f>CONFERENCIAS!C458</f>
        <v/>
      </c>
      <c r="E458" s="42" t="str">
        <f>CONFERENCIAS!K458</f>
        <v/>
      </c>
      <c r="F458" s="49" t="str">
        <f>CONFERENCIAS!J458</f>
        <v/>
      </c>
      <c r="G458" s="42" t="str">
        <f>CONFERENCIAS!O458</f>
        <v/>
      </c>
      <c r="H458" s="42" t="str">
        <f>CONFERENCIAS!X458</f>
        <v/>
      </c>
      <c r="I458" s="42" t="str">
        <f>CONFERENCIAS!AA458</f>
        <v/>
      </c>
      <c r="J458" s="44" t="str">
        <f>CONFERENCIAS!P458</f>
        <v/>
      </c>
      <c r="K458" s="45" t="str">
        <f>CONFERENCIAS!R458</f>
        <v/>
      </c>
      <c r="L458" s="45">
        <f>IF(D458="",0,
 IF(E458=1,
   IF(H458="Presencial",
      VLOOKUP(D458,TARIFAS!A:K,3,FALSE) + IF(I458="Sí",VLOOKUP(D458,TARIFAS!A:K,5,FALSE),0),
      VLOOKUP(D458,TARIFAS!A:K,4,FALSE) + IF(I458="Sí",VLOOKUP(D458,TARIFAS!A:K,5,FALSE),0)
   ),
   IF(H458="Presencial",
      VLOOKUP(D458,TARIFAS!A:K,9,FALSE) + IF(I458="Sí",VLOOKUP(D458,TARIFAS!A:K,11,FALSE),0),
      VLOOKUP(D458,TARIFAS!A:K,10,FALSE) + IF(I458="Sí",VLOOKUP(D458,TARIFAS!A:K,11,FALSE),0)
   )
 )
)
</f>
        <v>0</v>
      </c>
      <c r="M458" s="45">
        <f>IF(J458="",0,MAX(0,J458 - TARIFAS!G$2) * TARIFAS!F$2)
</f>
        <v>0</v>
      </c>
      <c r="N458" s="45">
        <f>+L458*TARIFAS!$K$2</f>
        <v>0</v>
      </c>
      <c r="O458" s="45">
        <f t="shared" si="1"/>
        <v>0</v>
      </c>
      <c r="P458" s="45">
        <f>+M458+O458+K458+(+I458-(I458*TARIFAS!$K$2))</f>
        <v>0</v>
      </c>
      <c r="Q458" s="42" t="str">
        <f>CONFERENCIAS!T458</f>
        <v/>
      </c>
      <c r="R458" s="45" t="str">
        <f>CONFERENCIAS!U458</f>
        <v/>
      </c>
      <c r="S458" s="45" t="str">
        <f>CONFERENCIAS!W458</f>
        <v/>
      </c>
      <c r="T458" s="48">
        <f>IF(Q458="",0,
   IF(E458=1,
      IF(H458="Presencial",
         VLOOKUP(D458,TARIFAS!A:K,3,FALSE) + IF(I458="Sí",VLOOKUP(D458,TARIFAS!A:K,5,FALSE),0),
         VLOOKUP(D458,TARIFAS!A:K,4,FALSE) + IF(I458="Sí",VLOOKUP(D458,TARIFAS!A:K,5,FALSE),0)
      ),
      IF(H458="Presencial",
         VLOOKUP(D458,TARIFAS!A:K,9,FALSE) + IF(I458="Sí",VLOOKUP(D458,TARIFAS!A:K,11,FALSE),0),
         VLOOKUP(D458,TARIFAS!A:K,10,FALSE) + IF(I458="Sí",VLOOKUP(D458,TARIFAS!A:K,11,FALSE),0)
      )
   )
)
</f>
        <v>0</v>
      </c>
      <c r="U458" s="45">
        <f>IF(R458="",0,MAX(0,R458 - TARIFAS!G$2) * TARIFAS!F$2)
</f>
        <v>0</v>
      </c>
      <c r="V458" s="45">
        <f>+T458*TARIFAS!$K$2</f>
        <v>0</v>
      </c>
      <c r="W458" s="45">
        <f t="shared" si="2"/>
        <v>0</v>
      </c>
      <c r="X458" s="45">
        <f t="shared" si="3"/>
        <v>0</v>
      </c>
      <c r="Y458" s="45">
        <f t="shared" si="4"/>
        <v>0</v>
      </c>
      <c r="Z458" s="42" t="str">
        <f>CONFERENCIAS!AB458</f>
        <v/>
      </c>
      <c r="AA458" s="42" t="str">
        <f>CONFERENCIAS!AC458</f>
        <v/>
      </c>
      <c r="AB458" s="47" t="str">
        <f t="shared" si="5"/>
        <v/>
      </c>
      <c r="AC458" s="9" t="str">
        <f t="shared" si="6"/>
        <v/>
      </c>
    </row>
    <row r="459">
      <c r="A459" s="42" t="str">
        <f>CONFERENCIAS!A459</f>
        <v/>
      </c>
      <c r="D459" s="42" t="str">
        <f>CONFERENCIAS!C459</f>
        <v/>
      </c>
      <c r="E459" s="42" t="str">
        <f>CONFERENCIAS!K459</f>
        <v/>
      </c>
      <c r="F459" s="49" t="str">
        <f>CONFERENCIAS!J459</f>
        <v/>
      </c>
      <c r="G459" s="42" t="str">
        <f>CONFERENCIAS!O459</f>
        <v/>
      </c>
      <c r="H459" s="42" t="str">
        <f>CONFERENCIAS!X459</f>
        <v/>
      </c>
      <c r="I459" s="42" t="str">
        <f>CONFERENCIAS!AA459</f>
        <v/>
      </c>
      <c r="J459" s="44" t="str">
        <f>CONFERENCIAS!P459</f>
        <v/>
      </c>
      <c r="K459" s="45" t="str">
        <f>CONFERENCIAS!R459</f>
        <v/>
      </c>
      <c r="L459" s="45">
        <f>IF(D459="",0,
 IF(E459=1,
   IF(H459="Presencial",
      VLOOKUP(D459,TARIFAS!A:K,3,FALSE) + IF(I459="Sí",VLOOKUP(D459,TARIFAS!A:K,5,FALSE),0),
      VLOOKUP(D459,TARIFAS!A:K,4,FALSE) + IF(I459="Sí",VLOOKUP(D459,TARIFAS!A:K,5,FALSE),0)
   ),
   IF(H459="Presencial",
      VLOOKUP(D459,TARIFAS!A:K,9,FALSE) + IF(I459="Sí",VLOOKUP(D459,TARIFAS!A:K,11,FALSE),0),
      VLOOKUP(D459,TARIFAS!A:K,10,FALSE) + IF(I459="Sí",VLOOKUP(D459,TARIFAS!A:K,11,FALSE),0)
   )
 )
)
</f>
        <v>0</v>
      </c>
      <c r="M459" s="45">
        <f>IF(J459="",0,MAX(0,J459 - TARIFAS!G$2) * TARIFAS!F$2)
</f>
        <v>0</v>
      </c>
      <c r="N459" s="45">
        <f>+L459*TARIFAS!$K$2</f>
        <v>0</v>
      </c>
      <c r="O459" s="45">
        <f t="shared" si="1"/>
        <v>0</v>
      </c>
      <c r="P459" s="45">
        <f>+M459+O459+K459+(+I459-(I459*TARIFAS!$K$2))</f>
        <v>0</v>
      </c>
      <c r="Q459" s="42" t="str">
        <f>CONFERENCIAS!T459</f>
        <v/>
      </c>
      <c r="R459" s="45" t="str">
        <f>CONFERENCIAS!U459</f>
        <v/>
      </c>
      <c r="S459" s="45" t="str">
        <f>CONFERENCIAS!W459</f>
        <v/>
      </c>
      <c r="T459" s="48">
        <f>IF(Q459="",0,
   IF(E459=1,
      IF(H459="Presencial",
         VLOOKUP(D459,TARIFAS!A:K,3,FALSE) + IF(I459="Sí",VLOOKUP(D459,TARIFAS!A:K,5,FALSE),0),
         VLOOKUP(D459,TARIFAS!A:K,4,FALSE) + IF(I459="Sí",VLOOKUP(D459,TARIFAS!A:K,5,FALSE),0)
      ),
      IF(H459="Presencial",
         VLOOKUP(D459,TARIFAS!A:K,9,FALSE) + IF(I459="Sí",VLOOKUP(D459,TARIFAS!A:K,11,FALSE),0),
         VLOOKUP(D459,TARIFAS!A:K,10,FALSE) + IF(I459="Sí",VLOOKUP(D459,TARIFAS!A:K,11,FALSE),0)
      )
   )
)
</f>
        <v>0</v>
      </c>
      <c r="U459" s="45">
        <f>IF(R459="",0,MAX(0,R459 - TARIFAS!G$2) * TARIFAS!F$2)
</f>
        <v>0</v>
      </c>
      <c r="V459" s="45">
        <f>+T459*TARIFAS!$K$2</f>
        <v>0</v>
      </c>
      <c r="W459" s="45">
        <f t="shared" si="2"/>
        <v>0</v>
      </c>
      <c r="X459" s="45">
        <f t="shared" si="3"/>
        <v>0</v>
      </c>
      <c r="Y459" s="45">
        <f t="shared" si="4"/>
        <v>0</v>
      </c>
      <c r="Z459" s="42" t="str">
        <f>CONFERENCIAS!AB459</f>
        <v/>
      </c>
      <c r="AA459" s="42" t="str">
        <f>CONFERENCIAS!AC459</f>
        <v/>
      </c>
      <c r="AB459" s="47" t="str">
        <f t="shared" si="5"/>
        <v/>
      </c>
      <c r="AC459" s="9" t="str">
        <f t="shared" si="6"/>
        <v/>
      </c>
    </row>
    <row r="460">
      <c r="A460" s="42" t="str">
        <f>CONFERENCIAS!A460</f>
        <v/>
      </c>
      <c r="D460" s="42" t="str">
        <f>CONFERENCIAS!C460</f>
        <v/>
      </c>
      <c r="E460" s="42" t="str">
        <f>CONFERENCIAS!K460</f>
        <v/>
      </c>
      <c r="F460" s="49" t="str">
        <f>CONFERENCIAS!J460</f>
        <v/>
      </c>
      <c r="G460" s="42" t="str">
        <f>CONFERENCIAS!O460</f>
        <v/>
      </c>
      <c r="H460" s="42" t="str">
        <f>CONFERENCIAS!X460</f>
        <v/>
      </c>
      <c r="I460" s="42" t="str">
        <f>CONFERENCIAS!AA460</f>
        <v/>
      </c>
      <c r="J460" s="44" t="str">
        <f>CONFERENCIAS!P460</f>
        <v/>
      </c>
      <c r="K460" s="45" t="str">
        <f>CONFERENCIAS!R460</f>
        <v/>
      </c>
      <c r="L460" s="45">
        <f>IF(D460="",0,
 IF(E460=1,
   IF(H460="Presencial",
      VLOOKUP(D460,TARIFAS!A:K,3,FALSE) + IF(I460="Sí",VLOOKUP(D460,TARIFAS!A:K,5,FALSE),0),
      VLOOKUP(D460,TARIFAS!A:K,4,FALSE) + IF(I460="Sí",VLOOKUP(D460,TARIFAS!A:K,5,FALSE),0)
   ),
   IF(H460="Presencial",
      VLOOKUP(D460,TARIFAS!A:K,9,FALSE) + IF(I460="Sí",VLOOKUP(D460,TARIFAS!A:K,11,FALSE),0),
      VLOOKUP(D460,TARIFAS!A:K,10,FALSE) + IF(I460="Sí",VLOOKUP(D460,TARIFAS!A:K,11,FALSE),0)
   )
 )
)
</f>
        <v>0</v>
      </c>
      <c r="M460" s="45">
        <f>IF(J460="",0,MAX(0,J460 - TARIFAS!G$2) * TARIFAS!F$2)
</f>
        <v>0</v>
      </c>
      <c r="N460" s="45">
        <f>+L460*TARIFAS!$K$2</f>
        <v>0</v>
      </c>
      <c r="O460" s="45">
        <f t="shared" si="1"/>
        <v>0</v>
      </c>
      <c r="P460" s="45">
        <f>+M460+O460+K460+(+I460-(I460*TARIFAS!$K$2))</f>
        <v>0</v>
      </c>
      <c r="Q460" s="42" t="str">
        <f>CONFERENCIAS!T460</f>
        <v/>
      </c>
      <c r="R460" s="45" t="str">
        <f>CONFERENCIAS!U460</f>
        <v/>
      </c>
      <c r="S460" s="45" t="str">
        <f>CONFERENCIAS!W460</f>
        <v/>
      </c>
      <c r="T460" s="48">
        <f>IF(Q460="",0,
   IF(E460=1,
      IF(H460="Presencial",
         VLOOKUP(D460,TARIFAS!A:K,3,FALSE) + IF(I460="Sí",VLOOKUP(D460,TARIFAS!A:K,5,FALSE),0),
         VLOOKUP(D460,TARIFAS!A:K,4,FALSE) + IF(I460="Sí",VLOOKUP(D460,TARIFAS!A:K,5,FALSE),0)
      ),
      IF(H460="Presencial",
         VLOOKUP(D460,TARIFAS!A:K,9,FALSE) + IF(I460="Sí",VLOOKUP(D460,TARIFAS!A:K,11,FALSE),0),
         VLOOKUP(D460,TARIFAS!A:K,10,FALSE) + IF(I460="Sí",VLOOKUP(D460,TARIFAS!A:K,11,FALSE),0)
      )
   )
)
</f>
        <v>0</v>
      </c>
      <c r="U460" s="45">
        <f>IF(R460="",0,MAX(0,R460 - TARIFAS!G$2) * TARIFAS!F$2)
</f>
        <v>0</v>
      </c>
      <c r="V460" s="45">
        <f>+T460*TARIFAS!$K$2</f>
        <v>0</v>
      </c>
      <c r="W460" s="45">
        <f t="shared" si="2"/>
        <v>0</v>
      </c>
      <c r="X460" s="45">
        <f t="shared" si="3"/>
        <v>0</v>
      </c>
      <c r="Y460" s="45">
        <f t="shared" si="4"/>
        <v>0</v>
      </c>
      <c r="Z460" s="42" t="str">
        <f>CONFERENCIAS!AB460</f>
        <v/>
      </c>
      <c r="AA460" s="42" t="str">
        <f>CONFERENCIAS!AC460</f>
        <v/>
      </c>
      <c r="AB460" s="47" t="str">
        <f t="shared" si="5"/>
        <v/>
      </c>
      <c r="AC460" s="9" t="str">
        <f t="shared" si="6"/>
        <v/>
      </c>
    </row>
    <row r="461">
      <c r="A461" s="42" t="str">
        <f>CONFERENCIAS!A461</f>
        <v/>
      </c>
      <c r="D461" s="42" t="str">
        <f>CONFERENCIAS!C461</f>
        <v/>
      </c>
      <c r="E461" s="42" t="str">
        <f>CONFERENCIAS!K461</f>
        <v/>
      </c>
      <c r="F461" s="49" t="str">
        <f>CONFERENCIAS!J461</f>
        <v/>
      </c>
      <c r="G461" s="42" t="str">
        <f>CONFERENCIAS!O461</f>
        <v/>
      </c>
      <c r="H461" s="42" t="str">
        <f>CONFERENCIAS!X461</f>
        <v/>
      </c>
      <c r="I461" s="42" t="str">
        <f>CONFERENCIAS!AA461</f>
        <v/>
      </c>
      <c r="J461" s="44" t="str">
        <f>CONFERENCIAS!P461</f>
        <v/>
      </c>
      <c r="K461" s="45" t="str">
        <f>CONFERENCIAS!R461</f>
        <v/>
      </c>
      <c r="L461" s="45">
        <f>IF(D461="",0,
 IF(E461=1,
   IF(H461="Presencial",
      VLOOKUP(D461,TARIFAS!A:K,3,FALSE) + IF(I461="Sí",VLOOKUP(D461,TARIFAS!A:K,5,FALSE),0),
      VLOOKUP(D461,TARIFAS!A:K,4,FALSE) + IF(I461="Sí",VLOOKUP(D461,TARIFAS!A:K,5,FALSE),0)
   ),
   IF(H461="Presencial",
      VLOOKUP(D461,TARIFAS!A:K,9,FALSE) + IF(I461="Sí",VLOOKUP(D461,TARIFAS!A:K,11,FALSE),0),
      VLOOKUP(D461,TARIFAS!A:K,10,FALSE) + IF(I461="Sí",VLOOKUP(D461,TARIFAS!A:K,11,FALSE),0)
   )
 )
)
</f>
        <v>0</v>
      </c>
      <c r="M461" s="45">
        <f>IF(J461="",0,MAX(0,J461 - TARIFAS!G$2) * TARIFAS!F$2)
</f>
        <v>0</v>
      </c>
      <c r="N461" s="45">
        <f>+L461*TARIFAS!$K$2</f>
        <v>0</v>
      </c>
      <c r="O461" s="45">
        <f t="shared" si="1"/>
        <v>0</v>
      </c>
      <c r="P461" s="45">
        <f>+M461+O461+K461+(+I461-(I461*TARIFAS!$K$2))</f>
        <v>0</v>
      </c>
      <c r="Q461" s="42" t="str">
        <f>CONFERENCIAS!T461</f>
        <v/>
      </c>
      <c r="R461" s="45" t="str">
        <f>CONFERENCIAS!U461</f>
        <v/>
      </c>
      <c r="S461" s="45" t="str">
        <f>CONFERENCIAS!W461</f>
        <v/>
      </c>
      <c r="T461" s="48">
        <f>IF(Q461="",0,
   IF(E461=1,
      IF(H461="Presencial",
         VLOOKUP(D461,TARIFAS!A:K,3,FALSE) + IF(I461="Sí",VLOOKUP(D461,TARIFAS!A:K,5,FALSE),0),
         VLOOKUP(D461,TARIFAS!A:K,4,FALSE) + IF(I461="Sí",VLOOKUP(D461,TARIFAS!A:K,5,FALSE),0)
      ),
      IF(H461="Presencial",
         VLOOKUP(D461,TARIFAS!A:K,9,FALSE) + IF(I461="Sí",VLOOKUP(D461,TARIFAS!A:K,11,FALSE),0),
         VLOOKUP(D461,TARIFAS!A:K,10,FALSE) + IF(I461="Sí",VLOOKUP(D461,TARIFAS!A:K,11,FALSE),0)
      )
   )
)
</f>
        <v>0</v>
      </c>
      <c r="U461" s="45">
        <f>IF(R461="",0,MAX(0,R461 - TARIFAS!G$2) * TARIFAS!F$2)
</f>
        <v>0</v>
      </c>
      <c r="V461" s="45">
        <f>+T461*TARIFAS!$K$2</f>
        <v>0</v>
      </c>
      <c r="W461" s="45">
        <f t="shared" si="2"/>
        <v>0</v>
      </c>
      <c r="X461" s="45">
        <f t="shared" si="3"/>
        <v>0</v>
      </c>
      <c r="Y461" s="45">
        <f t="shared" si="4"/>
        <v>0</v>
      </c>
      <c r="Z461" s="42" t="str">
        <f>CONFERENCIAS!AB461</f>
        <v/>
      </c>
      <c r="AA461" s="42" t="str">
        <f>CONFERENCIAS!AC461</f>
        <v/>
      </c>
      <c r="AB461" s="47" t="str">
        <f t="shared" si="5"/>
        <v/>
      </c>
      <c r="AC461" s="9" t="str">
        <f t="shared" si="6"/>
        <v/>
      </c>
    </row>
    <row r="462">
      <c r="A462" s="42" t="str">
        <f>CONFERENCIAS!A462</f>
        <v/>
      </c>
      <c r="D462" s="42" t="str">
        <f>CONFERENCIAS!C462</f>
        <v/>
      </c>
      <c r="E462" s="42" t="str">
        <f>CONFERENCIAS!K462</f>
        <v/>
      </c>
      <c r="F462" s="49" t="str">
        <f>CONFERENCIAS!J462</f>
        <v/>
      </c>
      <c r="G462" s="42" t="str">
        <f>CONFERENCIAS!O462</f>
        <v/>
      </c>
      <c r="H462" s="42" t="str">
        <f>CONFERENCIAS!X462</f>
        <v/>
      </c>
      <c r="I462" s="42" t="str">
        <f>CONFERENCIAS!AA462</f>
        <v/>
      </c>
      <c r="J462" s="44" t="str">
        <f>CONFERENCIAS!P462</f>
        <v/>
      </c>
      <c r="K462" s="45" t="str">
        <f>CONFERENCIAS!R462</f>
        <v/>
      </c>
      <c r="L462" s="45">
        <f>IF(D462="",0,
 IF(E462=1,
   IF(H462="Presencial",
      VLOOKUP(D462,TARIFAS!A:K,3,FALSE) + IF(I462="Sí",VLOOKUP(D462,TARIFAS!A:K,5,FALSE),0),
      VLOOKUP(D462,TARIFAS!A:K,4,FALSE) + IF(I462="Sí",VLOOKUP(D462,TARIFAS!A:K,5,FALSE),0)
   ),
   IF(H462="Presencial",
      VLOOKUP(D462,TARIFAS!A:K,9,FALSE) + IF(I462="Sí",VLOOKUP(D462,TARIFAS!A:K,11,FALSE),0),
      VLOOKUP(D462,TARIFAS!A:K,10,FALSE) + IF(I462="Sí",VLOOKUP(D462,TARIFAS!A:K,11,FALSE),0)
   )
 )
)
</f>
        <v>0</v>
      </c>
      <c r="M462" s="45">
        <f>IF(J462="",0,MAX(0,J462 - TARIFAS!G$2) * TARIFAS!F$2)
</f>
        <v>0</v>
      </c>
      <c r="N462" s="45">
        <f>+L462*TARIFAS!$K$2</f>
        <v>0</v>
      </c>
      <c r="O462" s="45">
        <f t="shared" si="1"/>
        <v>0</v>
      </c>
      <c r="P462" s="45">
        <f>+M462+O462+K462+(+I462-(I462*TARIFAS!$K$2))</f>
        <v>0</v>
      </c>
      <c r="Q462" s="42" t="str">
        <f>CONFERENCIAS!T462</f>
        <v/>
      </c>
      <c r="R462" s="45" t="str">
        <f>CONFERENCIAS!U462</f>
        <v/>
      </c>
      <c r="S462" s="45" t="str">
        <f>CONFERENCIAS!W462</f>
        <v/>
      </c>
      <c r="T462" s="48">
        <f>IF(Q462="",0,
   IF(E462=1,
      IF(H462="Presencial",
         VLOOKUP(D462,TARIFAS!A:K,3,FALSE) + IF(I462="Sí",VLOOKUP(D462,TARIFAS!A:K,5,FALSE),0),
         VLOOKUP(D462,TARIFAS!A:K,4,FALSE) + IF(I462="Sí",VLOOKUP(D462,TARIFAS!A:K,5,FALSE),0)
      ),
      IF(H462="Presencial",
         VLOOKUP(D462,TARIFAS!A:K,9,FALSE) + IF(I462="Sí",VLOOKUP(D462,TARIFAS!A:K,11,FALSE),0),
         VLOOKUP(D462,TARIFAS!A:K,10,FALSE) + IF(I462="Sí",VLOOKUP(D462,TARIFAS!A:K,11,FALSE),0)
      )
   )
)
</f>
        <v>0</v>
      </c>
      <c r="U462" s="45">
        <f>IF(R462="",0,MAX(0,R462 - TARIFAS!G$2) * TARIFAS!F$2)
</f>
        <v>0</v>
      </c>
      <c r="V462" s="45">
        <f>+T462*TARIFAS!$K$2</f>
        <v>0</v>
      </c>
      <c r="W462" s="45">
        <f t="shared" si="2"/>
        <v>0</v>
      </c>
      <c r="X462" s="45">
        <f t="shared" si="3"/>
        <v>0</v>
      </c>
      <c r="Y462" s="45">
        <f t="shared" si="4"/>
        <v>0</v>
      </c>
      <c r="Z462" s="42" t="str">
        <f>CONFERENCIAS!AB462</f>
        <v/>
      </c>
      <c r="AA462" s="42" t="str">
        <f>CONFERENCIAS!AC462</f>
        <v/>
      </c>
      <c r="AB462" s="47" t="str">
        <f t="shared" si="5"/>
        <v/>
      </c>
      <c r="AC462" s="9" t="str">
        <f t="shared" si="6"/>
        <v/>
      </c>
    </row>
    <row r="463">
      <c r="A463" s="42" t="str">
        <f>CONFERENCIAS!A463</f>
        <v/>
      </c>
      <c r="D463" s="42" t="str">
        <f>CONFERENCIAS!C463</f>
        <v/>
      </c>
      <c r="E463" s="42" t="str">
        <f>CONFERENCIAS!K463</f>
        <v/>
      </c>
      <c r="F463" s="49" t="str">
        <f>CONFERENCIAS!J463</f>
        <v/>
      </c>
      <c r="G463" s="42" t="str">
        <f>CONFERENCIAS!O463</f>
        <v/>
      </c>
      <c r="H463" s="42" t="str">
        <f>CONFERENCIAS!X463</f>
        <v/>
      </c>
      <c r="I463" s="42" t="str">
        <f>CONFERENCIAS!AA463</f>
        <v/>
      </c>
      <c r="J463" s="44" t="str">
        <f>CONFERENCIAS!P463</f>
        <v/>
      </c>
      <c r="K463" s="45" t="str">
        <f>CONFERENCIAS!R463</f>
        <v/>
      </c>
      <c r="L463" s="45">
        <f>IF(D463="",0,
 IF(E463=1,
   IF(H463="Presencial",
      VLOOKUP(D463,TARIFAS!A:K,3,FALSE) + IF(I463="Sí",VLOOKUP(D463,TARIFAS!A:K,5,FALSE),0),
      VLOOKUP(D463,TARIFAS!A:K,4,FALSE) + IF(I463="Sí",VLOOKUP(D463,TARIFAS!A:K,5,FALSE),0)
   ),
   IF(H463="Presencial",
      VLOOKUP(D463,TARIFAS!A:K,9,FALSE) + IF(I463="Sí",VLOOKUP(D463,TARIFAS!A:K,11,FALSE),0),
      VLOOKUP(D463,TARIFAS!A:K,10,FALSE) + IF(I463="Sí",VLOOKUP(D463,TARIFAS!A:K,11,FALSE),0)
   )
 )
)
</f>
        <v>0</v>
      </c>
      <c r="M463" s="45">
        <f>IF(J463="",0,MAX(0,J463 - TARIFAS!G$2) * TARIFAS!F$2)
</f>
        <v>0</v>
      </c>
      <c r="N463" s="45">
        <f>+L463*TARIFAS!$K$2</f>
        <v>0</v>
      </c>
      <c r="O463" s="45">
        <f t="shared" si="1"/>
        <v>0</v>
      </c>
      <c r="P463" s="45">
        <f>+M463+O463+K463+(+I463-(I463*TARIFAS!$K$2))</f>
        <v>0</v>
      </c>
      <c r="Q463" s="42" t="str">
        <f>CONFERENCIAS!T463</f>
        <v/>
      </c>
      <c r="R463" s="45" t="str">
        <f>CONFERENCIAS!U463</f>
        <v/>
      </c>
      <c r="S463" s="45" t="str">
        <f>CONFERENCIAS!W463</f>
        <v/>
      </c>
      <c r="T463" s="48">
        <f>IF(Q463="",0,
   IF(E463=1,
      IF(H463="Presencial",
         VLOOKUP(D463,TARIFAS!A:K,3,FALSE) + IF(I463="Sí",VLOOKUP(D463,TARIFAS!A:K,5,FALSE),0),
         VLOOKUP(D463,TARIFAS!A:K,4,FALSE) + IF(I463="Sí",VLOOKUP(D463,TARIFAS!A:K,5,FALSE),0)
      ),
      IF(H463="Presencial",
         VLOOKUP(D463,TARIFAS!A:K,9,FALSE) + IF(I463="Sí",VLOOKUP(D463,TARIFAS!A:K,11,FALSE),0),
         VLOOKUP(D463,TARIFAS!A:K,10,FALSE) + IF(I463="Sí",VLOOKUP(D463,TARIFAS!A:K,11,FALSE),0)
      )
   )
)
</f>
        <v>0</v>
      </c>
      <c r="U463" s="45">
        <f>IF(R463="",0,MAX(0,R463 - TARIFAS!G$2) * TARIFAS!F$2)
</f>
        <v>0</v>
      </c>
      <c r="V463" s="45">
        <f>+T463*TARIFAS!$K$2</f>
        <v>0</v>
      </c>
      <c r="W463" s="45">
        <f t="shared" si="2"/>
        <v>0</v>
      </c>
      <c r="X463" s="45">
        <f t="shared" si="3"/>
        <v>0</v>
      </c>
      <c r="Y463" s="45">
        <f t="shared" si="4"/>
        <v>0</v>
      </c>
      <c r="Z463" s="42" t="str">
        <f>CONFERENCIAS!AB463</f>
        <v/>
      </c>
      <c r="AA463" s="42" t="str">
        <f>CONFERENCIAS!AC463</f>
        <v/>
      </c>
      <c r="AB463" s="47" t="str">
        <f t="shared" si="5"/>
        <v/>
      </c>
      <c r="AC463" s="9" t="str">
        <f t="shared" si="6"/>
        <v/>
      </c>
    </row>
    <row r="464">
      <c r="A464" s="42" t="str">
        <f>CONFERENCIAS!A464</f>
        <v/>
      </c>
      <c r="D464" s="42" t="str">
        <f>CONFERENCIAS!C464</f>
        <v/>
      </c>
      <c r="E464" s="42" t="str">
        <f>CONFERENCIAS!K464</f>
        <v/>
      </c>
      <c r="F464" s="49" t="str">
        <f>CONFERENCIAS!J464</f>
        <v/>
      </c>
      <c r="G464" s="42" t="str">
        <f>CONFERENCIAS!O464</f>
        <v/>
      </c>
      <c r="H464" s="42" t="str">
        <f>CONFERENCIAS!X464</f>
        <v/>
      </c>
      <c r="I464" s="42" t="str">
        <f>CONFERENCIAS!AA464</f>
        <v/>
      </c>
      <c r="J464" s="44" t="str">
        <f>CONFERENCIAS!P464</f>
        <v/>
      </c>
      <c r="K464" s="45" t="str">
        <f>CONFERENCIAS!R464</f>
        <v/>
      </c>
      <c r="L464" s="45">
        <f>IF(D464="",0,
 IF(E464=1,
   IF(H464="Presencial",
      VLOOKUP(D464,TARIFAS!A:K,3,FALSE) + IF(I464="Sí",VLOOKUP(D464,TARIFAS!A:K,5,FALSE),0),
      VLOOKUP(D464,TARIFAS!A:K,4,FALSE) + IF(I464="Sí",VLOOKUP(D464,TARIFAS!A:K,5,FALSE),0)
   ),
   IF(H464="Presencial",
      VLOOKUP(D464,TARIFAS!A:K,9,FALSE) + IF(I464="Sí",VLOOKUP(D464,TARIFAS!A:K,11,FALSE),0),
      VLOOKUP(D464,TARIFAS!A:K,10,FALSE) + IF(I464="Sí",VLOOKUP(D464,TARIFAS!A:K,11,FALSE),0)
   )
 )
)
</f>
        <v>0</v>
      </c>
      <c r="M464" s="45">
        <f>IF(J464="",0,MAX(0,J464 - TARIFAS!G$2) * TARIFAS!F$2)
</f>
        <v>0</v>
      </c>
      <c r="N464" s="45">
        <f>+L464*TARIFAS!$K$2</f>
        <v>0</v>
      </c>
      <c r="O464" s="45">
        <f t="shared" si="1"/>
        <v>0</v>
      </c>
      <c r="P464" s="45">
        <f>+M464+O464+K464+(+I464-(I464*TARIFAS!$K$2))</f>
        <v>0</v>
      </c>
      <c r="Q464" s="42" t="str">
        <f>CONFERENCIAS!T464</f>
        <v/>
      </c>
      <c r="R464" s="45" t="str">
        <f>CONFERENCIAS!U464</f>
        <v/>
      </c>
      <c r="S464" s="45" t="str">
        <f>CONFERENCIAS!W464</f>
        <v/>
      </c>
      <c r="T464" s="48">
        <f>IF(Q464="",0,
   IF(E464=1,
      IF(H464="Presencial",
         VLOOKUP(D464,TARIFAS!A:K,3,FALSE) + IF(I464="Sí",VLOOKUP(D464,TARIFAS!A:K,5,FALSE),0),
         VLOOKUP(D464,TARIFAS!A:K,4,FALSE) + IF(I464="Sí",VLOOKUP(D464,TARIFAS!A:K,5,FALSE),0)
      ),
      IF(H464="Presencial",
         VLOOKUP(D464,TARIFAS!A:K,9,FALSE) + IF(I464="Sí",VLOOKUP(D464,TARIFAS!A:K,11,FALSE),0),
         VLOOKUP(D464,TARIFAS!A:K,10,FALSE) + IF(I464="Sí",VLOOKUP(D464,TARIFAS!A:K,11,FALSE),0)
      )
   )
)
</f>
        <v>0</v>
      </c>
      <c r="U464" s="45">
        <f>IF(R464="",0,MAX(0,R464 - TARIFAS!G$2) * TARIFAS!F$2)
</f>
        <v>0</v>
      </c>
      <c r="V464" s="45">
        <f>+T464*TARIFAS!$K$2</f>
        <v>0</v>
      </c>
      <c r="W464" s="45">
        <f t="shared" si="2"/>
        <v>0</v>
      </c>
      <c r="X464" s="45">
        <f t="shared" si="3"/>
        <v>0</v>
      </c>
      <c r="Y464" s="45">
        <f t="shared" si="4"/>
        <v>0</v>
      </c>
      <c r="Z464" s="42" t="str">
        <f>CONFERENCIAS!AB464</f>
        <v/>
      </c>
      <c r="AA464" s="42" t="str">
        <f>CONFERENCIAS!AC464</f>
        <v/>
      </c>
      <c r="AB464" s="47" t="str">
        <f t="shared" si="5"/>
        <v/>
      </c>
      <c r="AC464" s="9" t="str">
        <f t="shared" si="6"/>
        <v/>
      </c>
    </row>
    <row r="465">
      <c r="A465" s="42" t="str">
        <f>CONFERENCIAS!A465</f>
        <v/>
      </c>
      <c r="D465" s="42" t="str">
        <f>CONFERENCIAS!C465</f>
        <v/>
      </c>
      <c r="E465" s="42" t="str">
        <f>CONFERENCIAS!K465</f>
        <v/>
      </c>
      <c r="F465" s="49" t="str">
        <f>CONFERENCIAS!J465</f>
        <v/>
      </c>
      <c r="G465" s="42" t="str">
        <f>CONFERENCIAS!O465</f>
        <v/>
      </c>
      <c r="H465" s="42" t="str">
        <f>CONFERENCIAS!X465</f>
        <v/>
      </c>
      <c r="I465" s="42" t="str">
        <f>CONFERENCIAS!AA465</f>
        <v/>
      </c>
      <c r="J465" s="44" t="str">
        <f>CONFERENCIAS!P465</f>
        <v/>
      </c>
      <c r="K465" s="45" t="str">
        <f>CONFERENCIAS!R465</f>
        <v/>
      </c>
      <c r="L465" s="45">
        <f>IF(D465="",0,
 IF(E465=1,
   IF(H465="Presencial",
      VLOOKUP(D465,TARIFAS!A:K,3,FALSE) + IF(I465="Sí",VLOOKUP(D465,TARIFAS!A:K,5,FALSE),0),
      VLOOKUP(D465,TARIFAS!A:K,4,FALSE) + IF(I465="Sí",VLOOKUP(D465,TARIFAS!A:K,5,FALSE),0)
   ),
   IF(H465="Presencial",
      VLOOKUP(D465,TARIFAS!A:K,9,FALSE) + IF(I465="Sí",VLOOKUP(D465,TARIFAS!A:K,11,FALSE),0),
      VLOOKUP(D465,TARIFAS!A:K,10,FALSE) + IF(I465="Sí",VLOOKUP(D465,TARIFAS!A:K,11,FALSE),0)
   )
 )
)
</f>
        <v>0</v>
      </c>
      <c r="M465" s="45">
        <f>IF(J465="",0,MAX(0,J465 - TARIFAS!G$2) * TARIFAS!F$2)
</f>
        <v>0</v>
      </c>
      <c r="N465" s="45">
        <f>+L465*TARIFAS!$K$2</f>
        <v>0</v>
      </c>
      <c r="O465" s="45">
        <f t="shared" si="1"/>
        <v>0</v>
      </c>
      <c r="P465" s="45">
        <f>+M465+O465+K465+(+I465-(I465*TARIFAS!$K$2))</f>
        <v>0</v>
      </c>
      <c r="Q465" s="42" t="str">
        <f>CONFERENCIAS!T465</f>
        <v/>
      </c>
      <c r="R465" s="45" t="str">
        <f>CONFERENCIAS!U465</f>
        <v/>
      </c>
      <c r="S465" s="45" t="str">
        <f>CONFERENCIAS!W465</f>
        <v/>
      </c>
      <c r="T465" s="48">
        <f>IF(Q465="",0,
   IF(E465=1,
      IF(H465="Presencial",
         VLOOKUP(D465,TARIFAS!A:K,3,FALSE) + IF(I465="Sí",VLOOKUP(D465,TARIFAS!A:K,5,FALSE),0),
         VLOOKUP(D465,TARIFAS!A:K,4,FALSE) + IF(I465="Sí",VLOOKUP(D465,TARIFAS!A:K,5,FALSE),0)
      ),
      IF(H465="Presencial",
         VLOOKUP(D465,TARIFAS!A:K,9,FALSE) + IF(I465="Sí",VLOOKUP(D465,TARIFAS!A:K,11,FALSE),0),
         VLOOKUP(D465,TARIFAS!A:K,10,FALSE) + IF(I465="Sí",VLOOKUP(D465,TARIFAS!A:K,11,FALSE),0)
      )
   )
)
</f>
        <v>0</v>
      </c>
      <c r="U465" s="45">
        <f>IF(R465="",0,MAX(0,R465 - TARIFAS!G$2) * TARIFAS!F$2)
</f>
        <v>0</v>
      </c>
      <c r="V465" s="45">
        <f>+T465*TARIFAS!$K$2</f>
        <v>0</v>
      </c>
      <c r="W465" s="45">
        <f t="shared" si="2"/>
        <v>0</v>
      </c>
      <c r="X465" s="45">
        <f t="shared" si="3"/>
        <v>0</v>
      </c>
      <c r="Y465" s="45">
        <f t="shared" si="4"/>
        <v>0</v>
      </c>
      <c r="Z465" s="42" t="str">
        <f>CONFERENCIAS!AB465</f>
        <v/>
      </c>
      <c r="AA465" s="42" t="str">
        <f>CONFERENCIAS!AC465</f>
        <v/>
      </c>
      <c r="AB465" s="47" t="str">
        <f t="shared" si="5"/>
        <v/>
      </c>
      <c r="AC465" s="9" t="str">
        <f t="shared" si="6"/>
        <v/>
      </c>
    </row>
    <row r="466">
      <c r="A466" s="42" t="str">
        <f>CONFERENCIAS!A466</f>
        <v/>
      </c>
      <c r="D466" s="42" t="str">
        <f>CONFERENCIAS!C466</f>
        <v/>
      </c>
      <c r="E466" s="42" t="str">
        <f>CONFERENCIAS!K466</f>
        <v/>
      </c>
      <c r="F466" s="49" t="str">
        <f>CONFERENCIAS!J466</f>
        <v/>
      </c>
      <c r="G466" s="42" t="str">
        <f>CONFERENCIAS!O466</f>
        <v/>
      </c>
      <c r="H466" s="42" t="str">
        <f>CONFERENCIAS!X466</f>
        <v/>
      </c>
      <c r="I466" s="42" t="str">
        <f>CONFERENCIAS!AA466</f>
        <v/>
      </c>
      <c r="J466" s="44" t="str">
        <f>CONFERENCIAS!P466</f>
        <v/>
      </c>
      <c r="K466" s="45" t="str">
        <f>CONFERENCIAS!R466</f>
        <v/>
      </c>
      <c r="L466" s="45">
        <f>IF(D466="",0,
 IF(E466=1,
   IF(H466="Presencial",
      VLOOKUP(D466,TARIFAS!A:K,3,FALSE) + IF(I466="Sí",VLOOKUP(D466,TARIFAS!A:K,5,FALSE),0),
      VLOOKUP(D466,TARIFAS!A:K,4,FALSE) + IF(I466="Sí",VLOOKUP(D466,TARIFAS!A:K,5,FALSE),0)
   ),
   IF(H466="Presencial",
      VLOOKUP(D466,TARIFAS!A:K,9,FALSE) + IF(I466="Sí",VLOOKUP(D466,TARIFAS!A:K,11,FALSE),0),
      VLOOKUP(D466,TARIFAS!A:K,10,FALSE) + IF(I466="Sí",VLOOKUP(D466,TARIFAS!A:K,11,FALSE),0)
   )
 )
)
</f>
        <v>0</v>
      </c>
      <c r="M466" s="45">
        <f>IF(J466="",0,MAX(0,J466 - TARIFAS!G$2) * TARIFAS!F$2)
</f>
        <v>0</v>
      </c>
      <c r="N466" s="45">
        <f>+L466*TARIFAS!$K$2</f>
        <v>0</v>
      </c>
      <c r="O466" s="45">
        <f t="shared" si="1"/>
        <v>0</v>
      </c>
      <c r="P466" s="45">
        <f>+M466+O466+K466+(+I466-(I466*TARIFAS!$K$2))</f>
        <v>0</v>
      </c>
      <c r="Q466" s="42" t="str">
        <f>CONFERENCIAS!T466</f>
        <v/>
      </c>
      <c r="R466" s="45" t="str">
        <f>CONFERENCIAS!U466</f>
        <v/>
      </c>
      <c r="S466" s="45" t="str">
        <f>CONFERENCIAS!W466</f>
        <v/>
      </c>
      <c r="T466" s="48">
        <f>IF(Q466="",0,
   IF(E466=1,
      IF(H466="Presencial",
         VLOOKUP(D466,TARIFAS!A:K,3,FALSE) + IF(I466="Sí",VLOOKUP(D466,TARIFAS!A:K,5,FALSE),0),
         VLOOKUP(D466,TARIFAS!A:K,4,FALSE) + IF(I466="Sí",VLOOKUP(D466,TARIFAS!A:K,5,FALSE),0)
      ),
      IF(H466="Presencial",
         VLOOKUP(D466,TARIFAS!A:K,9,FALSE) + IF(I466="Sí",VLOOKUP(D466,TARIFAS!A:K,11,FALSE),0),
         VLOOKUP(D466,TARIFAS!A:K,10,FALSE) + IF(I466="Sí",VLOOKUP(D466,TARIFAS!A:K,11,FALSE),0)
      )
   )
)
</f>
        <v>0</v>
      </c>
      <c r="U466" s="45">
        <f>IF(R466="",0,MAX(0,R466 - TARIFAS!G$2) * TARIFAS!F$2)
</f>
        <v>0</v>
      </c>
      <c r="V466" s="45">
        <f>+T466*TARIFAS!$K$2</f>
        <v>0</v>
      </c>
      <c r="W466" s="45">
        <f t="shared" si="2"/>
        <v>0</v>
      </c>
      <c r="X466" s="45">
        <f t="shared" si="3"/>
        <v>0</v>
      </c>
      <c r="Y466" s="45">
        <f t="shared" si="4"/>
        <v>0</v>
      </c>
      <c r="Z466" s="42" t="str">
        <f>CONFERENCIAS!AB466</f>
        <v/>
      </c>
      <c r="AA466" s="42" t="str">
        <f>CONFERENCIAS!AC466</f>
        <v/>
      </c>
      <c r="AB466" s="47" t="str">
        <f t="shared" si="5"/>
        <v/>
      </c>
      <c r="AC466" s="9" t="str">
        <f t="shared" si="6"/>
        <v/>
      </c>
    </row>
    <row r="467">
      <c r="A467" s="42" t="str">
        <f>CONFERENCIAS!A467</f>
        <v/>
      </c>
      <c r="D467" s="42" t="str">
        <f>CONFERENCIAS!C467</f>
        <v/>
      </c>
      <c r="E467" s="42" t="str">
        <f>CONFERENCIAS!K467</f>
        <v/>
      </c>
      <c r="F467" s="49" t="str">
        <f>CONFERENCIAS!J467</f>
        <v/>
      </c>
      <c r="G467" s="42" t="str">
        <f>CONFERENCIAS!O467</f>
        <v/>
      </c>
      <c r="H467" s="42" t="str">
        <f>CONFERENCIAS!X467</f>
        <v/>
      </c>
      <c r="I467" s="42" t="str">
        <f>CONFERENCIAS!AA467</f>
        <v/>
      </c>
      <c r="J467" s="44" t="str">
        <f>CONFERENCIAS!P467</f>
        <v/>
      </c>
      <c r="K467" s="45" t="str">
        <f>CONFERENCIAS!R467</f>
        <v/>
      </c>
      <c r="L467" s="45">
        <f>IF(D467="",0,
 IF(E467=1,
   IF(H467="Presencial",
      VLOOKUP(D467,TARIFAS!A:K,3,FALSE) + IF(I467="Sí",VLOOKUP(D467,TARIFAS!A:K,5,FALSE),0),
      VLOOKUP(D467,TARIFAS!A:K,4,FALSE) + IF(I467="Sí",VLOOKUP(D467,TARIFAS!A:K,5,FALSE),0)
   ),
   IF(H467="Presencial",
      VLOOKUP(D467,TARIFAS!A:K,9,FALSE) + IF(I467="Sí",VLOOKUP(D467,TARIFAS!A:K,11,FALSE),0),
      VLOOKUP(D467,TARIFAS!A:K,10,FALSE) + IF(I467="Sí",VLOOKUP(D467,TARIFAS!A:K,11,FALSE),0)
   )
 )
)
</f>
        <v>0</v>
      </c>
      <c r="M467" s="45">
        <f>IF(J467="",0,MAX(0,J467 - TARIFAS!G$2) * TARIFAS!F$2)
</f>
        <v>0</v>
      </c>
      <c r="N467" s="45">
        <f>+L467*TARIFAS!$K$2</f>
        <v>0</v>
      </c>
      <c r="O467" s="45">
        <f t="shared" si="1"/>
        <v>0</v>
      </c>
      <c r="P467" s="45">
        <f>+M467+O467+K467+(+I467-(I467*TARIFAS!$K$2))</f>
        <v>0</v>
      </c>
      <c r="Q467" s="42" t="str">
        <f>CONFERENCIAS!T467</f>
        <v/>
      </c>
      <c r="R467" s="45" t="str">
        <f>CONFERENCIAS!U467</f>
        <v/>
      </c>
      <c r="S467" s="45" t="str">
        <f>CONFERENCIAS!W467</f>
        <v/>
      </c>
      <c r="T467" s="48">
        <f>IF(Q467="",0,
   IF(E467=1,
      IF(H467="Presencial",
         VLOOKUP(D467,TARIFAS!A:K,3,FALSE) + IF(I467="Sí",VLOOKUP(D467,TARIFAS!A:K,5,FALSE),0),
         VLOOKUP(D467,TARIFAS!A:K,4,FALSE) + IF(I467="Sí",VLOOKUP(D467,TARIFAS!A:K,5,FALSE),0)
      ),
      IF(H467="Presencial",
         VLOOKUP(D467,TARIFAS!A:K,9,FALSE) + IF(I467="Sí",VLOOKUP(D467,TARIFAS!A:K,11,FALSE),0),
         VLOOKUP(D467,TARIFAS!A:K,10,FALSE) + IF(I467="Sí",VLOOKUP(D467,TARIFAS!A:K,11,FALSE),0)
      )
   )
)
</f>
        <v>0</v>
      </c>
      <c r="U467" s="45">
        <f>IF(R467="",0,MAX(0,R467 - TARIFAS!G$2) * TARIFAS!F$2)
</f>
        <v>0</v>
      </c>
      <c r="V467" s="45">
        <f>+T467*TARIFAS!$K$2</f>
        <v>0</v>
      </c>
      <c r="W467" s="45">
        <f t="shared" si="2"/>
        <v>0</v>
      </c>
      <c r="X467" s="45">
        <f t="shared" si="3"/>
        <v>0</v>
      </c>
      <c r="Y467" s="45">
        <f t="shared" si="4"/>
        <v>0</v>
      </c>
      <c r="Z467" s="42" t="str">
        <f>CONFERENCIAS!AB467</f>
        <v/>
      </c>
      <c r="AA467" s="42" t="str">
        <f>CONFERENCIAS!AC467</f>
        <v/>
      </c>
      <c r="AB467" s="47" t="str">
        <f t="shared" si="5"/>
        <v/>
      </c>
      <c r="AC467" s="9" t="str">
        <f t="shared" si="6"/>
        <v/>
      </c>
    </row>
    <row r="468">
      <c r="A468" s="42" t="str">
        <f>CONFERENCIAS!A468</f>
        <v/>
      </c>
      <c r="D468" s="42" t="str">
        <f>CONFERENCIAS!C468</f>
        <v/>
      </c>
      <c r="E468" s="42" t="str">
        <f>CONFERENCIAS!K468</f>
        <v/>
      </c>
      <c r="F468" s="49" t="str">
        <f>CONFERENCIAS!J468</f>
        <v/>
      </c>
      <c r="G468" s="42" t="str">
        <f>CONFERENCIAS!O468</f>
        <v/>
      </c>
      <c r="H468" s="42" t="str">
        <f>CONFERENCIAS!X468</f>
        <v/>
      </c>
      <c r="I468" s="42" t="str">
        <f>CONFERENCIAS!AA468</f>
        <v/>
      </c>
      <c r="J468" s="44" t="str">
        <f>CONFERENCIAS!P468</f>
        <v/>
      </c>
      <c r="K468" s="45" t="str">
        <f>CONFERENCIAS!R468</f>
        <v/>
      </c>
      <c r="L468" s="45">
        <f>IF(D468="",0,
 IF(E468=1,
   IF(H468="Presencial",
      VLOOKUP(D468,TARIFAS!A:K,3,FALSE) + IF(I468="Sí",VLOOKUP(D468,TARIFAS!A:K,5,FALSE),0),
      VLOOKUP(D468,TARIFAS!A:K,4,FALSE) + IF(I468="Sí",VLOOKUP(D468,TARIFAS!A:K,5,FALSE),0)
   ),
   IF(H468="Presencial",
      VLOOKUP(D468,TARIFAS!A:K,9,FALSE) + IF(I468="Sí",VLOOKUP(D468,TARIFAS!A:K,11,FALSE),0),
      VLOOKUP(D468,TARIFAS!A:K,10,FALSE) + IF(I468="Sí",VLOOKUP(D468,TARIFAS!A:K,11,FALSE),0)
   )
 )
)
</f>
        <v>0</v>
      </c>
      <c r="M468" s="45">
        <f>IF(J468="",0,MAX(0,J468 - TARIFAS!G$2) * TARIFAS!F$2)
</f>
        <v>0</v>
      </c>
      <c r="N468" s="45">
        <f>+L468*TARIFAS!$K$2</f>
        <v>0</v>
      </c>
      <c r="O468" s="45">
        <f t="shared" si="1"/>
        <v>0</v>
      </c>
      <c r="P468" s="45">
        <f>+M468+O468+K468+(+I468-(I468*TARIFAS!$K$2))</f>
        <v>0</v>
      </c>
      <c r="Q468" s="42" t="str">
        <f>CONFERENCIAS!T468</f>
        <v/>
      </c>
      <c r="R468" s="45" t="str">
        <f>CONFERENCIAS!U468</f>
        <v/>
      </c>
      <c r="S468" s="45" t="str">
        <f>CONFERENCIAS!W468</f>
        <v/>
      </c>
      <c r="T468" s="48">
        <f>IF(Q468="",0,
   IF(E468=1,
      IF(H468="Presencial",
         VLOOKUP(D468,TARIFAS!A:K,3,FALSE) + IF(I468="Sí",VLOOKUP(D468,TARIFAS!A:K,5,FALSE),0),
         VLOOKUP(D468,TARIFAS!A:K,4,FALSE) + IF(I468="Sí",VLOOKUP(D468,TARIFAS!A:K,5,FALSE),0)
      ),
      IF(H468="Presencial",
         VLOOKUP(D468,TARIFAS!A:K,9,FALSE) + IF(I468="Sí",VLOOKUP(D468,TARIFAS!A:K,11,FALSE),0),
         VLOOKUP(D468,TARIFAS!A:K,10,FALSE) + IF(I468="Sí",VLOOKUP(D468,TARIFAS!A:K,11,FALSE),0)
      )
   )
)
</f>
        <v>0</v>
      </c>
      <c r="U468" s="45">
        <f>IF(R468="",0,MAX(0,R468 - TARIFAS!G$2) * TARIFAS!F$2)
</f>
        <v>0</v>
      </c>
      <c r="V468" s="45">
        <f>+T468*TARIFAS!$K$2</f>
        <v>0</v>
      </c>
      <c r="W468" s="45">
        <f t="shared" si="2"/>
        <v>0</v>
      </c>
      <c r="X468" s="45">
        <f t="shared" si="3"/>
        <v>0</v>
      </c>
      <c r="Y468" s="45">
        <f t="shared" si="4"/>
        <v>0</v>
      </c>
      <c r="Z468" s="42" t="str">
        <f>CONFERENCIAS!AB468</f>
        <v/>
      </c>
      <c r="AA468" s="42" t="str">
        <f>CONFERENCIAS!AC468</f>
        <v/>
      </c>
      <c r="AB468" s="47" t="str">
        <f t="shared" si="5"/>
        <v/>
      </c>
      <c r="AC468" s="9" t="str">
        <f t="shared" si="6"/>
        <v/>
      </c>
    </row>
    <row r="469">
      <c r="A469" s="42" t="str">
        <f>CONFERENCIAS!A469</f>
        <v/>
      </c>
      <c r="D469" s="42" t="str">
        <f>CONFERENCIAS!C469</f>
        <v/>
      </c>
      <c r="E469" s="42" t="str">
        <f>CONFERENCIAS!K469</f>
        <v/>
      </c>
      <c r="F469" s="49" t="str">
        <f>CONFERENCIAS!J469</f>
        <v/>
      </c>
      <c r="G469" s="42" t="str">
        <f>CONFERENCIAS!O469</f>
        <v/>
      </c>
      <c r="H469" s="42" t="str">
        <f>CONFERENCIAS!X469</f>
        <v/>
      </c>
      <c r="I469" s="42" t="str">
        <f>CONFERENCIAS!AA469</f>
        <v/>
      </c>
      <c r="J469" s="44" t="str">
        <f>CONFERENCIAS!P469</f>
        <v/>
      </c>
      <c r="K469" s="45" t="str">
        <f>CONFERENCIAS!R469</f>
        <v/>
      </c>
      <c r="L469" s="45">
        <f>IF(D469="",0,
 IF(E469=1,
   IF(H469="Presencial",
      VLOOKUP(D469,TARIFAS!A:K,3,FALSE) + IF(I469="Sí",VLOOKUP(D469,TARIFAS!A:K,5,FALSE),0),
      VLOOKUP(D469,TARIFAS!A:K,4,FALSE) + IF(I469="Sí",VLOOKUP(D469,TARIFAS!A:K,5,FALSE),0)
   ),
   IF(H469="Presencial",
      VLOOKUP(D469,TARIFAS!A:K,9,FALSE) + IF(I469="Sí",VLOOKUP(D469,TARIFAS!A:K,11,FALSE),0),
      VLOOKUP(D469,TARIFAS!A:K,10,FALSE) + IF(I469="Sí",VLOOKUP(D469,TARIFAS!A:K,11,FALSE),0)
   )
 )
)
</f>
        <v>0</v>
      </c>
      <c r="M469" s="45">
        <f>IF(J469="",0,MAX(0,J469 - TARIFAS!G$2) * TARIFAS!F$2)
</f>
        <v>0</v>
      </c>
      <c r="N469" s="45">
        <f>+L469*TARIFAS!$K$2</f>
        <v>0</v>
      </c>
      <c r="O469" s="45">
        <f t="shared" si="1"/>
        <v>0</v>
      </c>
      <c r="P469" s="45">
        <f>+M469+O469+K469+(+I469-(I469*TARIFAS!$K$2))</f>
        <v>0</v>
      </c>
      <c r="Q469" s="42" t="str">
        <f>CONFERENCIAS!T469</f>
        <v/>
      </c>
      <c r="R469" s="45" t="str">
        <f>CONFERENCIAS!U469</f>
        <v/>
      </c>
      <c r="S469" s="45" t="str">
        <f>CONFERENCIAS!W469</f>
        <v/>
      </c>
      <c r="T469" s="48">
        <f>IF(Q469="",0,
   IF(E469=1,
      IF(H469="Presencial",
         VLOOKUP(D469,TARIFAS!A:K,3,FALSE) + IF(I469="Sí",VLOOKUP(D469,TARIFAS!A:K,5,FALSE),0),
         VLOOKUP(D469,TARIFAS!A:K,4,FALSE) + IF(I469="Sí",VLOOKUP(D469,TARIFAS!A:K,5,FALSE),0)
      ),
      IF(H469="Presencial",
         VLOOKUP(D469,TARIFAS!A:K,9,FALSE) + IF(I469="Sí",VLOOKUP(D469,TARIFAS!A:K,11,FALSE),0),
         VLOOKUP(D469,TARIFAS!A:K,10,FALSE) + IF(I469="Sí",VLOOKUP(D469,TARIFAS!A:K,11,FALSE),0)
      )
   )
)
</f>
        <v>0</v>
      </c>
      <c r="U469" s="45">
        <f>IF(R469="",0,MAX(0,R469 - TARIFAS!G$2) * TARIFAS!F$2)
</f>
        <v>0</v>
      </c>
      <c r="V469" s="45">
        <f>+T469*TARIFAS!$K$2</f>
        <v>0</v>
      </c>
      <c r="W469" s="45">
        <f t="shared" si="2"/>
        <v>0</v>
      </c>
      <c r="X469" s="45">
        <f t="shared" si="3"/>
        <v>0</v>
      </c>
      <c r="Y469" s="45">
        <f t="shared" si="4"/>
        <v>0</v>
      </c>
      <c r="Z469" s="42" t="str">
        <f>CONFERENCIAS!AB469</f>
        <v/>
      </c>
      <c r="AA469" s="42" t="str">
        <f>CONFERENCIAS!AC469</f>
        <v/>
      </c>
      <c r="AB469" s="47" t="str">
        <f t="shared" si="5"/>
        <v/>
      </c>
      <c r="AC469" s="9" t="str">
        <f t="shared" si="6"/>
        <v/>
      </c>
    </row>
    <row r="470">
      <c r="A470" s="42" t="str">
        <f>CONFERENCIAS!A470</f>
        <v/>
      </c>
      <c r="D470" s="42" t="str">
        <f>CONFERENCIAS!C470</f>
        <v/>
      </c>
      <c r="E470" s="42" t="str">
        <f>CONFERENCIAS!K470</f>
        <v/>
      </c>
      <c r="F470" s="49" t="str">
        <f>CONFERENCIAS!J470</f>
        <v/>
      </c>
      <c r="G470" s="42" t="str">
        <f>CONFERENCIAS!O470</f>
        <v/>
      </c>
      <c r="H470" s="42" t="str">
        <f>CONFERENCIAS!X470</f>
        <v/>
      </c>
      <c r="I470" s="42" t="str">
        <f>CONFERENCIAS!AA470</f>
        <v/>
      </c>
      <c r="J470" s="44" t="str">
        <f>CONFERENCIAS!P470</f>
        <v/>
      </c>
      <c r="K470" s="45" t="str">
        <f>CONFERENCIAS!R470</f>
        <v/>
      </c>
      <c r="L470" s="45">
        <f>IF(D470="",0,
 IF(E470=1,
   IF(H470="Presencial",
      VLOOKUP(D470,TARIFAS!A:K,3,FALSE) + IF(I470="Sí",VLOOKUP(D470,TARIFAS!A:K,5,FALSE),0),
      VLOOKUP(D470,TARIFAS!A:K,4,FALSE) + IF(I470="Sí",VLOOKUP(D470,TARIFAS!A:K,5,FALSE),0)
   ),
   IF(H470="Presencial",
      VLOOKUP(D470,TARIFAS!A:K,9,FALSE) + IF(I470="Sí",VLOOKUP(D470,TARIFAS!A:K,11,FALSE),0),
      VLOOKUP(D470,TARIFAS!A:K,10,FALSE) + IF(I470="Sí",VLOOKUP(D470,TARIFAS!A:K,11,FALSE),0)
   )
 )
)
</f>
        <v>0</v>
      </c>
      <c r="M470" s="45">
        <f>IF(J470="",0,MAX(0,J470 - TARIFAS!G$2) * TARIFAS!F$2)
</f>
        <v>0</v>
      </c>
      <c r="N470" s="45">
        <f>+L470*TARIFAS!$K$2</f>
        <v>0</v>
      </c>
      <c r="O470" s="45">
        <f t="shared" si="1"/>
        <v>0</v>
      </c>
      <c r="P470" s="45">
        <f>+M470+O470+K470+(+I470-(I470*TARIFAS!$K$2))</f>
        <v>0</v>
      </c>
      <c r="Q470" s="42" t="str">
        <f>CONFERENCIAS!T470</f>
        <v/>
      </c>
      <c r="R470" s="45" t="str">
        <f>CONFERENCIAS!U470</f>
        <v/>
      </c>
      <c r="S470" s="45" t="str">
        <f>CONFERENCIAS!W470</f>
        <v/>
      </c>
      <c r="T470" s="48">
        <f>IF(Q470="",0,
   IF(E470=1,
      IF(H470="Presencial",
         VLOOKUP(D470,TARIFAS!A:K,3,FALSE) + IF(I470="Sí",VLOOKUP(D470,TARIFAS!A:K,5,FALSE),0),
         VLOOKUP(D470,TARIFAS!A:K,4,FALSE) + IF(I470="Sí",VLOOKUP(D470,TARIFAS!A:K,5,FALSE),0)
      ),
      IF(H470="Presencial",
         VLOOKUP(D470,TARIFAS!A:K,9,FALSE) + IF(I470="Sí",VLOOKUP(D470,TARIFAS!A:K,11,FALSE),0),
         VLOOKUP(D470,TARIFAS!A:K,10,FALSE) + IF(I470="Sí",VLOOKUP(D470,TARIFAS!A:K,11,FALSE),0)
      )
   )
)
</f>
        <v>0</v>
      </c>
      <c r="U470" s="45">
        <f>IF(R470="",0,MAX(0,R470 - TARIFAS!G$2) * TARIFAS!F$2)
</f>
        <v>0</v>
      </c>
      <c r="V470" s="45">
        <f>+T470*TARIFAS!$K$2</f>
        <v>0</v>
      </c>
      <c r="W470" s="45">
        <f t="shared" si="2"/>
        <v>0</v>
      </c>
      <c r="X470" s="45">
        <f t="shared" si="3"/>
        <v>0</v>
      </c>
      <c r="Y470" s="45">
        <f t="shared" si="4"/>
        <v>0</v>
      </c>
      <c r="Z470" s="42" t="str">
        <f>CONFERENCIAS!AB470</f>
        <v/>
      </c>
      <c r="AA470" s="42" t="str">
        <f>CONFERENCIAS!AC470</f>
        <v/>
      </c>
      <c r="AB470" s="47" t="str">
        <f t="shared" si="5"/>
        <v/>
      </c>
      <c r="AC470" s="9" t="str">
        <f t="shared" si="6"/>
        <v/>
      </c>
    </row>
    <row r="471">
      <c r="A471" s="42" t="str">
        <f>CONFERENCIAS!A471</f>
        <v/>
      </c>
      <c r="D471" s="42" t="str">
        <f>CONFERENCIAS!C471</f>
        <v/>
      </c>
      <c r="E471" s="42" t="str">
        <f>CONFERENCIAS!K471</f>
        <v/>
      </c>
      <c r="F471" s="49" t="str">
        <f>CONFERENCIAS!J471</f>
        <v/>
      </c>
      <c r="G471" s="42" t="str">
        <f>CONFERENCIAS!O471</f>
        <v/>
      </c>
      <c r="H471" s="42" t="str">
        <f>CONFERENCIAS!X471</f>
        <v/>
      </c>
      <c r="I471" s="42" t="str">
        <f>CONFERENCIAS!AA471</f>
        <v/>
      </c>
      <c r="J471" s="44" t="str">
        <f>CONFERENCIAS!P471</f>
        <v/>
      </c>
      <c r="K471" s="45" t="str">
        <f>CONFERENCIAS!R471</f>
        <v/>
      </c>
      <c r="L471" s="45">
        <f>IF(D471="",0,
 IF(E471=1,
   IF(H471="Presencial",
      VLOOKUP(D471,TARIFAS!A:K,3,FALSE) + IF(I471="Sí",VLOOKUP(D471,TARIFAS!A:K,5,FALSE),0),
      VLOOKUP(D471,TARIFAS!A:K,4,FALSE) + IF(I471="Sí",VLOOKUP(D471,TARIFAS!A:K,5,FALSE),0)
   ),
   IF(H471="Presencial",
      VLOOKUP(D471,TARIFAS!A:K,9,FALSE) + IF(I471="Sí",VLOOKUP(D471,TARIFAS!A:K,11,FALSE),0),
      VLOOKUP(D471,TARIFAS!A:K,10,FALSE) + IF(I471="Sí",VLOOKUP(D471,TARIFAS!A:K,11,FALSE),0)
   )
 )
)
</f>
        <v>0</v>
      </c>
      <c r="M471" s="45">
        <f>IF(J471="",0,MAX(0,J471 - TARIFAS!G$2) * TARIFAS!F$2)
</f>
        <v>0</v>
      </c>
      <c r="N471" s="45">
        <f>+L471*TARIFAS!$K$2</f>
        <v>0</v>
      </c>
      <c r="O471" s="45">
        <f t="shared" si="1"/>
        <v>0</v>
      </c>
      <c r="P471" s="45">
        <f>+M471+O471+K471+(+I471-(I471*TARIFAS!$K$2))</f>
        <v>0</v>
      </c>
      <c r="Q471" s="42" t="str">
        <f>CONFERENCIAS!T471</f>
        <v/>
      </c>
      <c r="R471" s="45" t="str">
        <f>CONFERENCIAS!U471</f>
        <v/>
      </c>
      <c r="S471" s="45" t="str">
        <f>CONFERENCIAS!W471</f>
        <v/>
      </c>
      <c r="T471" s="48">
        <f>IF(Q471="",0,
   IF(E471=1,
      IF(H471="Presencial",
         VLOOKUP(D471,TARIFAS!A:K,3,FALSE) + IF(I471="Sí",VLOOKUP(D471,TARIFAS!A:K,5,FALSE),0),
         VLOOKUP(D471,TARIFAS!A:K,4,FALSE) + IF(I471="Sí",VLOOKUP(D471,TARIFAS!A:K,5,FALSE),0)
      ),
      IF(H471="Presencial",
         VLOOKUP(D471,TARIFAS!A:K,9,FALSE) + IF(I471="Sí",VLOOKUP(D471,TARIFAS!A:K,11,FALSE),0),
         VLOOKUP(D471,TARIFAS!A:K,10,FALSE) + IF(I471="Sí",VLOOKUP(D471,TARIFAS!A:K,11,FALSE),0)
      )
   )
)
</f>
        <v>0</v>
      </c>
      <c r="U471" s="45">
        <f>IF(R471="",0,MAX(0,R471 - TARIFAS!G$2) * TARIFAS!F$2)
</f>
        <v>0</v>
      </c>
      <c r="V471" s="45">
        <f>+T471*TARIFAS!$K$2</f>
        <v>0</v>
      </c>
      <c r="W471" s="45">
        <f t="shared" si="2"/>
        <v>0</v>
      </c>
      <c r="X471" s="45">
        <f t="shared" si="3"/>
        <v>0</v>
      </c>
      <c r="Y471" s="45">
        <f t="shared" si="4"/>
        <v>0</v>
      </c>
      <c r="Z471" s="42" t="str">
        <f>CONFERENCIAS!AB471</f>
        <v/>
      </c>
      <c r="AA471" s="42" t="str">
        <f>CONFERENCIAS!AC471</f>
        <v/>
      </c>
      <c r="AB471" s="47" t="str">
        <f t="shared" si="5"/>
        <v/>
      </c>
      <c r="AC471" s="9" t="str">
        <f t="shared" si="6"/>
        <v/>
      </c>
    </row>
    <row r="472">
      <c r="A472" s="42" t="str">
        <f>CONFERENCIAS!A472</f>
        <v/>
      </c>
      <c r="D472" s="42" t="str">
        <f>CONFERENCIAS!C472</f>
        <v/>
      </c>
      <c r="E472" s="42" t="str">
        <f>CONFERENCIAS!K472</f>
        <v/>
      </c>
      <c r="F472" s="49" t="str">
        <f>CONFERENCIAS!J472</f>
        <v/>
      </c>
      <c r="G472" s="42" t="str">
        <f>CONFERENCIAS!O472</f>
        <v/>
      </c>
      <c r="H472" s="42" t="str">
        <f>CONFERENCIAS!X472</f>
        <v/>
      </c>
      <c r="I472" s="42" t="str">
        <f>CONFERENCIAS!AA472</f>
        <v/>
      </c>
      <c r="J472" s="44" t="str">
        <f>CONFERENCIAS!P472</f>
        <v/>
      </c>
      <c r="K472" s="45" t="str">
        <f>CONFERENCIAS!R472</f>
        <v/>
      </c>
      <c r="L472" s="45">
        <f>IF(D472="",0,
 IF(E472=1,
   IF(H472="Presencial",
      VLOOKUP(D472,TARIFAS!A:K,3,FALSE) + IF(I472="Sí",VLOOKUP(D472,TARIFAS!A:K,5,FALSE),0),
      VLOOKUP(D472,TARIFAS!A:K,4,FALSE) + IF(I472="Sí",VLOOKUP(D472,TARIFAS!A:K,5,FALSE),0)
   ),
   IF(H472="Presencial",
      VLOOKUP(D472,TARIFAS!A:K,9,FALSE) + IF(I472="Sí",VLOOKUP(D472,TARIFAS!A:K,11,FALSE),0),
      VLOOKUP(D472,TARIFAS!A:K,10,FALSE) + IF(I472="Sí",VLOOKUP(D472,TARIFAS!A:K,11,FALSE),0)
   )
 )
)
</f>
        <v>0</v>
      </c>
      <c r="M472" s="45">
        <f>IF(J472="",0,MAX(0,J472 - TARIFAS!G$2) * TARIFAS!F$2)
</f>
        <v>0</v>
      </c>
      <c r="N472" s="45">
        <f>+L472*TARIFAS!$K$2</f>
        <v>0</v>
      </c>
      <c r="O472" s="45">
        <f t="shared" si="1"/>
        <v>0</v>
      </c>
      <c r="P472" s="45">
        <f>+M472+O472+K472+(+I472-(I472*TARIFAS!$K$2))</f>
        <v>0</v>
      </c>
      <c r="Q472" s="42" t="str">
        <f>CONFERENCIAS!T472</f>
        <v/>
      </c>
      <c r="R472" s="45" t="str">
        <f>CONFERENCIAS!U472</f>
        <v/>
      </c>
      <c r="S472" s="45" t="str">
        <f>CONFERENCIAS!W472</f>
        <v/>
      </c>
      <c r="T472" s="48">
        <f>IF(Q472="",0,
   IF(E472=1,
      IF(H472="Presencial",
         VLOOKUP(D472,TARIFAS!A:K,3,FALSE) + IF(I472="Sí",VLOOKUP(D472,TARIFAS!A:K,5,FALSE),0),
         VLOOKUP(D472,TARIFAS!A:K,4,FALSE) + IF(I472="Sí",VLOOKUP(D472,TARIFAS!A:K,5,FALSE),0)
      ),
      IF(H472="Presencial",
         VLOOKUP(D472,TARIFAS!A:K,9,FALSE) + IF(I472="Sí",VLOOKUP(D472,TARIFAS!A:K,11,FALSE),0),
         VLOOKUP(D472,TARIFAS!A:K,10,FALSE) + IF(I472="Sí",VLOOKUP(D472,TARIFAS!A:K,11,FALSE),0)
      )
   )
)
</f>
        <v>0</v>
      </c>
      <c r="U472" s="45">
        <f>IF(R472="",0,MAX(0,R472 - TARIFAS!G$2) * TARIFAS!F$2)
</f>
        <v>0</v>
      </c>
      <c r="V472" s="45">
        <f>+T472*TARIFAS!$K$2</f>
        <v>0</v>
      </c>
      <c r="W472" s="45">
        <f t="shared" si="2"/>
        <v>0</v>
      </c>
      <c r="X472" s="45">
        <f t="shared" si="3"/>
        <v>0</v>
      </c>
      <c r="Y472" s="45">
        <f t="shared" si="4"/>
        <v>0</v>
      </c>
      <c r="Z472" s="42" t="str">
        <f>CONFERENCIAS!AB472</f>
        <v/>
      </c>
      <c r="AA472" s="42" t="str">
        <f>CONFERENCIAS!AC472</f>
        <v/>
      </c>
      <c r="AB472" s="47" t="str">
        <f t="shared" si="5"/>
        <v/>
      </c>
      <c r="AC472" s="9" t="str">
        <f t="shared" si="6"/>
        <v/>
      </c>
    </row>
    <row r="473">
      <c r="A473" s="42" t="str">
        <f>CONFERENCIAS!A473</f>
        <v/>
      </c>
      <c r="D473" s="42" t="str">
        <f>CONFERENCIAS!C473</f>
        <v/>
      </c>
      <c r="E473" s="42" t="str">
        <f>CONFERENCIAS!K473</f>
        <v/>
      </c>
      <c r="F473" s="49" t="str">
        <f>CONFERENCIAS!J473</f>
        <v/>
      </c>
      <c r="G473" s="42" t="str">
        <f>CONFERENCIAS!O473</f>
        <v/>
      </c>
      <c r="H473" s="42" t="str">
        <f>CONFERENCIAS!X473</f>
        <v/>
      </c>
      <c r="I473" s="42" t="str">
        <f>CONFERENCIAS!AA473</f>
        <v/>
      </c>
      <c r="J473" s="44" t="str">
        <f>CONFERENCIAS!P473</f>
        <v/>
      </c>
      <c r="K473" s="45" t="str">
        <f>CONFERENCIAS!R473</f>
        <v/>
      </c>
      <c r="L473" s="45">
        <f>IF(D473="",0,
 IF(E473=1,
   IF(H473="Presencial",
      VLOOKUP(D473,TARIFAS!A:K,3,FALSE) + IF(I473="Sí",VLOOKUP(D473,TARIFAS!A:K,5,FALSE),0),
      VLOOKUP(D473,TARIFAS!A:K,4,FALSE) + IF(I473="Sí",VLOOKUP(D473,TARIFAS!A:K,5,FALSE),0)
   ),
   IF(H473="Presencial",
      VLOOKUP(D473,TARIFAS!A:K,9,FALSE) + IF(I473="Sí",VLOOKUP(D473,TARIFAS!A:K,11,FALSE),0),
      VLOOKUP(D473,TARIFAS!A:K,10,FALSE) + IF(I473="Sí",VLOOKUP(D473,TARIFAS!A:K,11,FALSE),0)
   )
 )
)
</f>
        <v>0</v>
      </c>
      <c r="M473" s="45">
        <f>IF(J473="",0,MAX(0,J473 - TARIFAS!G$2) * TARIFAS!F$2)
</f>
        <v>0</v>
      </c>
      <c r="N473" s="45">
        <f>+L473*TARIFAS!$K$2</f>
        <v>0</v>
      </c>
      <c r="O473" s="45">
        <f t="shared" si="1"/>
        <v>0</v>
      </c>
      <c r="P473" s="45">
        <f>+M473+O473+K473+(+I473-(I473*TARIFAS!$K$2))</f>
        <v>0</v>
      </c>
      <c r="Q473" s="42" t="str">
        <f>CONFERENCIAS!T473</f>
        <v/>
      </c>
      <c r="R473" s="45" t="str">
        <f>CONFERENCIAS!U473</f>
        <v/>
      </c>
      <c r="S473" s="45" t="str">
        <f>CONFERENCIAS!W473</f>
        <v/>
      </c>
      <c r="T473" s="48">
        <f>IF(Q473="",0,
   IF(E473=1,
      IF(H473="Presencial",
         VLOOKUP(D473,TARIFAS!A:K,3,FALSE) + IF(I473="Sí",VLOOKUP(D473,TARIFAS!A:K,5,FALSE),0),
         VLOOKUP(D473,TARIFAS!A:K,4,FALSE) + IF(I473="Sí",VLOOKUP(D473,TARIFAS!A:K,5,FALSE),0)
      ),
      IF(H473="Presencial",
         VLOOKUP(D473,TARIFAS!A:K,9,FALSE) + IF(I473="Sí",VLOOKUP(D473,TARIFAS!A:K,11,FALSE),0),
         VLOOKUP(D473,TARIFAS!A:K,10,FALSE) + IF(I473="Sí",VLOOKUP(D473,TARIFAS!A:K,11,FALSE),0)
      )
   )
)
</f>
        <v>0</v>
      </c>
      <c r="U473" s="45">
        <f>IF(R473="",0,MAX(0,R473 - TARIFAS!G$2) * TARIFAS!F$2)
</f>
        <v>0</v>
      </c>
      <c r="V473" s="45">
        <f>+T473*TARIFAS!$K$2</f>
        <v>0</v>
      </c>
      <c r="W473" s="45">
        <f t="shared" si="2"/>
        <v>0</v>
      </c>
      <c r="X473" s="45">
        <f t="shared" si="3"/>
        <v>0</v>
      </c>
      <c r="Y473" s="45">
        <f t="shared" si="4"/>
        <v>0</v>
      </c>
      <c r="Z473" s="42" t="str">
        <f>CONFERENCIAS!AB473</f>
        <v/>
      </c>
      <c r="AA473" s="42" t="str">
        <f>CONFERENCIAS!AC473</f>
        <v/>
      </c>
      <c r="AB473" s="47" t="str">
        <f t="shared" si="5"/>
        <v/>
      </c>
      <c r="AC473" s="9" t="str">
        <f t="shared" si="6"/>
        <v/>
      </c>
    </row>
    <row r="474">
      <c r="A474" s="42" t="str">
        <f>CONFERENCIAS!A474</f>
        <v/>
      </c>
      <c r="D474" s="42" t="str">
        <f>CONFERENCIAS!C474</f>
        <v/>
      </c>
      <c r="E474" s="42" t="str">
        <f>CONFERENCIAS!K474</f>
        <v/>
      </c>
      <c r="F474" s="49" t="str">
        <f>CONFERENCIAS!J474</f>
        <v/>
      </c>
      <c r="G474" s="42" t="str">
        <f>CONFERENCIAS!O474</f>
        <v/>
      </c>
      <c r="H474" s="42" t="str">
        <f>CONFERENCIAS!X474</f>
        <v/>
      </c>
      <c r="I474" s="42" t="str">
        <f>CONFERENCIAS!AA474</f>
        <v/>
      </c>
      <c r="J474" s="44" t="str">
        <f>CONFERENCIAS!P474</f>
        <v/>
      </c>
      <c r="K474" s="45" t="str">
        <f>CONFERENCIAS!R474</f>
        <v/>
      </c>
      <c r="L474" s="45">
        <f>IF(D474="",0,
 IF(E474=1,
   IF(H474="Presencial",
      VLOOKUP(D474,TARIFAS!A:K,3,FALSE) + IF(I474="Sí",VLOOKUP(D474,TARIFAS!A:K,5,FALSE),0),
      VLOOKUP(D474,TARIFAS!A:K,4,FALSE) + IF(I474="Sí",VLOOKUP(D474,TARIFAS!A:K,5,FALSE),0)
   ),
   IF(H474="Presencial",
      VLOOKUP(D474,TARIFAS!A:K,9,FALSE) + IF(I474="Sí",VLOOKUP(D474,TARIFAS!A:K,11,FALSE),0),
      VLOOKUP(D474,TARIFAS!A:K,10,FALSE) + IF(I474="Sí",VLOOKUP(D474,TARIFAS!A:K,11,FALSE),0)
   )
 )
)
</f>
        <v>0</v>
      </c>
      <c r="M474" s="45">
        <f>IF(J474="",0,MAX(0,J474 - TARIFAS!G$2) * TARIFAS!F$2)
</f>
        <v>0</v>
      </c>
      <c r="N474" s="45">
        <f>+L474*TARIFAS!$K$2</f>
        <v>0</v>
      </c>
      <c r="O474" s="45">
        <f t="shared" si="1"/>
        <v>0</v>
      </c>
      <c r="P474" s="45">
        <f>+M474+O474+K474+(+I474-(I474*TARIFAS!$K$2))</f>
        <v>0</v>
      </c>
      <c r="Q474" s="42" t="str">
        <f>CONFERENCIAS!T474</f>
        <v/>
      </c>
      <c r="R474" s="45" t="str">
        <f>CONFERENCIAS!U474</f>
        <v/>
      </c>
      <c r="S474" s="45" t="str">
        <f>CONFERENCIAS!W474</f>
        <v/>
      </c>
      <c r="T474" s="48">
        <f>IF(Q474="",0,
   IF(E474=1,
      IF(H474="Presencial",
         VLOOKUP(D474,TARIFAS!A:K,3,FALSE) + IF(I474="Sí",VLOOKUP(D474,TARIFAS!A:K,5,FALSE),0),
         VLOOKUP(D474,TARIFAS!A:K,4,FALSE) + IF(I474="Sí",VLOOKUP(D474,TARIFAS!A:K,5,FALSE),0)
      ),
      IF(H474="Presencial",
         VLOOKUP(D474,TARIFAS!A:K,9,FALSE) + IF(I474="Sí",VLOOKUP(D474,TARIFAS!A:K,11,FALSE),0),
         VLOOKUP(D474,TARIFAS!A:K,10,FALSE) + IF(I474="Sí",VLOOKUP(D474,TARIFAS!A:K,11,FALSE),0)
      )
   )
)
</f>
        <v>0</v>
      </c>
      <c r="U474" s="45">
        <f>IF(R474="",0,MAX(0,R474 - TARIFAS!G$2) * TARIFAS!F$2)
</f>
        <v>0</v>
      </c>
      <c r="V474" s="45">
        <f>+T474*TARIFAS!$K$2</f>
        <v>0</v>
      </c>
      <c r="W474" s="45">
        <f t="shared" si="2"/>
        <v>0</v>
      </c>
      <c r="X474" s="45">
        <f t="shared" si="3"/>
        <v>0</v>
      </c>
      <c r="Y474" s="45">
        <f t="shared" si="4"/>
        <v>0</v>
      </c>
      <c r="Z474" s="42" t="str">
        <f>CONFERENCIAS!AB474</f>
        <v/>
      </c>
      <c r="AA474" s="42" t="str">
        <f>CONFERENCIAS!AC474</f>
        <v/>
      </c>
      <c r="AB474" s="47" t="str">
        <f t="shared" si="5"/>
        <v/>
      </c>
      <c r="AC474" s="9" t="str">
        <f t="shared" si="6"/>
        <v/>
      </c>
    </row>
    <row r="475">
      <c r="A475" s="42" t="str">
        <f>CONFERENCIAS!A475</f>
        <v/>
      </c>
      <c r="D475" s="42" t="str">
        <f>CONFERENCIAS!C475</f>
        <v/>
      </c>
      <c r="E475" s="42" t="str">
        <f>CONFERENCIAS!K475</f>
        <v/>
      </c>
      <c r="F475" s="49" t="str">
        <f>CONFERENCIAS!J475</f>
        <v/>
      </c>
      <c r="G475" s="42" t="str">
        <f>CONFERENCIAS!O475</f>
        <v/>
      </c>
      <c r="H475" s="42" t="str">
        <f>CONFERENCIAS!X475</f>
        <v/>
      </c>
      <c r="I475" s="42" t="str">
        <f>CONFERENCIAS!AA475</f>
        <v/>
      </c>
      <c r="J475" s="44" t="str">
        <f>CONFERENCIAS!P475</f>
        <v/>
      </c>
      <c r="K475" s="45" t="str">
        <f>CONFERENCIAS!R475</f>
        <v/>
      </c>
      <c r="L475" s="45">
        <f>IF(D475="",0,
 IF(E475=1,
   IF(H475="Presencial",
      VLOOKUP(D475,TARIFAS!A:K,3,FALSE) + IF(I475="Sí",VLOOKUP(D475,TARIFAS!A:K,5,FALSE),0),
      VLOOKUP(D475,TARIFAS!A:K,4,FALSE) + IF(I475="Sí",VLOOKUP(D475,TARIFAS!A:K,5,FALSE),0)
   ),
   IF(H475="Presencial",
      VLOOKUP(D475,TARIFAS!A:K,9,FALSE) + IF(I475="Sí",VLOOKUP(D475,TARIFAS!A:K,11,FALSE),0),
      VLOOKUP(D475,TARIFAS!A:K,10,FALSE) + IF(I475="Sí",VLOOKUP(D475,TARIFAS!A:K,11,FALSE),0)
   )
 )
)
</f>
        <v>0</v>
      </c>
      <c r="M475" s="45">
        <f>IF(J475="",0,MAX(0,J475 - TARIFAS!G$2) * TARIFAS!F$2)
</f>
        <v>0</v>
      </c>
      <c r="N475" s="45">
        <f>+L475*TARIFAS!$K$2</f>
        <v>0</v>
      </c>
      <c r="O475" s="45">
        <f t="shared" si="1"/>
        <v>0</v>
      </c>
      <c r="P475" s="45">
        <f>+M475+O475+K475+(+I475-(I475*TARIFAS!$K$2))</f>
        <v>0</v>
      </c>
      <c r="Q475" s="42" t="str">
        <f>CONFERENCIAS!T475</f>
        <v/>
      </c>
      <c r="R475" s="45" t="str">
        <f>CONFERENCIAS!U475</f>
        <v/>
      </c>
      <c r="S475" s="45" t="str">
        <f>CONFERENCIAS!W475</f>
        <v/>
      </c>
      <c r="T475" s="48">
        <f>IF(Q475="",0,
   IF(E475=1,
      IF(H475="Presencial",
         VLOOKUP(D475,TARIFAS!A:K,3,FALSE) + IF(I475="Sí",VLOOKUP(D475,TARIFAS!A:K,5,FALSE),0),
         VLOOKUP(D475,TARIFAS!A:K,4,FALSE) + IF(I475="Sí",VLOOKUP(D475,TARIFAS!A:K,5,FALSE),0)
      ),
      IF(H475="Presencial",
         VLOOKUP(D475,TARIFAS!A:K,9,FALSE) + IF(I475="Sí",VLOOKUP(D475,TARIFAS!A:K,11,FALSE),0),
         VLOOKUP(D475,TARIFAS!A:K,10,FALSE) + IF(I475="Sí",VLOOKUP(D475,TARIFAS!A:K,11,FALSE),0)
      )
   )
)
</f>
        <v>0</v>
      </c>
      <c r="U475" s="45">
        <f>IF(R475="",0,MAX(0,R475 - TARIFAS!G$2) * TARIFAS!F$2)
</f>
        <v>0</v>
      </c>
      <c r="V475" s="45">
        <f>+T475*TARIFAS!$K$2</f>
        <v>0</v>
      </c>
      <c r="W475" s="45">
        <f t="shared" si="2"/>
        <v>0</v>
      </c>
      <c r="X475" s="45">
        <f t="shared" si="3"/>
        <v>0</v>
      </c>
      <c r="Y475" s="45">
        <f t="shared" si="4"/>
        <v>0</v>
      </c>
      <c r="Z475" s="42" t="str">
        <f>CONFERENCIAS!AB475</f>
        <v/>
      </c>
      <c r="AA475" s="42" t="str">
        <f>CONFERENCIAS!AC475</f>
        <v/>
      </c>
      <c r="AB475" s="47" t="str">
        <f t="shared" si="5"/>
        <v/>
      </c>
      <c r="AC475" s="9" t="str">
        <f t="shared" si="6"/>
        <v/>
      </c>
    </row>
    <row r="476">
      <c r="A476" s="42" t="str">
        <f>CONFERENCIAS!A476</f>
        <v/>
      </c>
      <c r="D476" s="42" t="str">
        <f>CONFERENCIAS!C476</f>
        <v/>
      </c>
      <c r="E476" s="42" t="str">
        <f>CONFERENCIAS!K476</f>
        <v/>
      </c>
      <c r="F476" s="49" t="str">
        <f>CONFERENCIAS!J476</f>
        <v/>
      </c>
      <c r="G476" s="42" t="str">
        <f>CONFERENCIAS!O476</f>
        <v/>
      </c>
      <c r="H476" s="42" t="str">
        <f>CONFERENCIAS!X476</f>
        <v/>
      </c>
      <c r="I476" s="42" t="str">
        <f>CONFERENCIAS!AA476</f>
        <v/>
      </c>
      <c r="J476" s="44" t="str">
        <f>CONFERENCIAS!P476</f>
        <v/>
      </c>
      <c r="K476" s="45" t="str">
        <f>CONFERENCIAS!R476</f>
        <v/>
      </c>
      <c r="L476" s="45">
        <f>IF(D476="",0,
 IF(E476=1,
   IF(H476="Presencial",
      VLOOKUP(D476,TARIFAS!A:K,3,FALSE) + IF(I476="Sí",VLOOKUP(D476,TARIFAS!A:K,5,FALSE),0),
      VLOOKUP(D476,TARIFAS!A:K,4,FALSE) + IF(I476="Sí",VLOOKUP(D476,TARIFAS!A:K,5,FALSE),0)
   ),
   IF(H476="Presencial",
      VLOOKUP(D476,TARIFAS!A:K,9,FALSE) + IF(I476="Sí",VLOOKUP(D476,TARIFAS!A:K,11,FALSE),0),
      VLOOKUP(D476,TARIFAS!A:K,10,FALSE) + IF(I476="Sí",VLOOKUP(D476,TARIFAS!A:K,11,FALSE),0)
   )
 )
)
</f>
        <v>0</v>
      </c>
      <c r="M476" s="45">
        <f>IF(J476="",0,MAX(0,J476 - TARIFAS!G$2) * TARIFAS!F$2)
</f>
        <v>0</v>
      </c>
      <c r="N476" s="45">
        <f>+L476*TARIFAS!$K$2</f>
        <v>0</v>
      </c>
      <c r="O476" s="45">
        <f t="shared" si="1"/>
        <v>0</v>
      </c>
      <c r="P476" s="45">
        <f>+M476+O476+K476+(+I476-(I476*TARIFAS!$K$2))</f>
        <v>0</v>
      </c>
      <c r="Q476" s="42" t="str">
        <f>CONFERENCIAS!T476</f>
        <v/>
      </c>
      <c r="R476" s="45" t="str">
        <f>CONFERENCIAS!U476</f>
        <v/>
      </c>
      <c r="S476" s="45" t="str">
        <f>CONFERENCIAS!W476</f>
        <v/>
      </c>
      <c r="T476" s="48">
        <f>IF(Q476="",0,
   IF(E476=1,
      IF(H476="Presencial",
         VLOOKUP(D476,TARIFAS!A:K,3,FALSE) + IF(I476="Sí",VLOOKUP(D476,TARIFAS!A:K,5,FALSE),0),
         VLOOKUP(D476,TARIFAS!A:K,4,FALSE) + IF(I476="Sí",VLOOKUP(D476,TARIFAS!A:K,5,FALSE),0)
      ),
      IF(H476="Presencial",
         VLOOKUP(D476,TARIFAS!A:K,9,FALSE) + IF(I476="Sí",VLOOKUP(D476,TARIFAS!A:K,11,FALSE),0),
         VLOOKUP(D476,TARIFAS!A:K,10,FALSE) + IF(I476="Sí",VLOOKUP(D476,TARIFAS!A:K,11,FALSE),0)
      )
   )
)
</f>
        <v>0</v>
      </c>
      <c r="U476" s="45">
        <f>IF(R476="",0,MAX(0,R476 - TARIFAS!G$2) * TARIFAS!F$2)
</f>
        <v>0</v>
      </c>
      <c r="V476" s="45">
        <f>+T476*TARIFAS!$K$2</f>
        <v>0</v>
      </c>
      <c r="W476" s="45">
        <f t="shared" si="2"/>
        <v>0</v>
      </c>
      <c r="X476" s="45">
        <f t="shared" si="3"/>
        <v>0</v>
      </c>
      <c r="Y476" s="45">
        <f t="shared" si="4"/>
        <v>0</v>
      </c>
      <c r="Z476" s="42" t="str">
        <f>CONFERENCIAS!AB476</f>
        <v/>
      </c>
      <c r="AA476" s="42" t="str">
        <f>CONFERENCIAS!AC476</f>
        <v/>
      </c>
      <c r="AB476" s="47" t="str">
        <f t="shared" si="5"/>
        <v/>
      </c>
      <c r="AC476" s="9" t="str">
        <f t="shared" si="6"/>
        <v/>
      </c>
    </row>
    <row r="477">
      <c r="A477" s="42" t="str">
        <f>CONFERENCIAS!A477</f>
        <v/>
      </c>
      <c r="D477" s="42" t="str">
        <f>CONFERENCIAS!C477</f>
        <v/>
      </c>
      <c r="E477" s="42" t="str">
        <f>CONFERENCIAS!K477</f>
        <v/>
      </c>
      <c r="F477" s="49" t="str">
        <f>CONFERENCIAS!J477</f>
        <v/>
      </c>
      <c r="G477" s="42" t="str">
        <f>CONFERENCIAS!O477</f>
        <v/>
      </c>
      <c r="H477" s="42" t="str">
        <f>CONFERENCIAS!X477</f>
        <v/>
      </c>
      <c r="I477" s="42" t="str">
        <f>CONFERENCIAS!AA477</f>
        <v/>
      </c>
      <c r="J477" s="44" t="str">
        <f>CONFERENCIAS!P477</f>
        <v/>
      </c>
      <c r="K477" s="45" t="str">
        <f>CONFERENCIAS!R477</f>
        <v/>
      </c>
      <c r="L477" s="45">
        <f>IF(D477="",0,
 IF(E477=1,
   IF(H477="Presencial",
      VLOOKUP(D477,TARIFAS!A:K,3,FALSE) + IF(I477="Sí",VLOOKUP(D477,TARIFAS!A:K,5,FALSE),0),
      VLOOKUP(D477,TARIFAS!A:K,4,FALSE) + IF(I477="Sí",VLOOKUP(D477,TARIFAS!A:K,5,FALSE),0)
   ),
   IF(H477="Presencial",
      VLOOKUP(D477,TARIFAS!A:K,9,FALSE) + IF(I477="Sí",VLOOKUP(D477,TARIFAS!A:K,11,FALSE),0),
      VLOOKUP(D477,TARIFAS!A:K,10,FALSE) + IF(I477="Sí",VLOOKUP(D477,TARIFAS!A:K,11,FALSE),0)
   )
 )
)
</f>
        <v>0</v>
      </c>
      <c r="M477" s="45">
        <f>IF(J477="",0,MAX(0,J477 - TARIFAS!G$2) * TARIFAS!F$2)
</f>
        <v>0</v>
      </c>
      <c r="N477" s="45">
        <f>+L477*TARIFAS!$K$2</f>
        <v>0</v>
      </c>
      <c r="O477" s="45">
        <f t="shared" si="1"/>
        <v>0</v>
      </c>
      <c r="P477" s="45">
        <f>+M477+O477+K477+(+I477-(I477*TARIFAS!$K$2))</f>
        <v>0</v>
      </c>
      <c r="Q477" s="42" t="str">
        <f>CONFERENCIAS!T477</f>
        <v/>
      </c>
      <c r="R477" s="45" t="str">
        <f>CONFERENCIAS!U477</f>
        <v/>
      </c>
      <c r="S477" s="45" t="str">
        <f>CONFERENCIAS!W477</f>
        <v/>
      </c>
      <c r="T477" s="48">
        <f>IF(Q477="",0,
   IF(E477=1,
      IF(H477="Presencial",
         VLOOKUP(D477,TARIFAS!A:K,3,FALSE) + IF(I477="Sí",VLOOKUP(D477,TARIFAS!A:K,5,FALSE),0),
         VLOOKUP(D477,TARIFAS!A:K,4,FALSE) + IF(I477="Sí",VLOOKUP(D477,TARIFAS!A:K,5,FALSE),0)
      ),
      IF(H477="Presencial",
         VLOOKUP(D477,TARIFAS!A:K,9,FALSE) + IF(I477="Sí",VLOOKUP(D477,TARIFAS!A:K,11,FALSE),0),
         VLOOKUP(D477,TARIFAS!A:K,10,FALSE) + IF(I477="Sí",VLOOKUP(D477,TARIFAS!A:K,11,FALSE),0)
      )
   )
)
</f>
        <v>0</v>
      </c>
      <c r="U477" s="45">
        <f>IF(R477="",0,MAX(0,R477 - TARIFAS!G$2) * TARIFAS!F$2)
</f>
        <v>0</v>
      </c>
      <c r="V477" s="45">
        <f>+T477*TARIFAS!$K$2</f>
        <v>0</v>
      </c>
      <c r="W477" s="45">
        <f t="shared" si="2"/>
        <v>0</v>
      </c>
      <c r="X477" s="45">
        <f t="shared" si="3"/>
        <v>0</v>
      </c>
      <c r="Y477" s="45">
        <f t="shared" si="4"/>
        <v>0</v>
      </c>
      <c r="Z477" s="42" t="str">
        <f>CONFERENCIAS!AB477</f>
        <v/>
      </c>
      <c r="AA477" s="42" t="str">
        <f>CONFERENCIAS!AC477</f>
        <v/>
      </c>
      <c r="AB477" s="47" t="str">
        <f t="shared" si="5"/>
        <v/>
      </c>
      <c r="AC477" s="9" t="str">
        <f t="shared" si="6"/>
        <v/>
      </c>
    </row>
    <row r="478">
      <c r="A478" s="42" t="str">
        <f>CONFERENCIAS!A478</f>
        <v/>
      </c>
      <c r="D478" s="42" t="str">
        <f>CONFERENCIAS!C478</f>
        <v/>
      </c>
      <c r="E478" s="42" t="str">
        <f>CONFERENCIAS!K478</f>
        <v/>
      </c>
      <c r="F478" s="49" t="str">
        <f>CONFERENCIAS!J478</f>
        <v/>
      </c>
      <c r="G478" s="42" t="str">
        <f>CONFERENCIAS!O478</f>
        <v/>
      </c>
      <c r="H478" s="42" t="str">
        <f>CONFERENCIAS!X478</f>
        <v/>
      </c>
      <c r="I478" s="42" t="str">
        <f>CONFERENCIAS!AA478</f>
        <v/>
      </c>
      <c r="J478" s="44" t="str">
        <f>CONFERENCIAS!P478</f>
        <v/>
      </c>
      <c r="K478" s="45" t="str">
        <f>CONFERENCIAS!R478</f>
        <v/>
      </c>
      <c r="L478" s="45">
        <f>IF(D478="",0,
 IF(E478=1,
   IF(H478="Presencial",
      VLOOKUP(D478,TARIFAS!A:K,3,FALSE) + IF(I478="Sí",VLOOKUP(D478,TARIFAS!A:K,5,FALSE),0),
      VLOOKUP(D478,TARIFAS!A:K,4,FALSE) + IF(I478="Sí",VLOOKUP(D478,TARIFAS!A:K,5,FALSE),0)
   ),
   IF(H478="Presencial",
      VLOOKUP(D478,TARIFAS!A:K,9,FALSE) + IF(I478="Sí",VLOOKUP(D478,TARIFAS!A:K,11,FALSE),0),
      VLOOKUP(D478,TARIFAS!A:K,10,FALSE) + IF(I478="Sí",VLOOKUP(D478,TARIFAS!A:K,11,FALSE),0)
   )
 )
)
</f>
        <v>0</v>
      </c>
      <c r="M478" s="45">
        <f>IF(J478="",0,MAX(0,J478 - TARIFAS!G$2) * TARIFAS!F$2)
</f>
        <v>0</v>
      </c>
      <c r="N478" s="45">
        <f>+L478*TARIFAS!$K$2</f>
        <v>0</v>
      </c>
      <c r="O478" s="45">
        <f t="shared" si="1"/>
        <v>0</v>
      </c>
      <c r="P478" s="45">
        <f>+M478+O478+K478+(+I478-(I478*TARIFAS!$K$2))</f>
        <v>0</v>
      </c>
      <c r="Q478" s="42" t="str">
        <f>CONFERENCIAS!T478</f>
        <v/>
      </c>
      <c r="R478" s="45" t="str">
        <f>CONFERENCIAS!U478</f>
        <v/>
      </c>
      <c r="S478" s="45" t="str">
        <f>CONFERENCIAS!W478</f>
        <v/>
      </c>
      <c r="T478" s="48">
        <f>IF(Q478="",0,
   IF(E478=1,
      IF(H478="Presencial",
         VLOOKUP(D478,TARIFAS!A:K,3,FALSE) + IF(I478="Sí",VLOOKUP(D478,TARIFAS!A:K,5,FALSE),0),
         VLOOKUP(D478,TARIFAS!A:K,4,FALSE) + IF(I478="Sí",VLOOKUP(D478,TARIFAS!A:K,5,FALSE),0)
      ),
      IF(H478="Presencial",
         VLOOKUP(D478,TARIFAS!A:K,9,FALSE) + IF(I478="Sí",VLOOKUP(D478,TARIFAS!A:K,11,FALSE),0),
         VLOOKUP(D478,TARIFAS!A:K,10,FALSE) + IF(I478="Sí",VLOOKUP(D478,TARIFAS!A:K,11,FALSE),0)
      )
   )
)
</f>
        <v>0</v>
      </c>
      <c r="U478" s="45">
        <f>IF(R478="",0,MAX(0,R478 - TARIFAS!G$2) * TARIFAS!F$2)
</f>
        <v>0</v>
      </c>
      <c r="V478" s="45">
        <f>+T478*TARIFAS!$K$2</f>
        <v>0</v>
      </c>
      <c r="W478" s="45">
        <f t="shared" si="2"/>
        <v>0</v>
      </c>
      <c r="X478" s="45">
        <f t="shared" si="3"/>
        <v>0</v>
      </c>
      <c r="Y478" s="45">
        <f t="shared" si="4"/>
        <v>0</v>
      </c>
      <c r="Z478" s="42" t="str">
        <f>CONFERENCIAS!AB478</f>
        <v/>
      </c>
      <c r="AA478" s="42" t="str">
        <f>CONFERENCIAS!AC478</f>
        <v/>
      </c>
      <c r="AB478" s="47" t="str">
        <f t="shared" si="5"/>
        <v/>
      </c>
      <c r="AC478" s="9" t="str">
        <f t="shared" si="6"/>
        <v/>
      </c>
    </row>
    <row r="479">
      <c r="A479" s="42" t="str">
        <f>CONFERENCIAS!A479</f>
        <v/>
      </c>
      <c r="D479" s="42" t="str">
        <f>CONFERENCIAS!C479</f>
        <v/>
      </c>
      <c r="E479" s="42" t="str">
        <f>CONFERENCIAS!K479</f>
        <v/>
      </c>
      <c r="F479" s="49" t="str">
        <f>CONFERENCIAS!J479</f>
        <v/>
      </c>
      <c r="G479" s="42" t="str">
        <f>CONFERENCIAS!O479</f>
        <v/>
      </c>
      <c r="H479" s="42" t="str">
        <f>CONFERENCIAS!X479</f>
        <v/>
      </c>
      <c r="I479" s="42" t="str">
        <f>CONFERENCIAS!AA479</f>
        <v/>
      </c>
      <c r="J479" s="44" t="str">
        <f>CONFERENCIAS!P479</f>
        <v/>
      </c>
      <c r="K479" s="45" t="str">
        <f>CONFERENCIAS!R479</f>
        <v/>
      </c>
      <c r="L479" s="45">
        <f>IF(D479="",0,
 IF(E479=1,
   IF(H479="Presencial",
      VLOOKUP(D479,TARIFAS!A:K,3,FALSE) + IF(I479="Sí",VLOOKUP(D479,TARIFAS!A:K,5,FALSE),0),
      VLOOKUP(D479,TARIFAS!A:K,4,FALSE) + IF(I479="Sí",VLOOKUP(D479,TARIFAS!A:K,5,FALSE),0)
   ),
   IF(H479="Presencial",
      VLOOKUP(D479,TARIFAS!A:K,9,FALSE) + IF(I479="Sí",VLOOKUP(D479,TARIFAS!A:K,11,FALSE),0),
      VLOOKUP(D479,TARIFAS!A:K,10,FALSE) + IF(I479="Sí",VLOOKUP(D479,TARIFAS!A:K,11,FALSE),0)
   )
 )
)
</f>
        <v>0</v>
      </c>
      <c r="M479" s="45">
        <f>IF(J479="",0,MAX(0,J479 - TARIFAS!G$2) * TARIFAS!F$2)
</f>
        <v>0</v>
      </c>
      <c r="N479" s="45">
        <f>+L479*TARIFAS!$K$2</f>
        <v>0</v>
      </c>
      <c r="O479" s="45">
        <f t="shared" si="1"/>
        <v>0</v>
      </c>
      <c r="P479" s="45">
        <f>+M479+O479+K479+(+I479-(I479*TARIFAS!$K$2))</f>
        <v>0</v>
      </c>
      <c r="Q479" s="42" t="str">
        <f>CONFERENCIAS!T479</f>
        <v/>
      </c>
      <c r="R479" s="45" t="str">
        <f>CONFERENCIAS!U479</f>
        <v/>
      </c>
      <c r="S479" s="45" t="str">
        <f>CONFERENCIAS!W479</f>
        <v/>
      </c>
      <c r="T479" s="48">
        <f>IF(Q479="",0,
   IF(E479=1,
      IF(H479="Presencial",
         VLOOKUP(D479,TARIFAS!A:K,3,FALSE) + IF(I479="Sí",VLOOKUP(D479,TARIFAS!A:K,5,FALSE),0),
         VLOOKUP(D479,TARIFAS!A:K,4,FALSE) + IF(I479="Sí",VLOOKUP(D479,TARIFAS!A:K,5,FALSE),0)
      ),
      IF(H479="Presencial",
         VLOOKUP(D479,TARIFAS!A:K,9,FALSE) + IF(I479="Sí",VLOOKUP(D479,TARIFAS!A:K,11,FALSE),0),
         VLOOKUP(D479,TARIFAS!A:K,10,FALSE) + IF(I479="Sí",VLOOKUP(D479,TARIFAS!A:K,11,FALSE),0)
      )
   )
)
</f>
        <v>0</v>
      </c>
      <c r="U479" s="45">
        <f>IF(R479="",0,MAX(0,R479 - TARIFAS!G$2) * TARIFAS!F$2)
</f>
        <v>0</v>
      </c>
      <c r="V479" s="45">
        <f>+T479*TARIFAS!$K$2</f>
        <v>0</v>
      </c>
      <c r="W479" s="45">
        <f t="shared" si="2"/>
        <v>0</v>
      </c>
      <c r="X479" s="45">
        <f t="shared" si="3"/>
        <v>0</v>
      </c>
      <c r="Y479" s="45">
        <f t="shared" si="4"/>
        <v>0</v>
      </c>
      <c r="Z479" s="42" t="str">
        <f>CONFERENCIAS!AB479</f>
        <v/>
      </c>
      <c r="AA479" s="42" t="str">
        <f>CONFERENCIAS!AC479</f>
        <v/>
      </c>
      <c r="AB479" s="47" t="str">
        <f t="shared" si="5"/>
        <v/>
      </c>
      <c r="AC479" s="9" t="str">
        <f t="shared" si="6"/>
        <v/>
      </c>
    </row>
    <row r="480">
      <c r="A480" s="42" t="str">
        <f>CONFERENCIAS!A480</f>
        <v/>
      </c>
      <c r="D480" s="42" t="str">
        <f>CONFERENCIAS!C480</f>
        <v/>
      </c>
      <c r="E480" s="42" t="str">
        <f>CONFERENCIAS!K480</f>
        <v/>
      </c>
      <c r="F480" s="49" t="str">
        <f>CONFERENCIAS!J480</f>
        <v/>
      </c>
      <c r="G480" s="42" t="str">
        <f>CONFERENCIAS!O480</f>
        <v/>
      </c>
      <c r="H480" s="42" t="str">
        <f>CONFERENCIAS!X480</f>
        <v/>
      </c>
      <c r="I480" s="42" t="str">
        <f>CONFERENCIAS!AA480</f>
        <v/>
      </c>
      <c r="J480" s="44" t="str">
        <f>CONFERENCIAS!P480</f>
        <v/>
      </c>
      <c r="K480" s="45" t="str">
        <f>CONFERENCIAS!R480</f>
        <v/>
      </c>
      <c r="L480" s="45">
        <f>IF(D480="",0,
 IF(E480=1,
   IF(H480="Presencial",
      VLOOKUP(D480,TARIFAS!A:K,3,FALSE) + IF(I480="Sí",VLOOKUP(D480,TARIFAS!A:K,5,FALSE),0),
      VLOOKUP(D480,TARIFAS!A:K,4,FALSE) + IF(I480="Sí",VLOOKUP(D480,TARIFAS!A:K,5,FALSE),0)
   ),
   IF(H480="Presencial",
      VLOOKUP(D480,TARIFAS!A:K,9,FALSE) + IF(I480="Sí",VLOOKUP(D480,TARIFAS!A:K,11,FALSE),0),
      VLOOKUP(D480,TARIFAS!A:K,10,FALSE) + IF(I480="Sí",VLOOKUP(D480,TARIFAS!A:K,11,FALSE),0)
   )
 )
)
</f>
        <v>0</v>
      </c>
      <c r="M480" s="45">
        <f>IF(J480="",0,MAX(0,J480 - TARIFAS!G$2) * TARIFAS!F$2)
</f>
        <v>0</v>
      </c>
      <c r="N480" s="45">
        <f>+L480*TARIFAS!$K$2</f>
        <v>0</v>
      </c>
      <c r="O480" s="45">
        <f t="shared" si="1"/>
        <v>0</v>
      </c>
      <c r="P480" s="45">
        <f>+M480+O480+K480+(+I480-(I480*TARIFAS!$K$2))</f>
        <v>0</v>
      </c>
      <c r="Q480" s="42" t="str">
        <f>CONFERENCIAS!T480</f>
        <v/>
      </c>
      <c r="R480" s="45" t="str">
        <f>CONFERENCIAS!U480</f>
        <v/>
      </c>
      <c r="S480" s="45" t="str">
        <f>CONFERENCIAS!W480</f>
        <v/>
      </c>
      <c r="T480" s="48">
        <f>IF(Q480="",0,
   IF(E480=1,
      IF(H480="Presencial",
         VLOOKUP(D480,TARIFAS!A:K,3,FALSE) + IF(I480="Sí",VLOOKUP(D480,TARIFAS!A:K,5,FALSE),0),
         VLOOKUP(D480,TARIFAS!A:K,4,FALSE) + IF(I480="Sí",VLOOKUP(D480,TARIFAS!A:K,5,FALSE),0)
      ),
      IF(H480="Presencial",
         VLOOKUP(D480,TARIFAS!A:K,9,FALSE) + IF(I480="Sí",VLOOKUP(D480,TARIFAS!A:K,11,FALSE),0),
         VLOOKUP(D480,TARIFAS!A:K,10,FALSE) + IF(I480="Sí",VLOOKUP(D480,TARIFAS!A:K,11,FALSE),0)
      )
   )
)
</f>
        <v>0</v>
      </c>
      <c r="U480" s="45">
        <f>IF(R480="",0,MAX(0,R480 - TARIFAS!G$2) * TARIFAS!F$2)
</f>
        <v>0</v>
      </c>
      <c r="V480" s="45">
        <f>+T480*TARIFAS!$K$2</f>
        <v>0</v>
      </c>
      <c r="W480" s="45">
        <f t="shared" si="2"/>
        <v>0</v>
      </c>
      <c r="X480" s="45">
        <f t="shared" si="3"/>
        <v>0</v>
      </c>
      <c r="Y480" s="45">
        <f t="shared" si="4"/>
        <v>0</v>
      </c>
      <c r="Z480" s="42" t="str">
        <f>CONFERENCIAS!AB480</f>
        <v/>
      </c>
      <c r="AA480" s="42" t="str">
        <f>CONFERENCIAS!AC480</f>
        <v/>
      </c>
      <c r="AB480" s="47" t="str">
        <f t="shared" si="5"/>
        <v/>
      </c>
      <c r="AC480" s="9" t="str">
        <f t="shared" si="6"/>
        <v/>
      </c>
    </row>
    <row r="481">
      <c r="A481" s="42" t="str">
        <f>CONFERENCIAS!A481</f>
        <v/>
      </c>
      <c r="D481" s="42" t="str">
        <f>CONFERENCIAS!C481</f>
        <v/>
      </c>
      <c r="E481" s="42" t="str">
        <f>CONFERENCIAS!K481</f>
        <v/>
      </c>
      <c r="F481" s="49" t="str">
        <f>CONFERENCIAS!J481</f>
        <v/>
      </c>
      <c r="G481" s="42" t="str">
        <f>CONFERENCIAS!O481</f>
        <v/>
      </c>
      <c r="H481" s="42" t="str">
        <f>CONFERENCIAS!X481</f>
        <v/>
      </c>
      <c r="I481" s="42" t="str">
        <f>CONFERENCIAS!AA481</f>
        <v/>
      </c>
      <c r="J481" s="44" t="str">
        <f>CONFERENCIAS!P481</f>
        <v/>
      </c>
      <c r="K481" s="45" t="str">
        <f>CONFERENCIAS!R481</f>
        <v/>
      </c>
      <c r="L481" s="45">
        <f>IF(D481="",0,
 IF(E481=1,
   IF(H481="Presencial",
      VLOOKUP(D481,TARIFAS!A:K,3,FALSE) + IF(I481="Sí",VLOOKUP(D481,TARIFAS!A:K,5,FALSE),0),
      VLOOKUP(D481,TARIFAS!A:K,4,FALSE) + IF(I481="Sí",VLOOKUP(D481,TARIFAS!A:K,5,FALSE),0)
   ),
   IF(H481="Presencial",
      VLOOKUP(D481,TARIFAS!A:K,9,FALSE) + IF(I481="Sí",VLOOKUP(D481,TARIFAS!A:K,11,FALSE),0),
      VLOOKUP(D481,TARIFAS!A:K,10,FALSE) + IF(I481="Sí",VLOOKUP(D481,TARIFAS!A:K,11,FALSE),0)
   )
 )
)
</f>
        <v>0</v>
      </c>
      <c r="M481" s="45">
        <f>IF(J481="",0,MAX(0,J481 - TARIFAS!G$2) * TARIFAS!F$2)
</f>
        <v>0</v>
      </c>
      <c r="N481" s="45">
        <f>+L481*TARIFAS!$K$2</f>
        <v>0</v>
      </c>
      <c r="O481" s="45">
        <f t="shared" si="1"/>
        <v>0</v>
      </c>
      <c r="P481" s="45">
        <f>+M481+O481+K481+(+I481-(I481*TARIFAS!$K$2))</f>
        <v>0</v>
      </c>
      <c r="Q481" s="42" t="str">
        <f>CONFERENCIAS!T481</f>
        <v/>
      </c>
      <c r="R481" s="45" t="str">
        <f>CONFERENCIAS!U481</f>
        <v/>
      </c>
      <c r="S481" s="45" t="str">
        <f>CONFERENCIAS!W481</f>
        <v/>
      </c>
      <c r="T481" s="48">
        <f>IF(Q481="",0,
   IF(E481=1,
      IF(H481="Presencial",
         VLOOKUP(D481,TARIFAS!A:K,3,FALSE) + IF(I481="Sí",VLOOKUP(D481,TARIFAS!A:K,5,FALSE),0),
         VLOOKUP(D481,TARIFAS!A:K,4,FALSE) + IF(I481="Sí",VLOOKUP(D481,TARIFAS!A:K,5,FALSE),0)
      ),
      IF(H481="Presencial",
         VLOOKUP(D481,TARIFAS!A:K,9,FALSE) + IF(I481="Sí",VLOOKUP(D481,TARIFAS!A:K,11,FALSE),0),
         VLOOKUP(D481,TARIFAS!A:K,10,FALSE) + IF(I481="Sí",VLOOKUP(D481,TARIFAS!A:K,11,FALSE),0)
      )
   )
)
</f>
        <v>0</v>
      </c>
      <c r="U481" s="45">
        <f>IF(R481="",0,MAX(0,R481 - TARIFAS!G$2) * TARIFAS!F$2)
</f>
        <v>0</v>
      </c>
      <c r="V481" s="45">
        <f>+T481*TARIFAS!$K$2</f>
        <v>0</v>
      </c>
      <c r="W481" s="45">
        <f t="shared" si="2"/>
        <v>0</v>
      </c>
      <c r="X481" s="45">
        <f t="shared" si="3"/>
        <v>0</v>
      </c>
      <c r="Y481" s="45">
        <f t="shared" si="4"/>
        <v>0</v>
      </c>
      <c r="Z481" s="42" t="str">
        <f>CONFERENCIAS!AB481</f>
        <v/>
      </c>
      <c r="AA481" s="42" t="str">
        <f>CONFERENCIAS!AC481</f>
        <v/>
      </c>
      <c r="AB481" s="47" t="str">
        <f t="shared" si="5"/>
        <v/>
      </c>
      <c r="AC481" s="9" t="str">
        <f t="shared" si="6"/>
        <v/>
      </c>
    </row>
    <row r="482">
      <c r="A482" s="42" t="str">
        <f>CONFERENCIAS!A482</f>
        <v/>
      </c>
      <c r="D482" s="42" t="str">
        <f>CONFERENCIAS!C482</f>
        <v/>
      </c>
      <c r="E482" s="42" t="str">
        <f>CONFERENCIAS!K482</f>
        <v/>
      </c>
      <c r="F482" s="49" t="str">
        <f>CONFERENCIAS!J482</f>
        <v/>
      </c>
      <c r="G482" s="42" t="str">
        <f>CONFERENCIAS!O482</f>
        <v/>
      </c>
      <c r="H482" s="42" t="str">
        <f>CONFERENCIAS!X482</f>
        <v/>
      </c>
      <c r="I482" s="42" t="str">
        <f>CONFERENCIAS!AA482</f>
        <v/>
      </c>
      <c r="J482" s="44" t="str">
        <f>CONFERENCIAS!P482</f>
        <v/>
      </c>
      <c r="K482" s="45" t="str">
        <f>CONFERENCIAS!R482</f>
        <v/>
      </c>
      <c r="L482" s="45">
        <f>IF(D482="",0,
 IF(E482=1,
   IF(H482="Presencial",
      VLOOKUP(D482,TARIFAS!A:K,3,FALSE) + IF(I482="Sí",VLOOKUP(D482,TARIFAS!A:K,5,FALSE),0),
      VLOOKUP(D482,TARIFAS!A:K,4,FALSE) + IF(I482="Sí",VLOOKUP(D482,TARIFAS!A:K,5,FALSE),0)
   ),
   IF(H482="Presencial",
      VLOOKUP(D482,TARIFAS!A:K,9,FALSE) + IF(I482="Sí",VLOOKUP(D482,TARIFAS!A:K,11,FALSE),0),
      VLOOKUP(D482,TARIFAS!A:K,10,FALSE) + IF(I482="Sí",VLOOKUP(D482,TARIFAS!A:K,11,FALSE),0)
   )
 )
)
</f>
        <v>0</v>
      </c>
      <c r="M482" s="45">
        <f>IF(J482="",0,MAX(0,J482 - TARIFAS!G$2) * TARIFAS!F$2)
</f>
        <v>0</v>
      </c>
      <c r="N482" s="45">
        <f>+L482*TARIFAS!$K$2</f>
        <v>0</v>
      </c>
      <c r="O482" s="45">
        <f t="shared" si="1"/>
        <v>0</v>
      </c>
      <c r="P482" s="45">
        <f>+M482+O482+K482+(+I482-(I482*TARIFAS!$K$2))</f>
        <v>0</v>
      </c>
      <c r="Q482" s="42" t="str">
        <f>CONFERENCIAS!T482</f>
        <v/>
      </c>
      <c r="R482" s="45" t="str">
        <f>CONFERENCIAS!U482</f>
        <v/>
      </c>
      <c r="S482" s="45" t="str">
        <f>CONFERENCIAS!W482</f>
        <v/>
      </c>
      <c r="T482" s="48">
        <f>IF(Q482="",0,
   IF(E482=1,
      IF(H482="Presencial",
         VLOOKUP(D482,TARIFAS!A:K,3,FALSE) + IF(I482="Sí",VLOOKUP(D482,TARIFAS!A:K,5,FALSE),0),
         VLOOKUP(D482,TARIFAS!A:K,4,FALSE) + IF(I482="Sí",VLOOKUP(D482,TARIFAS!A:K,5,FALSE),0)
      ),
      IF(H482="Presencial",
         VLOOKUP(D482,TARIFAS!A:K,9,FALSE) + IF(I482="Sí",VLOOKUP(D482,TARIFAS!A:K,11,FALSE),0),
         VLOOKUP(D482,TARIFAS!A:K,10,FALSE) + IF(I482="Sí",VLOOKUP(D482,TARIFAS!A:K,11,FALSE),0)
      )
   )
)
</f>
        <v>0</v>
      </c>
      <c r="U482" s="45">
        <f>IF(R482="",0,MAX(0,R482 - TARIFAS!G$2) * TARIFAS!F$2)
</f>
        <v>0</v>
      </c>
      <c r="V482" s="45">
        <f>+T482*TARIFAS!$K$2</f>
        <v>0</v>
      </c>
      <c r="W482" s="45">
        <f t="shared" si="2"/>
        <v>0</v>
      </c>
      <c r="X482" s="45">
        <f t="shared" si="3"/>
        <v>0</v>
      </c>
      <c r="Y482" s="45">
        <f t="shared" si="4"/>
        <v>0</v>
      </c>
      <c r="Z482" s="42" t="str">
        <f>CONFERENCIAS!AB482</f>
        <v/>
      </c>
      <c r="AA482" s="42" t="str">
        <f>CONFERENCIAS!AC482</f>
        <v/>
      </c>
      <c r="AB482" s="47" t="str">
        <f t="shared" si="5"/>
        <v/>
      </c>
      <c r="AC482" s="9" t="str">
        <f t="shared" si="6"/>
        <v/>
      </c>
    </row>
    <row r="483">
      <c r="A483" s="42" t="str">
        <f>CONFERENCIAS!A483</f>
        <v/>
      </c>
      <c r="D483" s="42" t="str">
        <f>CONFERENCIAS!C483</f>
        <v/>
      </c>
      <c r="E483" s="42" t="str">
        <f>CONFERENCIAS!K483</f>
        <v/>
      </c>
      <c r="F483" s="49" t="str">
        <f>CONFERENCIAS!J483</f>
        <v/>
      </c>
      <c r="G483" s="42" t="str">
        <f>CONFERENCIAS!O483</f>
        <v/>
      </c>
      <c r="H483" s="42" t="str">
        <f>CONFERENCIAS!X483</f>
        <v/>
      </c>
      <c r="I483" s="42" t="str">
        <f>CONFERENCIAS!AA483</f>
        <v/>
      </c>
      <c r="J483" s="44" t="str">
        <f>CONFERENCIAS!P483</f>
        <v/>
      </c>
      <c r="K483" s="45" t="str">
        <f>CONFERENCIAS!R483</f>
        <v/>
      </c>
      <c r="L483" s="45">
        <f>IF(D483="",0,
 IF(E483=1,
   IF(H483="Presencial",
      VLOOKUP(D483,TARIFAS!A:K,3,FALSE) + IF(I483="Sí",VLOOKUP(D483,TARIFAS!A:K,5,FALSE),0),
      VLOOKUP(D483,TARIFAS!A:K,4,FALSE) + IF(I483="Sí",VLOOKUP(D483,TARIFAS!A:K,5,FALSE),0)
   ),
   IF(H483="Presencial",
      VLOOKUP(D483,TARIFAS!A:K,9,FALSE) + IF(I483="Sí",VLOOKUP(D483,TARIFAS!A:K,11,FALSE),0),
      VLOOKUP(D483,TARIFAS!A:K,10,FALSE) + IF(I483="Sí",VLOOKUP(D483,TARIFAS!A:K,11,FALSE),0)
   )
 )
)
</f>
        <v>0</v>
      </c>
      <c r="M483" s="45">
        <f>IF(J483="",0,MAX(0,J483 - TARIFAS!G$2) * TARIFAS!F$2)
</f>
        <v>0</v>
      </c>
      <c r="N483" s="45">
        <f>+L483*TARIFAS!$K$2</f>
        <v>0</v>
      </c>
      <c r="O483" s="45">
        <f t="shared" si="1"/>
        <v>0</v>
      </c>
      <c r="P483" s="45">
        <f>+M483+O483+K483+(+I483-(I483*TARIFAS!$K$2))</f>
        <v>0</v>
      </c>
      <c r="Q483" s="42" t="str">
        <f>CONFERENCIAS!T483</f>
        <v/>
      </c>
      <c r="R483" s="45" t="str">
        <f>CONFERENCIAS!U483</f>
        <v/>
      </c>
      <c r="S483" s="45" t="str">
        <f>CONFERENCIAS!W483</f>
        <v/>
      </c>
      <c r="T483" s="48">
        <f>IF(Q483="",0,
   IF(E483=1,
      IF(H483="Presencial",
         VLOOKUP(D483,TARIFAS!A:K,3,FALSE) + IF(I483="Sí",VLOOKUP(D483,TARIFAS!A:K,5,FALSE),0),
         VLOOKUP(D483,TARIFAS!A:K,4,FALSE) + IF(I483="Sí",VLOOKUP(D483,TARIFAS!A:K,5,FALSE),0)
      ),
      IF(H483="Presencial",
         VLOOKUP(D483,TARIFAS!A:K,9,FALSE) + IF(I483="Sí",VLOOKUP(D483,TARIFAS!A:K,11,FALSE),0),
         VLOOKUP(D483,TARIFAS!A:K,10,FALSE) + IF(I483="Sí",VLOOKUP(D483,TARIFAS!A:K,11,FALSE),0)
      )
   )
)
</f>
        <v>0</v>
      </c>
      <c r="U483" s="45">
        <f>IF(R483="",0,MAX(0,R483 - TARIFAS!G$2) * TARIFAS!F$2)
</f>
        <v>0</v>
      </c>
      <c r="V483" s="45">
        <f>+T483*TARIFAS!$K$2</f>
        <v>0</v>
      </c>
      <c r="W483" s="45">
        <f t="shared" si="2"/>
        <v>0</v>
      </c>
      <c r="X483" s="45">
        <f t="shared" si="3"/>
        <v>0</v>
      </c>
      <c r="Y483" s="45">
        <f t="shared" si="4"/>
        <v>0</v>
      </c>
      <c r="Z483" s="42" t="str">
        <f>CONFERENCIAS!AB483</f>
        <v/>
      </c>
      <c r="AA483" s="42" t="str">
        <f>CONFERENCIAS!AC483</f>
        <v/>
      </c>
      <c r="AB483" s="47" t="str">
        <f t="shared" si="5"/>
        <v/>
      </c>
      <c r="AC483" s="9" t="str">
        <f t="shared" si="6"/>
        <v/>
      </c>
    </row>
    <row r="484">
      <c r="A484" s="42" t="str">
        <f>CONFERENCIAS!A484</f>
        <v/>
      </c>
      <c r="D484" s="42" t="str">
        <f>CONFERENCIAS!C484</f>
        <v/>
      </c>
      <c r="E484" s="42" t="str">
        <f>CONFERENCIAS!K484</f>
        <v/>
      </c>
      <c r="F484" s="49" t="str">
        <f>CONFERENCIAS!J484</f>
        <v/>
      </c>
      <c r="G484" s="42" t="str">
        <f>CONFERENCIAS!O484</f>
        <v/>
      </c>
      <c r="H484" s="42" t="str">
        <f>CONFERENCIAS!X484</f>
        <v/>
      </c>
      <c r="I484" s="42" t="str">
        <f>CONFERENCIAS!AA484</f>
        <v/>
      </c>
      <c r="J484" s="44" t="str">
        <f>CONFERENCIAS!P484</f>
        <v/>
      </c>
      <c r="K484" s="45" t="str">
        <f>CONFERENCIAS!R484</f>
        <v/>
      </c>
      <c r="L484" s="45">
        <f>IF(D484="",0,
 IF(E484=1,
   IF(H484="Presencial",
      VLOOKUP(D484,TARIFAS!A:K,3,FALSE) + IF(I484="Sí",VLOOKUP(D484,TARIFAS!A:K,5,FALSE),0),
      VLOOKUP(D484,TARIFAS!A:K,4,FALSE) + IF(I484="Sí",VLOOKUP(D484,TARIFAS!A:K,5,FALSE),0)
   ),
   IF(H484="Presencial",
      VLOOKUP(D484,TARIFAS!A:K,9,FALSE) + IF(I484="Sí",VLOOKUP(D484,TARIFAS!A:K,11,FALSE),0),
      VLOOKUP(D484,TARIFAS!A:K,10,FALSE) + IF(I484="Sí",VLOOKUP(D484,TARIFAS!A:K,11,FALSE),0)
   )
 )
)
</f>
        <v>0</v>
      </c>
      <c r="M484" s="45">
        <f>IF(J484="",0,MAX(0,J484 - TARIFAS!G$2) * TARIFAS!F$2)
</f>
        <v>0</v>
      </c>
      <c r="N484" s="45">
        <f>+L484*TARIFAS!$K$2</f>
        <v>0</v>
      </c>
      <c r="O484" s="45">
        <f t="shared" si="1"/>
        <v>0</v>
      </c>
      <c r="P484" s="45">
        <f>+M484+O484+K484+(+I484-(I484*TARIFAS!$K$2))</f>
        <v>0</v>
      </c>
      <c r="Q484" s="42" t="str">
        <f>CONFERENCIAS!T484</f>
        <v/>
      </c>
      <c r="R484" s="45" t="str">
        <f>CONFERENCIAS!U484</f>
        <v/>
      </c>
      <c r="S484" s="45" t="str">
        <f>CONFERENCIAS!W484</f>
        <v/>
      </c>
      <c r="T484" s="48">
        <f>IF(Q484="",0,
   IF(E484=1,
      IF(H484="Presencial",
         VLOOKUP(D484,TARIFAS!A:K,3,FALSE) + IF(I484="Sí",VLOOKUP(D484,TARIFAS!A:K,5,FALSE),0),
         VLOOKUP(D484,TARIFAS!A:K,4,FALSE) + IF(I484="Sí",VLOOKUP(D484,TARIFAS!A:K,5,FALSE),0)
      ),
      IF(H484="Presencial",
         VLOOKUP(D484,TARIFAS!A:K,9,FALSE) + IF(I484="Sí",VLOOKUP(D484,TARIFAS!A:K,11,FALSE),0),
         VLOOKUP(D484,TARIFAS!A:K,10,FALSE) + IF(I484="Sí",VLOOKUP(D484,TARIFAS!A:K,11,FALSE),0)
      )
   )
)
</f>
        <v>0</v>
      </c>
      <c r="U484" s="45">
        <f>IF(R484="",0,MAX(0,R484 - TARIFAS!G$2) * TARIFAS!F$2)
</f>
        <v>0</v>
      </c>
      <c r="V484" s="45">
        <f>+T484*TARIFAS!$K$2</f>
        <v>0</v>
      </c>
      <c r="W484" s="45">
        <f t="shared" si="2"/>
        <v>0</v>
      </c>
      <c r="X484" s="45">
        <f t="shared" si="3"/>
        <v>0</v>
      </c>
      <c r="Y484" s="45">
        <f t="shared" si="4"/>
        <v>0</v>
      </c>
      <c r="Z484" s="42" t="str">
        <f>CONFERENCIAS!AB484</f>
        <v/>
      </c>
      <c r="AA484" s="42" t="str">
        <f>CONFERENCIAS!AC484</f>
        <v/>
      </c>
      <c r="AB484" s="47" t="str">
        <f t="shared" si="5"/>
        <v/>
      </c>
      <c r="AC484" s="9" t="str">
        <f t="shared" si="6"/>
        <v/>
      </c>
    </row>
    <row r="485">
      <c r="A485" s="42" t="str">
        <f>CONFERENCIAS!A485</f>
        <v/>
      </c>
      <c r="D485" s="42" t="str">
        <f>CONFERENCIAS!C485</f>
        <v/>
      </c>
      <c r="E485" s="42" t="str">
        <f>CONFERENCIAS!K485</f>
        <v/>
      </c>
      <c r="F485" s="49" t="str">
        <f>CONFERENCIAS!J485</f>
        <v/>
      </c>
      <c r="G485" s="42" t="str">
        <f>CONFERENCIAS!O485</f>
        <v/>
      </c>
      <c r="H485" s="42" t="str">
        <f>CONFERENCIAS!X485</f>
        <v/>
      </c>
      <c r="I485" s="42" t="str">
        <f>CONFERENCIAS!AA485</f>
        <v/>
      </c>
      <c r="J485" s="44" t="str">
        <f>CONFERENCIAS!P485</f>
        <v/>
      </c>
      <c r="K485" s="45" t="str">
        <f>CONFERENCIAS!R485</f>
        <v/>
      </c>
      <c r="L485" s="45">
        <f>IF(D485="",0,
 IF(E485=1,
   IF(H485="Presencial",
      VLOOKUP(D485,TARIFAS!A:K,3,FALSE) + IF(I485="Sí",VLOOKUP(D485,TARIFAS!A:K,5,FALSE),0),
      VLOOKUP(D485,TARIFAS!A:K,4,FALSE) + IF(I485="Sí",VLOOKUP(D485,TARIFAS!A:K,5,FALSE),0)
   ),
   IF(H485="Presencial",
      VLOOKUP(D485,TARIFAS!A:K,9,FALSE) + IF(I485="Sí",VLOOKUP(D485,TARIFAS!A:K,11,FALSE),0),
      VLOOKUP(D485,TARIFAS!A:K,10,FALSE) + IF(I485="Sí",VLOOKUP(D485,TARIFAS!A:K,11,FALSE),0)
   )
 )
)
</f>
        <v>0</v>
      </c>
      <c r="M485" s="45">
        <f>IF(J485="",0,MAX(0,J485 - TARIFAS!G$2) * TARIFAS!F$2)
</f>
        <v>0</v>
      </c>
      <c r="N485" s="45">
        <f>+L485*TARIFAS!$K$2</f>
        <v>0</v>
      </c>
      <c r="O485" s="45">
        <f t="shared" si="1"/>
        <v>0</v>
      </c>
      <c r="P485" s="45">
        <f>+M485+O485+K485+(+I485-(I485*TARIFAS!$K$2))</f>
        <v>0</v>
      </c>
      <c r="Q485" s="42" t="str">
        <f>CONFERENCIAS!T485</f>
        <v/>
      </c>
      <c r="R485" s="45" t="str">
        <f>CONFERENCIAS!U485</f>
        <v/>
      </c>
      <c r="S485" s="45" t="str">
        <f>CONFERENCIAS!W485</f>
        <v/>
      </c>
      <c r="T485" s="48">
        <f>IF(Q485="",0,
   IF(E485=1,
      IF(H485="Presencial",
         VLOOKUP(D485,TARIFAS!A:K,3,FALSE) + IF(I485="Sí",VLOOKUP(D485,TARIFAS!A:K,5,FALSE),0),
         VLOOKUP(D485,TARIFAS!A:K,4,FALSE) + IF(I485="Sí",VLOOKUP(D485,TARIFAS!A:K,5,FALSE),0)
      ),
      IF(H485="Presencial",
         VLOOKUP(D485,TARIFAS!A:K,9,FALSE) + IF(I485="Sí",VLOOKUP(D485,TARIFAS!A:K,11,FALSE),0),
         VLOOKUP(D485,TARIFAS!A:K,10,FALSE) + IF(I485="Sí",VLOOKUP(D485,TARIFAS!A:K,11,FALSE),0)
      )
   )
)
</f>
        <v>0</v>
      </c>
      <c r="U485" s="45">
        <f>IF(R485="",0,MAX(0,R485 - TARIFAS!G$2) * TARIFAS!F$2)
</f>
        <v>0</v>
      </c>
      <c r="V485" s="45">
        <f>+T485*TARIFAS!$K$2</f>
        <v>0</v>
      </c>
      <c r="W485" s="45">
        <f t="shared" si="2"/>
        <v>0</v>
      </c>
      <c r="X485" s="45">
        <f t="shared" si="3"/>
        <v>0</v>
      </c>
      <c r="Y485" s="45">
        <f t="shared" si="4"/>
        <v>0</v>
      </c>
      <c r="Z485" s="42" t="str">
        <f>CONFERENCIAS!AB485</f>
        <v/>
      </c>
      <c r="AA485" s="42" t="str">
        <f>CONFERENCIAS!AC485</f>
        <v/>
      </c>
      <c r="AB485" s="47" t="str">
        <f t="shared" si="5"/>
        <v/>
      </c>
      <c r="AC485" s="9" t="str">
        <f t="shared" si="6"/>
        <v/>
      </c>
    </row>
    <row r="486">
      <c r="A486" s="42" t="str">
        <f>CONFERENCIAS!A486</f>
        <v/>
      </c>
      <c r="D486" s="42" t="str">
        <f>CONFERENCIAS!C486</f>
        <v/>
      </c>
      <c r="E486" s="42" t="str">
        <f>CONFERENCIAS!K486</f>
        <v/>
      </c>
      <c r="F486" s="49" t="str">
        <f>CONFERENCIAS!J486</f>
        <v/>
      </c>
      <c r="G486" s="42" t="str">
        <f>CONFERENCIAS!O486</f>
        <v/>
      </c>
      <c r="H486" s="42" t="str">
        <f>CONFERENCIAS!X486</f>
        <v/>
      </c>
      <c r="I486" s="42" t="str">
        <f>CONFERENCIAS!AA486</f>
        <v/>
      </c>
      <c r="J486" s="44" t="str">
        <f>CONFERENCIAS!P486</f>
        <v/>
      </c>
      <c r="K486" s="45" t="str">
        <f>CONFERENCIAS!R486</f>
        <v/>
      </c>
      <c r="L486" s="45">
        <f>IF(D486="",0,
 IF(E486=1,
   IF(H486="Presencial",
      VLOOKUP(D486,TARIFAS!A:K,3,FALSE) + IF(I486="Sí",VLOOKUP(D486,TARIFAS!A:K,5,FALSE),0),
      VLOOKUP(D486,TARIFAS!A:K,4,FALSE) + IF(I486="Sí",VLOOKUP(D486,TARIFAS!A:K,5,FALSE),0)
   ),
   IF(H486="Presencial",
      VLOOKUP(D486,TARIFAS!A:K,9,FALSE) + IF(I486="Sí",VLOOKUP(D486,TARIFAS!A:K,11,FALSE),0),
      VLOOKUP(D486,TARIFAS!A:K,10,FALSE) + IF(I486="Sí",VLOOKUP(D486,TARIFAS!A:K,11,FALSE),0)
   )
 )
)
</f>
        <v>0</v>
      </c>
      <c r="M486" s="45">
        <f>IF(J486="",0,MAX(0,J486 - TARIFAS!G$2) * TARIFAS!F$2)
</f>
        <v>0</v>
      </c>
      <c r="N486" s="45">
        <f>+L486*TARIFAS!$K$2</f>
        <v>0</v>
      </c>
      <c r="O486" s="45">
        <f t="shared" si="1"/>
        <v>0</v>
      </c>
      <c r="P486" s="45">
        <f>+M486+O486+K486+(+I486-(I486*TARIFAS!$K$2))</f>
        <v>0</v>
      </c>
      <c r="Q486" s="42" t="str">
        <f>CONFERENCIAS!T486</f>
        <v/>
      </c>
      <c r="R486" s="45" t="str">
        <f>CONFERENCIAS!U486</f>
        <v/>
      </c>
      <c r="S486" s="45" t="str">
        <f>CONFERENCIAS!W486</f>
        <v/>
      </c>
      <c r="T486" s="48">
        <f>IF(Q486="",0,
   IF(E486=1,
      IF(H486="Presencial",
         VLOOKUP(D486,TARIFAS!A:K,3,FALSE) + IF(I486="Sí",VLOOKUP(D486,TARIFAS!A:K,5,FALSE),0),
         VLOOKUP(D486,TARIFAS!A:K,4,FALSE) + IF(I486="Sí",VLOOKUP(D486,TARIFAS!A:K,5,FALSE),0)
      ),
      IF(H486="Presencial",
         VLOOKUP(D486,TARIFAS!A:K,9,FALSE) + IF(I486="Sí",VLOOKUP(D486,TARIFAS!A:K,11,FALSE),0),
         VLOOKUP(D486,TARIFAS!A:K,10,FALSE) + IF(I486="Sí",VLOOKUP(D486,TARIFAS!A:K,11,FALSE),0)
      )
   )
)
</f>
        <v>0</v>
      </c>
      <c r="U486" s="45">
        <f>IF(R486="",0,MAX(0,R486 - TARIFAS!G$2) * TARIFAS!F$2)
</f>
        <v>0</v>
      </c>
      <c r="V486" s="45">
        <f>+T486*TARIFAS!$K$2</f>
        <v>0</v>
      </c>
      <c r="W486" s="45">
        <f t="shared" si="2"/>
        <v>0</v>
      </c>
      <c r="X486" s="45">
        <f t="shared" si="3"/>
        <v>0</v>
      </c>
      <c r="Y486" s="45">
        <f t="shared" si="4"/>
        <v>0</v>
      </c>
      <c r="Z486" s="42" t="str">
        <f>CONFERENCIAS!AB486</f>
        <v/>
      </c>
      <c r="AA486" s="42" t="str">
        <f>CONFERENCIAS!AC486</f>
        <v/>
      </c>
      <c r="AB486" s="47" t="str">
        <f t="shared" si="5"/>
        <v/>
      </c>
      <c r="AC486" s="9" t="str">
        <f t="shared" si="6"/>
        <v/>
      </c>
    </row>
    <row r="487">
      <c r="A487" s="42" t="str">
        <f>CONFERENCIAS!A487</f>
        <v/>
      </c>
      <c r="D487" s="42" t="str">
        <f>CONFERENCIAS!C487</f>
        <v/>
      </c>
      <c r="E487" s="42" t="str">
        <f>CONFERENCIAS!K487</f>
        <v/>
      </c>
      <c r="F487" s="49" t="str">
        <f>CONFERENCIAS!J487</f>
        <v/>
      </c>
      <c r="G487" s="42" t="str">
        <f>CONFERENCIAS!O487</f>
        <v/>
      </c>
      <c r="H487" s="42" t="str">
        <f>CONFERENCIAS!X487</f>
        <v/>
      </c>
      <c r="I487" s="42" t="str">
        <f>CONFERENCIAS!AA487</f>
        <v/>
      </c>
      <c r="J487" s="44" t="str">
        <f>CONFERENCIAS!P487</f>
        <v/>
      </c>
      <c r="K487" s="45" t="str">
        <f>CONFERENCIAS!R487</f>
        <v/>
      </c>
      <c r="L487" s="45">
        <f>IF(D487="",0,
 IF(E487=1,
   IF(H487="Presencial",
      VLOOKUP(D487,TARIFAS!A:K,3,FALSE) + IF(I487="Sí",VLOOKUP(D487,TARIFAS!A:K,5,FALSE),0),
      VLOOKUP(D487,TARIFAS!A:K,4,FALSE) + IF(I487="Sí",VLOOKUP(D487,TARIFAS!A:K,5,FALSE),0)
   ),
   IF(H487="Presencial",
      VLOOKUP(D487,TARIFAS!A:K,9,FALSE) + IF(I487="Sí",VLOOKUP(D487,TARIFAS!A:K,11,FALSE),0),
      VLOOKUP(D487,TARIFAS!A:K,10,FALSE) + IF(I487="Sí",VLOOKUP(D487,TARIFAS!A:K,11,FALSE),0)
   )
 )
)
</f>
        <v>0</v>
      </c>
      <c r="M487" s="45">
        <f>IF(J487="",0,MAX(0,J487 - TARIFAS!G$2) * TARIFAS!F$2)
</f>
        <v>0</v>
      </c>
      <c r="N487" s="45">
        <f>+L487*TARIFAS!$K$2</f>
        <v>0</v>
      </c>
      <c r="O487" s="45">
        <f t="shared" si="1"/>
        <v>0</v>
      </c>
      <c r="P487" s="45">
        <f>+M487+O487+K487+(+I487-(I487*TARIFAS!$K$2))</f>
        <v>0</v>
      </c>
      <c r="Q487" s="42" t="str">
        <f>CONFERENCIAS!T487</f>
        <v/>
      </c>
      <c r="R487" s="45" t="str">
        <f>CONFERENCIAS!U487</f>
        <v/>
      </c>
      <c r="S487" s="45" t="str">
        <f>CONFERENCIAS!W487</f>
        <v/>
      </c>
      <c r="T487" s="48">
        <f>IF(Q487="",0,
   IF(E487=1,
      IF(H487="Presencial",
         VLOOKUP(D487,TARIFAS!A:K,3,FALSE) + IF(I487="Sí",VLOOKUP(D487,TARIFAS!A:K,5,FALSE),0),
         VLOOKUP(D487,TARIFAS!A:K,4,FALSE) + IF(I487="Sí",VLOOKUP(D487,TARIFAS!A:K,5,FALSE),0)
      ),
      IF(H487="Presencial",
         VLOOKUP(D487,TARIFAS!A:K,9,FALSE) + IF(I487="Sí",VLOOKUP(D487,TARIFAS!A:K,11,FALSE),0),
         VLOOKUP(D487,TARIFAS!A:K,10,FALSE) + IF(I487="Sí",VLOOKUP(D487,TARIFAS!A:K,11,FALSE),0)
      )
   )
)
</f>
        <v>0</v>
      </c>
      <c r="U487" s="45">
        <f>IF(R487="",0,MAX(0,R487 - TARIFAS!G$2) * TARIFAS!F$2)
</f>
        <v>0</v>
      </c>
      <c r="V487" s="45">
        <f>+T487*TARIFAS!$K$2</f>
        <v>0</v>
      </c>
      <c r="W487" s="45">
        <f t="shared" si="2"/>
        <v>0</v>
      </c>
      <c r="X487" s="45">
        <f t="shared" si="3"/>
        <v>0</v>
      </c>
      <c r="Y487" s="45">
        <f t="shared" si="4"/>
        <v>0</v>
      </c>
      <c r="Z487" s="42" t="str">
        <f>CONFERENCIAS!AB487</f>
        <v/>
      </c>
      <c r="AA487" s="42" t="str">
        <f>CONFERENCIAS!AC487</f>
        <v/>
      </c>
      <c r="AB487" s="47" t="str">
        <f t="shared" si="5"/>
        <v/>
      </c>
      <c r="AC487" s="9" t="str">
        <f t="shared" si="6"/>
        <v/>
      </c>
    </row>
    <row r="488">
      <c r="A488" s="42" t="str">
        <f>CONFERENCIAS!A488</f>
        <v/>
      </c>
      <c r="D488" s="42" t="str">
        <f>CONFERENCIAS!C488</f>
        <v/>
      </c>
      <c r="E488" s="42" t="str">
        <f>CONFERENCIAS!K488</f>
        <v/>
      </c>
      <c r="F488" s="49" t="str">
        <f>CONFERENCIAS!J488</f>
        <v/>
      </c>
      <c r="G488" s="42" t="str">
        <f>CONFERENCIAS!O488</f>
        <v/>
      </c>
      <c r="H488" s="42" t="str">
        <f>CONFERENCIAS!X488</f>
        <v/>
      </c>
      <c r="I488" s="42" t="str">
        <f>CONFERENCIAS!AA488</f>
        <v/>
      </c>
      <c r="J488" s="44" t="str">
        <f>CONFERENCIAS!P488</f>
        <v/>
      </c>
      <c r="K488" s="45" t="str">
        <f>CONFERENCIAS!R488</f>
        <v/>
      </c>
      <c r="L488" s="45">
        <f>IF(D488="",0,
 IF(E488=1,
   IF(H488="Presencial",
      VLOOKUP(D488,TARIFAS!A:K,3,FALSE) + IF(I488="Sí",VLOOKUP(D488,TARIFAS!A:K,5,FALSE),0),
      VLOOKUP(D488,TARIFAS!A:K,4,FALSE) + IF(I488="Sí",VLOOKUP(D488,TARIFAS!A:K,5,FALSE),0)
   ),
   IF(H488="Presencial",
      VLOOKUP(D488,TARIFAS!A:K,9,FALSE) + IF(I488="Sí",VLOOKUP(D488,TARIFAS!A:K,11,FALSE),0),
      VLOOKUP(D488,TARIFAS!A:K,10,FALSE) + IF(I488="Sí",VLOOKUP(D488,TARIFAS!A:K,11,FALSE),0)
   )
 )
)
</f>
        <v>0</v>
      </c>
      <c r="M488" s="45">
        <f>IF(J488="",0,MAX(0,J488 - TARIFAS!G$2) * TARIFAS!F$2)
</f>
        <v>0</v>
      </c>
      <c r="N488" s="45">
        <f>+L488*TARIFAS!$K$2</f>
        <v>0</v>
      </c>
      <c r="O488" s="45">
        <f t="shared" si="1"/>
        <v>0</v>
      </c>
      <c r="P488" s="45">
        <f>+M488+O488+K488+(+I488-(I488*TARIFAS!$K$2))</f>
        <v>0</v>
      </c>
      <c r="Q488" s="42" t="str">
        <f>CONFERENCIAS!T488</f>
        <v/>
      </c>
      <c r="R488" s="45" t="str">
        <f>CONFERENCIAS!U488</f>
        <v/>
      </c>
      <c r="S488" s="45" t="str">
        <f>CONFERENCIAS!W488</f>
        <v/>
      </c>
      <c r="T488" s="48">
        <f>IF(Q488="",0,
   IF(E488=1,
      IF(H488="Presencial",
         VLOOKUP(D488,TARIFAS!A:K,3,FALSE) + IF(I488="Sí",VLOOKUP(D488,TARIFAS!A:K,5,FALSE),0),
         VLOOKUP(D488,TARIFAS!A:K,4,FALSE) + IF(I488="Sí",VLOOKUP(D488,TARIFAS!A:K,5,FALSE),0)
      ),
      IF(H488="Presencial",
         VLOOKUP(D488,TARIFAS!A:K,9,FALSE) + IF(I488="Sí",VLOOKUP(D488,TARIFAS!A:K,11,FALSE),0),
         VLOOKUP(D488,TARIFAS!A:K,10,FALSE) + IF(I488="Sí",VLOOKUP(D488,TARIFAS!A:K,11,FALSE),0)
      )
   )
)
</f>
        <v>0</v>
      </c>
      <c r="U488" s="45">
        <f>IF(R488="",0,MAX(0,R488 - TARIFAS!G$2) * TARIFAS!F$2)
</f>
        <v>0</v>
      </c>
      <c r="V488" s="45">
        <f>+T488*TARIFAS!$K$2</f>
        <v>0</v>
      </c>
      <c r="W488" s="45">
        <f t="shared" si="2"/>
        <v>0</v>
      </c>
      <c r="X488" s="45">
        <f t="shared" si="3"/>
        <v>0</v>
      </c>
      <c r="Y488" s="45">
        <f t="shared" si="4"/>
        <v>0</v>
      </c>
      <c r="Z488" s="42" t="str">
        <f>CONFERENCIAS!AB488</f>
        <v/>
      </c>
      <c r="AA488" s="42" t="str">
        <f>CONFERENCIAS!AC488</f>
        <v/>
      </c>
      <c r="AB488" s="47" t="str">
        <f t="shared" si="5"/>
        <v/>
      </c>
      <c r="AC488" s="9" t="str">
        <f t="shared" si="6"/>
        <v/>
      </c>
    </row>
    <row r="489">
      <c r="A489" s="42" t="str">
        <f>CONFERENCIAS!A489</f>
        <v/>
      </c>
      <c r="D489" s="42" t="str">
        <f>CONFERENCIAS!C489</f>
        <v/>
      </c>
      <c r="E489" s="42" t="str">
        <f>CONFERENCIAS!K489</f>
        <v/>
      </c>
      <c r="F489" s="49" t="str">
        <f>CONFERENCIAS!J489</f>
        <v/>
      </c>
      <c r="G489" s="42" t="str">
        <f>CONFERENCIAS!O489</f>
        <v/>
      </c>
      <c r="H489" s="42" t="str">
        <f>CONFERENCIAS!X489</f>
        <v/>
      </c>
      <c r="I489" s="42" t="str">
        <f>CONFERENCIAS!AA489</f>
        <v/>
      </c>
      <c r="J489" s="44" t="str">
        <f>CONFERENCIAS!P489</f>
        <v/>
      </c>
      <c r="K489" s="45" t="str">
        <f>CONFERENCIAS!R489</f>
        <v/>
      </c>
      <c r="L489" s="45">
        <f>IF(D489="",0,
 IF(E489=1,
   IF(H489="Presencial",
      VLOOKUP(D489,TARIFAS!A:K,3,FALSE) + IF(I489="Sí",VLOOKUP(D489,TARIFAS!A:K,5,FALSE),0),
      VLOOKUP(D489,TARIFAS!A:K,4,FALSE) + IF(I489="Sí",VLOOKUP(D489,TARIFAS!A:K,5,FALSE),0)
   ),
   IF(H489="Presencial",
      VLOOKUP(D489,TARIFAS!A:K,9,FALSE) + IF(I489="Sí",VLOOKUP(D489,TARIFAS!A:K,11,FALSE),0),
      VLOOKUP(D489,TARIFAS!A:K,10,FALSE) + IF(I489="Sí",VLOOKUP(D489,TARIFAS!A:K,11,FALSE),0)
   )
 )
)
</f>
        <v>0</v>
      </c>
      <c r="M489" s="45">
        <f>IF(J489="",0,MAX(0,J489 - TARIFAS!G$2) * TARIFAS!F$2)
</f>
        <v>0</v>
      </c>
      <c r="N489" s="45">
        <f>+L489*TARIFAS!$K$2</f>
        <v>0</v>
      </c>
      <c r="O489" s="45">
        <f t="shared" si="1"/>
        <v>0</v>
      </c>
      <c r="P489" s="45">
        <f>+M489+O489+K489+(+I489-(I489*TARIFAS!$K$2))</f>
        <v>0</v>
      </c>
      <c r="Q489" s="42" t="str">
        <f>CONFERENCIAS!T489</f>
        <v/>
      </c>
      <c r="R489" s="45" t="str">
        <f>CONFERENCIAS!U489</f>
        <v/>
      </c>
      <c r="S489" s="45" t="str">
        <f>CONFERENCIAS!W489</f>
        <v/>
      </c>
      <c r="T489" s="48">
        <f>IF(Q489="",0,
   IF(E489=1,
      IF(H489="Presencial",
         VLOOKUP(D489,TARIFAS!A:K,3,FALSE) + IF(I489="Sí",VLOOKUP(D489,TARIFAS!A:K,5,FALSE),0),
         VLOOKUP(D489,TARIFAS!A:K,4,FALSE) + IF(I489="Sí",VLOOKUP(D489,TARIFAS!A:K,5,FALSE),0)
      ),
      IF(H489="Presencial",
         VLOOKUP(D489,TARIFAS!A:K,9,FALSE) + IF(I489="Sí",VLOOKUP(D489,TARIFAS!A:K,11,FALSE),0),
         VLOOKUP(D489,TARIFAS!A:K,10,FALSE) + IF(I489="Sí",VLOOKUP(D489,TARIFAS!A:K,11,FALSE),0)
      )
   )
)
</f>
        <v>0</v>
      </c>
      <c r="U489" s="45">
        <f>IF(R489="",0,MAX(0,R489 - TARIFAS!G$2) * TARIFAS!F$2)
</f>
        <v>0</v>
      </c>
      <c r="V489" s="45">
        <f>+T489*TARIFAS!$K$2</f>
        <v>0</v>
      </c>
      <c r="W489" s="45">
        <f t="shared" si="2"/>
        <v>0</v>
      </c>
      <c r="X489" s="45">
        <f t="shared" si="3"/>
        <v>0</v>
      </c>
      <c r="Y489" s="45">
        <f t="shared" si="4"/>
        <v>0</v>
      </c>
      <c r="Z489" s="42" t="str">
        <f>CONFERENCIAS!AB489</f>
        <v/>
      </c>
      <c r="AA489" s="42" t="str">
        <f>CONFERENCIAS!AC489</f>
        <v/>
      </c>
      <c r="AB489" s="47" t="str">
        <f t="shared" si="5"/>
        <v/>
      </c>
      <c r="AC489" s="9" t="str">
        <f t="shared" si="6"/>
        <v/>
      </c>
    </row>
    <row r="490">
      <c r="A490" s="42" t="str">
        <f>CONFERENCIAS!A490</f>
        <v/>
      </c>
      <c r="D490" s="42" t="str">
        <f>CONFERENCIAS!C490</f>
        <v/>
      </c>
      <c r="E490" s="42" t="str">
        <f>CONFERENCIAS!K490</f>
        <v/>
      </c>
      <c r="F490" s="49" t="str">
        <f>CONFERENCIAS!J490</f>
        <v/>
      </c>
      <c r="G490" s="42" t="str">
        <f>CONFERENCIAS!O490</f>
        <v/>
      </c>
      <c r="H490" s="42" t="str">
        <f>CONFERENCIAS!X490</f>
        <v/>
      </c>
      <c r="I490" s="42" t="str">
        <f>CONFERENCIAS!AA490</f>
        <v/>
      </c>
      <c r="J490" s="44" t="str">
        <f>CONFERENCIAS!P490</f>
        <v/>
      </c>
      <c r="K490" s="45" t="str">
        <f>CONFERENCIAS!R490</f>
        <v/>
      </c>
      <c r="L490" s="45">
        <f>IF(D490="",0,
 IF(E490=1,
   IF(H490="Presencial",
      VLOOKUP(D490,TARIFAS!A:K,3,FALSE) + IF(I490="Sí",VLOOKUP(D490,TARIFAS!A:K,5,FALSE),0),
      VLOOKUP(D490,TARIFAS!A:K,4,FALSE) + IF(I490="Sí",VLOOKUP(D490,TARIFAS!A:K,5,FALSE),0)
   ),
   IF(H490="Presencial",
      VLOOKUP(D490,TARIFAS!A:K,9,FALSE) + IF(I490="Sí",VLOOKUP(D490,TARIFAS!A:K,11,FALSE),0),
      VLOOKUP(D490,TARIFAS!A:K,10,FALSE) + IF(I490="Sí",VLOOKUP(D490,TARIFAS!A:K,11,FALSE),0)
   )
 )
)
</f>
        <v>0</v>
      </c>
      <c r="M490" s="45">
        <f>IF(J490="",0,MAX(0,J490 - TARIFAS!G$2) * TARIFAS!F$2)
</f>
        <v>0</v>
      </c>
      <c r="N490" s="45">
        <f>+L490*TARIFAS!$K$2</f>
        <v>0</v>
      </c>
      <c r="O490" s="45">
        <f t="shared" si="1"/>
        <v>0</v>
      </c>
      <c r="P490" s="45">
        <f>+M490+O490+K490+(+I490-(I490*TARIFAS!$K$2))</f>
        <v>0</v>
      </c>
      <c r="Q490" s="42" t="str">
        <f>CONFERENCIAS!T490</f>
        <v/>
      </c>
      <c r="R490" s="45" t="str">
        <f>CONFERENCIAS!U490</f>
        <v/>
      </c>
      <c r="S490" s="45" t="str">
        <f>CONFERENCIAS!W490</f>
        <v/>
      </c>
      <c r="T490" s="48">
        <f>IF(Q490="",0,
   IF(E490=1,
      IF(H490="Presencial",
         VLOOKUP(D490,TARIFAS!A:K,3,FALSE) + IF(I490="Sí",VLOOKUP(D490,TARIFAS!A:K,5,FALSE),0),
         VLOOKUP(D490,TARIFAS!A:K,4,FALSE) + IF(I490="Sí",VLOOKUP(D490,TARIFAS!A:K,5,FALSE),0)
      ),
      IF(H490="Presencial",
         VLOOKUP(D490,TARIFAS!A:K,9,FALSE) + IF(I490="Sí",VLOOKUP(D490,TARIFAS!A:K,11,FALSE),0),
         VLOOKUP(D490,TARIFAS!A:K,10,FALSE) + IF(I490="Sí",VLOOKUP(D490,TARIFAS!A:K,11,FALSE),0)
      )
   )
)
</f>
        <v>0</v>
      </c>
      <c r="U490" s="45">
        <f>IF(R490="",0,MAX(0,R490 - TARIFAS!G$2) * TARIFAS!F$2)
</f>
        <v>0</v>
      </c>
      <c r="V490" s="45">
        <f>+T490*TARIFAS!$K$2</f>
        <v>0</v>
      </c>
      <c r="W490" s="45">
        <f t="shared" si="2"/>
        <v>0</v>
      </c>
      <c r="X490" s="45">
        <f t="shared" si="3"/>
        <v>0</v>
      </c>
      <c r="Y490" s="45">
        <f t="shared" si="4"/>
        <v>0</v>
      </c>
      <c r="Z490" s="42" t="str">
        <f>CONFERENCIAS!AB490</f>
        <v/>
      </c>
      <c r="AA490" s="42" t="str">
        <f>CONFERENCIAS!AC490</f>
        <v/>
      </c>
      <c r="AB490" s="47" t="str">
        <f t="shared" si="5"/>
        <v/>
      </c>
      <c r="AC490" s="9" t="str">
        <f t="shared" si="6"/>
        <v/>
      </c>
    </row>
    <row r="491">
      <c r="A491" s="42" t="str">
        <f>CONFERENCIAS!A491</f>
        <v/>
      </c>
      <c r="D491" s="42" t="str">
        <f>CONFERENCIAS!C491</f>
        <v/>
      </c>
      <c r="E491" s="42" t="str">
        <f>CONFERENCIAS!K491</f>
        <v/>
      </c>
      <c r="F491" s="49" t="str">
        <f>CONFERENCIAS!J491</f>
        <v/>
      </c>
      <c r="G491" s="42" t="str">
        <f>CONFERENCIAS!O491</f>
        <v/>
      </c>
      <c r="H491" s="42" t="str">
        <f>CONFERENCIAS!X491</f>
        <v/>
      </c>
      <c r="I491" s="42" t="str">
        <f>CONFERENCIAS!AA491</f>
        <v/>
      </c>
      <c r="J491" s="44" t="str">
        <f>CONFERENCIAS!P491</f>
        <v/>
      </c>
      <c r="K491" s="45" t="str">
        <f>CONFERENCIAS!R491</f>
        <v/>
      </c>
      <c r="L491" s="45">
        <f>IF(D491="",0,
 IF(E491=1,
   IF(H491="Presencial",
      VLOOKUP(D491,TARIFAS!A:K,3,FALSE) + IF(I491="Sí",VLOOKUP(D491,TARIFAS!A:K,5,FALSE),0),
      VLOOKUP(D491,TARIFAS!A:K,4,FALSE) + IF(I491="Sí",VLOOKUP(D491,TARIFAS!A:K,5,FALSE),0)
   ),
   IF(H491="Presencial",
      VLOOKUP(D491,TARIFAS!A:K,9,FALSE) + IF(I491="Sí",VLOOKUP(D491,TARIFAS!A:K,11,FALSE),0),
      VLOOKUP(D491,TARIFAS!A:K,10,FALSE) + IF(I491="Sí",VLOOKUP(D491,TARIFAS!A:K,11,FALSE),0)
   )
 )
)
</f>
        <v>0</v>
      </c>
      <c r="M491" s="45">
        <f>IF(J491="",0,MAX(0,J491 - TARIFAS!G$2) * TARIFAS!F$2)
</f>
        <v>0</v>
      </c>
      <c r="N491" s="45">
        <f>+L491*TARIFAS!$K$2</f>
        <v>0</v>
      </c>
      <c r="O491" s="45">
        <f t="shared" si="1"/>
        <v>0</v>
      </c>
      <c r="P491" s="45">
        <f>+M491+O491+K491+(+I491-(I491*TARIFAS!$K$2))</f>
        <v>0</v>
      </c>
      <c r="Q491" s="42" t="str">
        <f>CONFERENCIAS!T491</f>
        <v/>
      </c>
      <c r="R491" s="45" t="str">
        <f>CONFERENCIAS!U491</f>
        <v/>
      </c>
      <c r="S491" s="45" t="str">
        <f>CONFERENCIAS!W491</f>
        <v/>
      </c>
      <c r="T491" s="48">
        <f>IF(Q491="",0,
   IF(E491=1,
      IF(H491="Presencial",
         VLOOKUP(D491,TARIFAS!A:K,3,FALSE) + IF(I491="Sí",VLOOKUP(D491,TARIFAS!A:K,5,FALSE),0),
         VLOOKUP(D491,TARIFAS!A:K,4,FALSE) + IF(I491="Sí",VLOOKUP(D491,TARIFAS!A:K,5,FALSE),0)
      ),
      IF(H491="Presencial",
         VLOOKUP(D491,TARIFAS!A:K,9,FALSE) + IF(I491="Sí",VLOOKUP(D491,TARIFAS!A:K,11,FALSE),0),
         VLOOKUP(D491,TARIFAS!A:K,10,FALSE) + IF(I491="Sí",VLOOKUP(D491,TARIFAS!A:K,11,FALSE),0)
      )
   )
)
</f>
        <v>0</v>
      </c>
      <c r="U491" s="45">
        <f>IF(R491="",0,MAX(0,R491 - TARIFAS!G$2) * TARIFAS!F$2)
</f>
        <v>0</v>
      </c>
      <c r="V491" s="45">
        <f>+T491*TARIFAS!$K$2</f>
        <v>0</v>
      </c>
      <c r="W491" s="45">
        <f t="shared" si="2"/>
        <v>0</v>
      </c>
      <c r="X491" s="45">
        <f t="shared" si="3"/>
        <v>0</v>
      </c>
      <c r="Y491" s="45">
        <f t="shared" si="4"/>
        <v>0</v>
      </c>
      <c r="Z491" s="42" t="str">
        <f>CONFERENCIAS!AB491</f>
        <v/>
      </c>
      <c r="AA491" s="42" t="str">
        <f>CONFERENCIAS!AC491</f>
        <v/>
      </c>
      <c r="AB491" s="47" t="str">
        <f t="shared" si="5"/>
        <v/>
      </c>
      <c r="AC491" s="9" t="str">
        <f t="shared" si="6"/>
        <v/>
      </c>
    </row>
    <row r="492">
      <c r="A492" s="42" t="str">
        <f>CONFERENCIAS!A492</f>
        <v/>
      </c>
      <c r="D492" s="42" t="str">
        <f>CONFERENCIAS!C492</f>
        <v/>
      </c>
      <c r="E492" s="42" t="str">
        <f>CONFERENCIAS!K492</f>
        <v/>
      </c>
      <c r="F492" s="49" t="str">
        <f>CONFERENCIAS!J492</f>
        <v/>
      </c>
      <c r="G492" s="42" t="str">
        <f>CONFERENCIAS!O492</f>
        <v/>
      </c>
      <c r="H492" s="42" t="str">
        <f>CONFERENCIAS!X492</f>
        <v/>
      </c>
      <c r="I492" s="42" t="str">
        <f>CONFERENCIAS!AA492</f>
        <v/>
      </c>
      <c r="J492" s="44" t="str">
        <f>CONFERENCIAS!P492</f>
        <v/>
      </c>
      <c r="K492" s="45" t="str">
        <f>CONFERENCIAS!R492</f>
        <v/>
      </c>
      <c r="L492" s="45">
        <f>IF(D492="",0,
 IF(E492=1,
   IF(H492="Presencial",
      VLOOKUP(D492,TARIFAS!A:K,3,FALSE) + IF(I492="Sí",VLOOKUP(D492,TARIFAS!A:K,5,FALSE),0),
      VLOOKUP(D492,TARIFAS!A:K,4,FALSE) + IF(I492="Sí",VLOOKUP(D492,TARIFAS!A:K,5,FALSE),0)
   ),
   IF(H492="Presencial",
      VLOOKUP(D492,TARIFAS!A:K,9,FALSE) + IF(I492="Sí",VLOOKUP(D492,TARIFAS!A:K,11,FALSE),0),
      VLOOKUP(D492,TARIFAS!A:K,10,FALSE) + IF(I492="Sí",VLOOKUP(D492,TARIFAS!A:K,11,FALSE),0)
   )
 )
)
</f>
        <v>0</v>
      </c>
      <c r="M492" s="45">
        <f>IF(J492="",0,MAX(0,J492 - TARIFAS!G$2) * TARIFAS!F$2)
</f>
        <v>0</v>
      </c>
      <c r="N492" s="45">
        <f>+L492*TARIFAS!$K$2</f>
        <v>0</v>
      </c>
      <c r="O492" s="45">
        <f t="shared" si="1"/>
        <v>0</v>
      </c>
      <c r="P492" s="45">
        <f>+M492+O492+K492+(+I492-(I492*TARIFAS!$K$2))</f>
        <v>0</v>
      </c>
      <c r="Q492" s="42" t="str">
        <f>CONFERENCIAS!T492</f>
        <v/>
      </c>
      <c r="R492" s="45" t="str">
        <f>CONFERENCIAS!U492</f>
        <v/>
      </c>
      <c r="S492" s="45" t="str">
        <f>CONFERENCIAS!W492</f>
        <v/>
      </c>
      <c r="T492" s="48">
        <f>IF(Q492="",0,
   IF(E492=1,
      IF(H492="Presencial",
         VLOOKUP(D492,TARIFAS!A:K,3,FALSE) + IF(I492="Sí",VLOOKUP(D492,TARIFAS!A:K,5,FALSE),0),
         VLOOKUP(D492,TARIFAS!A:K,4,FALSE) + IF(I492="Sí",VLOOKUP(D492,TARIFAS!A:K,5,FALSE),0)
      ),
      IF(H492="Presencial",
         VLOOKUP(D492,TARIFAS!A:K,9,FALSE) + IF(I492="Sí",VLOOKUP(D492,TARIFAS!A:K,11,FALSE),0),
         VLOOKUP(D492,TARIFAS!A:K,10,FALSE) + IF(I492="Sí",VLOOKUP(D492,TARIFAS!A:K,11,FALSE),0)
      )
   )
)
</f>
        <v>0</v>
      </c>
      <c r="U492" s="45">
        <f>IF(R492="",0,MAX(0,R492 - TARIFAS!G$2) * TARIFAS!F$2)
</f>
        <v>0</v>
      </c>
      <c r="V492" s="45">
        <f>+T492*TARIFAS!$K$2</f>
        <v>0</v>
      </c>
      <c r="W492" s="45">
        <f t="shared" si="2"/>
        <v>0</v>
      </c>
      <c r="X492" s="45">
        <f t="shared" si="3"/>
        <v>0</v>
      </c>
      <c r="Y492" s="45">
        <f t="shared" si="4"/>
        <v>0</v>
      </c>
      <c r="Z492" s="42" t="str">
        <f>CONFERENCIAS!AB492</f>
        <v/>
      </c>
      <c r="AA492" s="42" t="str">
        <f>CONFERENCIAS!AC492</f>
        <v/>
      </c>
      <c r="AB492" s="47" t="str">
        <f t="shared" si="5"/>
        <v/>
      </c>
      <c r="AC492" s="9" t="str">
        <f t="shared" si="6"/>
        <v/>
      </c>
    </row>
    <row r="493">
      <c r="A493" s="42" t="str">
        <f>CONFERENCIAS!A493</f>
        <v/>
      </c>
      <c r="D493" s="42" t="str">
        <f>CONFERENCIAS!C493</f>
        <v/>
      </c>
      <c r="E493" s="42" t="str">
        <f>CONFERENCIAS!K493</f>
        <v/>
      </c>
      <c r="F493" s="49" t="str">
        <f>CONFERENCIAS!J493</f>
        <v/>
      </c>
      <c r="G493" s="42" t="str">
        <f>CONFERENCIAS!O493</f>
        <v/>
      </c>
      <c r="H493" s="42" t="str">
        <f>CONFERENCIAS!X493</f>
        <v/>
      </c>
      <c r="I493" s="42" t="str">
        <f>CONFERENCIAS!AA493</f>
        <v/>
      </c>
      <c r="J493" s="44" t="str">
        <f>CONFERENCIAS!P493</f>
        <v/>
      </c>
      <c r="K493" s="45" t="str">
        <f>CONFERENCIAS!R493</f>
        <v/>
      </c>
      <c r="L493" s="45">
        <f>IF(D493="",0,
 IF(E493=1,
   IF(H493="Presencial",
      VLOOKUP(D493,TARIFAS!A:K,3,FALSE) + IF(I493="Sí",VLOOKUP(D493,TARIFAS!A:K,5,FALSE),0),
      VLOOKUP(D493,TARIFAS!A:K,4,FALSE) + IF(I493="Sí",VLOOKUP(D493,TARIFAS!A:K,5,FALSE),0)
   ),
   IF(H493="Presencial",
      VLOOKUP(D493,TARIFAS!A:K,9,FALSE) + IF(I493="Sí",VLOOKUP(D493,TARIFAS!A:K,11,FALSE),0),
      VLOOKUP(D493,TARIFAS!A:K,10,FALSE) + IF(I493="Sí",VLOOKUP(D493,TARIFAS!A:K,11,FALSE),0)
   )
 )
)
</f>
        <v>0</v>
      </c>
      <c r="M493" s="45">
        <f>IF(J493="",0,MAX(0,J493 - TARIFAS!G$2) * TARIFAS!F$2)
</f>
        <v>0</v>
      </c>
      <c r="N493" s="45">
        <f>+L493*TARIFAS!$K$2</f>
        <v>0</v>
      </c>
      <c r="O493" s="45">
        <f t="shared" si="1"/>
        <v>0</v>
      </c>
      <c r="P493" s="45">
        <f>+M493+O493+K493+(+I493-(I493*TARIFAS!$K$2))</f>
        <v>0</v>
      </c>
      <c r="Q493" s="42" t="str">
        <f>CONFERENCIAS!T493</f>
        <v/>
      </c>
      <c r="R493" s="45" t="str">
        <f>CONFERENCIAS!U493</f>
        <v/>
      </c>
      <c r="S493" s="45" t="str">
        <f>CONFERENCIAS!W493</f>
        <v/>
      </c>
      <c r="T493" s="48">
        <f>IF(Q493="",0,
   IF(E493=1,
      IF(H493="Presencial",
         VLOOKUP(D493,TARIFAS!A:K,3,FALSE) + IF(I493="Sí",VLOOKUP(D493,TARIFAS!A:K,5,FALSE),0),
         VLOOKUP(D493,TARIFAS!A:K,4,FALSE) + IF(I493="Sí",VLOOKUP(D493,TARIFAS!A:K,5,FALSE),0)
      ),
      IF(H493="Presencial",
         VLOOKUP(D493,TARIFAS!A:K,9,FALSE) + IF(I493="Sí",VLOOKUP(D493,TARIFAS!A:K,11,FALSE),0),
         VLOOKUP(D493,TARIFAS!A:K,10,FALSE) + IF(I493="Sí",VLOOKUP(D493,TARIFAS!A:K,11,FALSE),0)
      )
   )
)
</f>
        <v>0</v>
      </c>
      <c r="U493" s="45">
        <f>IF(R493="",0,MAX(0,R493 - TARIFAS!G$2) * TARIFAS!F$2)
</f>
        <v>0</v>
      </c>
      <c r="V493" s="45">
        <f>+T493*TARIFAS!$K$2</f>
        <v>0</v>
      </c>
      <c r="W493" s="45">
        <f t="shared" si="2"/>
        <v>0</v>
      </c>
      <c r="X493" s="45">
        <f t="shared" si="3"/>
        <v>0</v>
      </c>
      <c r="Y493" s="45">
        <f t="shared" si="4"/>
        <v>0</v>
      </c>
      <c r="Z493" s="42" t="str">
        <f>CONFERENCIAS!AB493</f>
        <v/>
      </c>
      <c r="AA493" s="42" t="str">
        <f>CONFERENCIAS!AC493</f>
        <v/>
      </c>
      <c r="AB493" s="47" t="str">
        <f t="shared" si="5"/>
        <v/>
      </c>
      <c r="AC493" s="9" t="str">
        <f t="shared" si="6"/>
        <v/>
      </c>
    </row>
    <row r="494">
      <c r="A494" s="42" t="str">
        <f>CONFERENCIAS!A494</f>
        <v/>
      </c>
      <c r="D494" s="42" t="str">
        <f>CONFERENCIAS!C494</f>
        <v/>
      </c>
      <c r="E494" s="42" t="str">
        <f>CONFERENCIAS!K494</f>
        <v/>
      </c>
      <c r="F494" s="49" t="str">
        <f>CONFERENCIAS!J494</f>
        <v/>
      </c>
      <c r="G494" s="42" t="str">
        <f>CONFERENCIAS!O494</f>
        <v/>
      </c>
      <c r="H494" s="42" t="str">
        <f>CONFERENCIAS!X494</f>
        <v/>
      </c>
      <c r="I494" s="42" t="str">
        <f>CONFERENCIAS!AA494</f>
        <v/>
      </c>
      <c r="J494" s="44" t="str">
        <f>CONFERENCIAS!P494</f>
        <v/>
      </c>
      <c r="K494" s="45" t="str">
        <f>CONFERENCIAS!R494</f>
        <v/>
      </c>
      <c r="L494" s="45">
        <f>IF(D494="",0,
 IF(E494=1,
   IF(H494="Presencial",
      VLOOKUP(D494,TARIFAS!A:K,3,FALSE) + IF(I494="Sí",VLOOKUP(D494,TARIFAS!A:K,5,FALSE),0),
      VLOOKUP(D494,TARIFAS!A:K,4,FALSE) + IF(I494="Sí",VLOOKUP(D494,TARIFAS!A:K,5,FALSE),0)
   ),
   IF(H494="Presencial",
      VLOOKUP(D494,TARIFAS!A:K,9,FALSE) + IF(I494="Sí",VLOOKUP(D494,TARIFAS!A:K,11,FALSE),0),
      VLOOKUP(D494,TARIFAS!A:K,10,FALSE) + IF(I494="Sí",VLOOKUP(D494,TARIFAS!A:K,11,FALSE),0)
   )
 )
)
</f>
        <v>0</v>
      </c>
      <c r="M494" s="45">
        <f>IF(J494="",0,MAX(0,J494 - TARIFAS!G$2) * TARIFAS!F$2)
</f>
        <v>0</v>
      </c>
      <c r="N494" s="45">
        <f>+L494*TARIFAS!$K$2</f>
        <v>0</v>
      </c>
      <c r="O494" s="45">
        <f t="shared" si="1"/>
        <v>0</v>
      </c>
      <c r="P494" s="45">
        <f>+M494+O494+K494+(+I494-(I494*TARIFAS!$K$2))</f>
        <v>0</v>
      </c>
      <c r="Q494" s="42" t="str">
        <f>CONFERENCIAS!T494</f>
        <v/>
      </c>
      <c r="R494" s="45" t="str">
        <f>CONFERENCIAS!U494</f>
        <v/>
      </c>
      <c r="S494" s="45" t="str">
        <f>CONFERENCIAS!W494</f>
        <v/>
      </c>
      <c r="T494" s="48">
        <f>IF(Q494="",0,
   IF(E494=1,
      IF(H494="Presencial",
         VLOOKUP(D494,TARIFAS!A:K,3,FALSE) + IF(I494="Sí",VLOOKUP(D494,TARIFAS!A:K,5,FALSE),0),
         VLOOKUP(D494,TARIFAS!A:K,4,FALSE) + IF(I494="Sí",VLOOKUP(D494,TARIFAS!A:K,5,FALSE),0)
      ),
      IF(H494="Presencial",
         VLOOKUP(D494,TARIFAS!A:K,9,FALSE) + IF(I494="Sí",VLOOKUP(D494,TARIFAS!A:K,11,FALSE),0),
         VLOOKUP(D494,TARIFAS!A:K,10,FALSE) + IF(I494="Sí",VLOOKUP(D494,TARIFAS!A:K,11,FALSE),0)
      )
   )
)
</f>
        <v>0</v>
      </c>
      <c r="U494" s="45">
        <f>IF(R494="",0,MAX(0,R494 - TARIFAS!G$2) * TARIFAS!F$2)
</f>
        <v>0</v>
      </c>
      <c r="V494" s="45">
        <f>+T494*TARIFAS!$K$2</f>
        <v>0</v>
      </c>
      <c r="W494" s="45">
        <f t="shared" si="2"/>
        <v>0</v>
      </c>
      <c r="X494" s="45">
        <f t="shared" si="3"/>
        <v>0</v>
      </c>
      <c r="Y494" s="45">
        <f t="shared" si="4"/>
        <v>0</v>
      </c>
      <c r="Z494" s="42" t="str">
        <f>CONFERENCIAS!AB494</f>
        <v/>
      </c>
      <c r="AA494" s="42" t="str">
        <f>CONFERENCIAS!AC494</f>
        <v/>
      </c>
      <c r="AB494" s="47" t="str">
        <f t="shared" si="5"/>
        <v/>
      </c>
      <c r="AC494" s="9" t="str">
        <f t="shared" si="6"/>
        <v/>
      </c>
    </row>
    <row r="495">
      <c r="A495" s="42" t="str">
        <f>CONFERENCIAS!A495</f>
        <v/>
      </c>
      <c r="D495" s="42" t="str">
        <f>CONFERENCIAS!C495</f>
        <v/>
      </c>
      <c r="E495" s="42" t="str">
        <f>CONFERENCIAS!K495</f>
        <v/>
      </c>
      <c r="F495" s="49" t="str">
        <f>CONFERENCIAS!J495</f>
        <v/>
      </c>
      <c r="G495" s="42" t="str">
        <f>CONFERENCIAS!O495</f>
        <v/>
      </c>
      <c r="H495" s="42" t="str">
        <f>CONFERENCIAS!X495</f>
        <v/>
      </c>
      <c r="I495" s="42" t="str">
        <f>CONFERENCIAS!AA495</f>
        <v/>
      </c>
      <c r="J495" s="44" t="str">
        <f>CONFERENCIAS!P495</f>
        <v/>
      </c>
      <c r="K495" s="45" t="str">
        <f>CONFERENCIAS!R495</f>
        <v/>
      </c>
      <c r="L495" s="45">
        <f>IF(D495="",0,
 IF(E495=1,
   IF(H495="Presencial",
      VLOOKUP(D495,TARIFAS!A:K,3,FALSE) + IF(I495="Sí",VLOOKUP(D495,TARIFAS!A:K,5,FALSE),0),
      VLOOKUP(D495,TARIFAS!A:K,4,FALSE) + IF(I495="Sí",VLOOKUP(D495,TARIFAS!A:K,5,FALSE),0)
   ),
   IF(H495="Presencial",
      VLOOKUP(D495,TARIFAS!A:K,9,FALSE) + IF(I495="Sí",VLOOKUP(D495,TARIFAS!A:K,11,FALSE),0),
      VLOOKUP(D495,TARIFAS!A:K,10,FALSE) + IF(I495="Sí",VLOOKUP(D495,TARIFAS!A:K,11,FALSE),0)
   )
 )
)
</f>
        <v>0</v>
      </c>
      <c r="M495" s="45">
        <f>IF(J495="",0,MAX(0,J495 - TARIFAS!G$2) * TARIFAS!F$2)
</f>
        <v>0</v>
      </c>
      <c r="N495" s="45">
        <f>+L495*TARIFAS!$K$2</f>
        <v>0</v>
      </c>
      <c r="O495" s="45">
        <f t="shared" si="1"/>
        <v>0</v>
      </c>
      <c r="P495" s="45">
        <f>+M495+O495+K495+(+I495-(I495*TARIFAS!$K$2))</f>
        <v>0</v>
      </c>
      <c r="Q495" s="42" t="str">
        <f>CONFERENCIAS!T495</f>
        <v/>
      </c>
      <c r="R495" s="45" t="str">
        <f>CONFERENCIAS!U495</f>
        <v/>
      </c>
      <c r="S495" s="45" t="str">
        <f>CONFERENCIAS!W495</f>
        <v/>
      </c>
      <c r="T495" s="48">
        <f>IF(Q495="",0,
   IF(E495=1,
      IF(H495="Presencial",
         VLOOKUP(D495,TARIFAS!A:K,3,FALSE) + IF(I495="Sí",VLOOKUP(D495,TARIFAS!A:K,5,FALSE),0),
         VLOOKUP(D495,TARIFAS!A:K,4,FALSE) + IF(I495="Sí",VLOOKUP(D495,TARIFAS!A:K,5,FALSE),0)
      ),
      IF(H495="Presencial",
         VLOOKUP(D495,TARIFAS!A:K,9,FALSE) + IF(I495="Sí",VLOOKUP(D495,TARIFAS!A:K,11,FALSE),0),
         VLOOKUP(D495,TARIFAS!A:K,10,FALSE) + IF(I495="Sí",VLOOKUP(D495,TARIFAS!A:K,11,FALSE),0)
      )
   )
)
</f>
        <v>0</v>
      </c>
      <c r="U495" s="45">
        <f>IF(R495="",0,MAX(0,R495 - TARIFAS!G$2) * TARIFAS!F$2)
</f>
        <v>0</v>
      </c>
      <c r="V495" s="45">
        <f>+T495*TARIFAS!$K$2</f>
        <v>0</v>
      </c>
      <c r="W495" s="45">
        <f t="shared" si="2"/>
        <v>0</v>
      </c>
      <c r="X495" s="45">
        <f t="shared" si="3"/>
        <v>0</v>
      </c>
      <c r="Y495" s="45">
        <f t="shared" si="4"/>
        <v>0</v>
      </c>
      <c r="Z495" s="42" t="str">
        <f>CONFERENCIAS!AB495</f>
        <v/>
      </c>
      <c r="AA495" s="42" t="str">
        <f>CONFERENCIAS!AC495</f>
        <v/>
      </c>
      <c r="AB495" s="47" t="str">
        <f t="shared" si="5"/>
        <v/>
      </c>
      <c r="AC495" s="9" t="str">
        <f t="shared" si="6"/>
        <v/>
      </c>
    </row>
    <row r="496">
      <c r="A496" s="42" t="str">
        <f>CONFERENCIAS!A496</f>
        <v/>
      </c>
      <c r="D496" s="42" t="str">
        <f>CONFERENCIAS!C496</f>
        <v/>
      </c>
      <c r="E496" s="42" t="str">
        <f>CONFERENCIAS!K496</f>
        <v/>
      </c>
      <c r="F496" s="49" t="str">
        <f>CONFERENCIAS!J496</f>
        <v/>
      </c>
      <c r="G496" s="42" t="str">
        <f>CONFERENCIAS!O496</f>
        <v/>
      </c>
      <c r="H496" s="42" t="str">
        <f>CONFERENCIAS!X496</f>
        <v/>
      </c>
      <c r="I496" s="42" t="str">
        <f>CONFERENCIAS!AA496</f>
        <v/>
      </c>
      <c r="J496" s="44" t="str">
        <f>CONFERENCIAS!P496</f>
        <v/>
      </c>
      <c r="K496" s="45" t="str">
        <f>CONFERENCIAS!R496</f>
        <v/>
      </c>
      <c r="L496" s="45">
        <f>IF(D496="",0,
 IF(E496=1,
   IF(H496="Presencial",
      VLOOKUP(D496,TARIFAS!A:K,3,FALSE) + IF(I496="Sí",VLOOKUP(D496,TARIFAS!A:K,5,FALSE),0),
      VLOOKUP(D496,TARIFAS!A:K,4,FALSE) + IF(I496="Sí",VLOOKUP(D496,TARIFAS!A:K,5,FALSE),0)
   ),
   IF(H496="Presencial",
      VLOOKUP(D496,TARIFAS!A:K,9,FALSE) + IF(I496="Sí",VLOOKUP(D496,TARIFAS!A:K,11,FALSE),0),
      VLOOKUP(D496,TARIFAS!A:K,10,FALSE) + IF(I496="Sí",VLOOKUP(D496,TARIFAS!A:K,11,FALSE),0)
   )
 )
)
</f>
        <v>0</v>
      </c>
      <c r="M496" s="45">
        <f>IF(J496="",0,MAX(0,J496 - TARIFAS!G$2) * TARIFAS!F$2)
</f>
        <v>0</v>
      </c>
      <c r="N496" s="45">
        <f>+L496*TARIFAS!$K$2</f>
        <v>0</v>
      </c>
      <c r="O496" s="45">
        <f t="shared" si="1"/>
        <v>0</v>
      </c>
      <c r="P496" s="45">
        <f>+M496+O496+K496+(+I496-(I496*TARIFAS!$K$2))</f>
        <v>0</v>
      </c>
      <c r="Q496" s="42" t="str">
        <f>CONFERENCIAS!T496</f>
        <v/>
      </c>
      <c r="R496" s="45" t="str">
        <f>CONFERENCIAS!U496</f>
        <v/>
      </c>
      <c r="S496" s="45" t="str">
        <f>CONFERENCIAS!W496</f>
        <v/>
      </c>
      <c r="T496" s="48">
        <f>IF(Q496="",0,
   IF(E496=1,
      IF(H496="Presencial",
         VLOOKUP(D496,TARIFAS!A:K,3,FALSE) + IF(I496="Sí",VLOOKUP(D496,TARIFAS!A:K,5,FALSE),0),
         VLOOKUP(D496,TARIFAS!A:K,4,FALSE) + IF(I496="Sí",VLOOKUP(D496,TARIFAS!A:K,5,FALSE),0)
      ),
      IF(H496="Presencial",
         VLOOKUP(D496,TARIFAS!A:K,9,FALSE) + IF(I496="Sí",VLOOKUP(D496,TARIFAS!A:K,11,FALSE),0),
         VLOOKUP(D496,TARIFAS!A:K,10,FALSE) + IF(I496="Sí",VLOOKUP(D496,TARIFAS!A:K,11,FALSE),0)
      )
   )
)
</f>
        <v>0</v>
      </c>
      <c r="U496" s="45">
        <f>IF(R496="",0,MAX(0,R496 - TARIFAS!G$2) * TARIFAS!F$2)
</f>
        <v>0</v>
      </c>
      <c r="V496" s="45">
        <f>+T496*TARIFAS!$K$2</f>
        <v>0</v>
      </c>
      <c r="W496" s="45">
        <f t="shared" si="2"/>
        <v>0</v>
      </c>
      <c r="X496" s="45">
        <f t="shared" si="3"/>
        <v>0</v>
      </c>
      <c r="Y496" s="45">
        <f t="shared" si="4"/>
        <v>0</v>
      </c>
      <c r="Z496" s="42" t="str">
        <f>CONFERENCIAS!AB496</f>
        <v/>
      </c>
      <c r="AA496" s="42" t="str">
        <f>CONFERENCIAS!AC496</f>
        <v/>
      </c>
      <c r="AB496" s="47" t="str">
        <f t="shared" si="5"/>
        <v/>
      </c>
      <c r="AC496" s="9" t="str">
        <f t="shared" si="6"/>
        <v/>
      </c>
    </row>
    <row r="497">
      <c r="A497" s="42" t="str">
        <f>CONFERENCIAS!A497</f>
        <v/>
      </c>
      <c r="D497" s="42" t="str">
        <f>CONFERENCIAS!C497</f>
        <v/>
      </c>
      <c r="E497" s="42" t="str">
        <f>CONFERENCIAS!K497</f>
        <v/>
      </c>
      <c r="F497" s="49" t="str">
        <f>CONFERENCIAS!J497</f>
        <v/>
      </c>
      <c r="G497" s="42" t="str">
        <f>CONFERENCIAS!O497</f>
        <v/>
      </c>
      <c r="H497" s="42" t="str">
        <f>CONFERENCIAS!X497</f>
        <v/>
      </c>
      <c r="I497" s="42" t="str">
        <f>CONFERENCIAS!AA497</f>
        <v/>
      </c>
      <c r="J497" s="44" t="str">
        <f>CONFERENCIAS!P497</f>
        <v/>
      </c>
      <c r="K497" s="45" t="str">
        <f>CONFERENCIAS!R497</f>
        <v/>
      </c>
      <c r="L497" s="45">
        <f>IF(D497="",0,
 IF(E497=1,
   IF(H497="Presencial",
      VLOOKUP(D497,TARIFAS!A:K,3,FALSE) + IF(I497="Sí",VLOOKUP(D497,TARIFAS!A:K,5,FALSE),0),
      VLOOKUP(D497,TARIFAS!A:K,4,FALSE) + IF(I497="Sí",VLOOKUP(D497,TARIFAS!A:K,5,FALSE),0)
   ),
   IF(H497="Presencial",
      VLOOKUP(D497,TARIFAS!A:K,9,FALSE) + IF(I497="Sí",VLOOKUP(D497,TARIFAS!A:K,11,FALSE),0),
      VLOOKUP(D497,TARIFAS!A:K,10,FALSE) + IF(I497="Sí",VLOOKUP(D497,TARIFAS!A:K,11,FALSE),0)
   )
 )
)
</f>
        <v>0</v>
      </c>
      <c r="M497" s="45">
        <f>IF(J497="",0,MAX(0,J497 - TARIFAS!G$2) * TARIFAS!F$2)
</f>
        <v>0</v>
      </c>
      <c r="N497" s="45">
        <f>+L497*TARIFAS!$K$2</f>
        <v>0</v>
      </c>
      <c r="O497" s="45">
        <f t="shared" si="1"/>
        <v>0</v>
      </c>
      <c r="P497" s="45">
        <f>+M497+O497+K497+(+I497-(I497*TARIFAS!$K$2))</f>
        <v>0</v>
      </c>
      <c r="Q497" s="42" t="str">
        <f>CONFERENCIAS!T497</f>
        <v/>
      </c>
      <c r="R497" s="45" t="str">
        <f>CONFERENCIAS!U497</f>
        <v/>
      </c>
      <c r="S497" s="45" t="str">
        <f>CONFERENCIAS!W497</f>
        <v/>
      </c>
      <c r="T497" s="48">
        <f>IF(Q497="",0,
   IF(E497=1,
      IF(H497="Presencial",
         VLOOKUP(D497,TARIFAS!A:K,3,FALSE) + IF(I497="Sí",VLOOKUP(D497,TARIFAS!A:K,5,FALSE),0),
         VLOOKUP(D497,TARIFAS!A:K,4,FALSE) + IF(I497="Sí",VLOOKUP(D497,TARIFAS!A:K,5,FALSE),0)
      ),
      IF(H497="Presencial",
         VLOOKUP(D497,TARIFAS!A:K,9,FALSE) + IF(I497="Sí",VLOOKUP(D497,TARIFAS!A:K,11,FALSE),0),
         VLOOKUP(D497,TARIFAS!A:K,10,FALSE) + IF(I497="Sí",VLOOKUP(D497,TARIFAS!A:K,11,FALSE),0)
      )
   )
)
</f>
        <v>0</v>
      </c>
      <c r="U497" s="45">
        <f>IF(R497="",0,MAX(0,R497 - TARIFAS!G$2) * TARIFAS!F$2)
</f>
        <v>0</v>
      </c>
      <c r="V497" s="45">
        <f>+T497*TARIFAS!$K$2</f>
        <v>0</v>
      </c>
      <c r="W497" s="45">
        <f t="shared" si="2"/>
        <v>0</v>
      </c>
      <c r="X497" s="45">
        <f t="shared" si="3"/>
        <v>0</v>
      </c>
      <c r="Y497" s="45">
        <f t="shared" si="4"/>
        <v>0</v>
      </c>
      <c r="Z497" s="42" t="str">
        <f>CONFERENCIAS!AB497</f>
        <v/>
      </c>
      <c r="AA497" s="42" t="str">
        <f>CONFERENCIAS!AC497</f>
        <v/>
      </c>
      <c r="AB497" s="47" t="str">
        <f t="shared" si="5"/>
        <v/>
      </c>
      <c r="AC497" s="9" t="str">
        <f t="shared" si="6"/>
        <v/>
      </c>
    </row>
    <row r="498">
      <c r="A498" s="42" t="str">
        <f>CONFERENCIAS!A498</f>
        <v/>
      </c>
      <c r="D498" s="42" t="str">
        <f>CONFERENCIAS!C498</f>
        <v/>
      </c>
      <c r="E498" s="42" t="str">
        <f>CONFERENCIAS!K498</f>
        <v/>
      </c>
      <c r="F498" s="49" t="str">
        <f>CONFERENCIAS!J498</f>
        <v/>
      </c>
      <c r="G498" s="42" t="str">
        <f>CONFERENCIAS!O498</f>
        <v/>
      </c>
      <c r="H498" s="42" t="str">
        <f>CONFERENCIAS!X498</f>
        <v/>
      </c>
      <c r="I498" s="42" t="str">
        <f>CONFERENCIAS!AA498</f>
        <v/>
      </c>
      <c r="J498" s="44" t="str">
        <f>CONFERENCIAS!P498</f>
        <v/>
      </c>
      <c r="K498" s="45" t="str">
        <f>CONFERENCIAS!R498</f>
        <v/>
      </c>
      <c r="L498" s="45">
        <f>IF(D498="",0,
 IF(E498=1,
   IF(H498="Presencial",
      VLOOKUP(D498,TARIFAS!A:K,3,FALSE) + IF(I498="Sí",VLOOKUP(D498,TARIFAS!A:K,5,FALSE),0),
      VLOOKUP(D498,TARIFAS!A:K,4,FALSE) + IF(I498="Sí",VLOOKUP(D498,TARIFAS!A:K,5,FALSE),0)
   ),
   IF(H498="Presencial",
      VLOOKUP(D498,TARIFAS!A:K,9,FALSE) + IF(I498="Sí",VLOOKUP(D498,TARIFAS!A:K,11,FALSE),0),
      VLOOKUP(D498,TARIFAS!A:K,10,FALSE) + IF(I498="Sí",VLOOKUP(D498,TARIFAS!A:K,11,FALSE),0)
   )
 )
)
</f>
        <v>0</v>
      </c>
      <c r="M498" s="45">
        <f>IF(J498="",0,MAX(0,J498 - TARIFAS!G$2) * TARIFAS!F$2)
</f>
        <v>0</v>
      </c>
      <c r="N498" s="45">
        <f>+L498*TARIFAS!$K$2</f>
        <v>0</v>
      </c>
      <c r="O498" s="45">
        <f t="shared" si="1"/>
        <v>0</v>
      </c>
      <c r="P498" s="45">
        <f>+M498+O498+K498+(+I498-(I498*TARIFAS!$K$2))</f>
        <v>0</v>
      </c>
      <c r="Q498" s="42" t="str">
        <f>CONFERENCIAS!T498</f>
        <v/>
      </c>
      <c r="R498" s="45" t="str">
        <f>CONFERENCIAS!U498</f>
        <v/>
      </c>
      <c r="S498" s="45" t="str">
        <f>CONFERENCIAS!W498</f>
        <v/>
      </c>
      <c r="T498" s="48">
        <f>IF(Q498="",0,
   IF(E498=1,
      IF(H498="Presencial",
         VLOOKUP(D498,TARIFAS!A:K,3,FALSE) + IF(I498="Sí",VLOOKUP(D498,TARIFAS!A:K,5,FALSE),0),
         VLOOKUP(D498,TARIFAS!A:K,4,FALSE) + IF(I498="Sí",VLOOKUP(D498,TARIFAS!A:K,5,FALSE),0)
      ),
      IF(H498="Presencial",
         VLOOKUP(D498,TARIFAS!A:K,9,FALSE) + IF(I498="Sí",VLOOKUP(D498,TARIFAS!A:K,11,FALSE),0),
         VLOOKUP(D498,TARIFAS!A:K,10,FALSE) + IF(I498="Sí",VLOOKUP(D498,TARIFAS!A:K,11,FALSE),0)
      )
   )
)
</f>
        <v>0</v>
      </c>
      <c r="U498" s="45">
        <f>IF(R498="",0,MAX(0,R498 - TARIFAS!G$2) * TARIFAS!F$2)
</f>
        <v>0</v>
      </c>
      <c r="V498" s="45">
        <f>+T498*TARIFAS!$K$2</f>
        <v>0</v>
      </c>
      <c r="W498" s="45">
        <f t="shared" si="2"/>
        <v>0</v>
      </c>
      <c r="X498" s="45">
        <f t="shared" si="3"/>
        <v>0</v>
      </c>
      <c r="Y498" s="45">
        <f t="shared" si="4"/>
        <v>0</v>
      </c>
      <c r="Z498" s="42" t="str">
        <f>CONFERENCIAS!AB498</f>
        <v/>
      </c>
      <c r="AA498" s="42" t="str">
        <f>CONFERENCIAS!AC498</f>
        <v/>
      </c>
      <c r="AB498" s="47" t="str">
        <f t="shared" si="5"/>
        <v/>
      </c>
      <c r="AC498" s="9" t="str">
        <f t="shared" si="6"/>
        <v/>
      </c>
    </row>
    <row r="499">
      <c r="A499" s="42" t="str">
        <f>CONFERENCIAS!A499</f>
        <v/>
      </c>
      <c r="D499" s="42" t="str">
        <f>CONFERENCIAS!C499</f>
        <v/>
      </c>
      <c r="E499" s="42" t="str">
        <f>CONFERENCIAS!K499</f>
        <v/>
      </c>
      <c r="F499" s="49" t="str">
        <f>CONFERENCIAS!J499</f>
        <v/>
      </c>
      <c r="G499" s="42" t="str">
        <f>CONFERENCIAS!O499</f>
        <v/>
      </c>
      <c r="H499" s="42" t="str">
        <f>CONFERENCIAS!X499</f>
        <v/>
      </c>
      <c r="I499" s="42" t="str">
        <f>CONFERENCIAS!AA499</f>
        <v/>
      </c>
      <c r="J499" s="44" t="str">
        <f>CONFERENCIAS!P499</f>
        <v/>
      </c>
      <c r="K499" s="45" t="str">
        <f>CONFERENCIAS!R499</f>
        <v/>
      </c>
      <c r="L499" s="45">
        <f>IF(D499="",0,
 IF(E499=1,
   IF(H499="Presencial",
      VLOOKUP(D499,TARIFAS!A:K,3,FALSE) + IF(I499="Sí",VLOOKUP(D499,TARIFAS!A:K,5,FALSE),0),
      VLOOKUP(D499,TARIFAS!A:K,4,FALSE) + IF(I499="Sí",VLOOKUP(D499,TARIFAS!A:K,5,FALSE),0)
   ),
   IF(H499="Presencial",
      VLOOKUP(D499,TARIFAS!A:K,9,FALSE) + IF(I499="Sí",VLOOKUP(D499,TARIFAS!A:K,11,FALSE),0),
      VLOOKUP(D499,TARIFAS!A:K,10,FALSE) + IF(I499="Sí",VLOOKUP(D499,TARIFAS!A:K,11,FALSE),0)
   )
 )
)
</f>
        <v>0</v>
      </c>
      <c r="M499" s="45">
        <f>IF(J499="",0,MAX(0,J499 - TARIFAS!G$2) * TARIFAS!F$2)
</f>
        <v>0</v>
      </c>
      <c r="N499" s="45">
        <f>+L499*TARIFAS!$K$2</f>
        <v>0</v>
      </c>
      <c r="O499" s="45">
        <f t="shared" si="1"/>
        <v>0</v>
      </c>
      <c r="P499" s="45">
        <f>+M499+O499+K499+(+I499-(I499*TARIFAS!$K$2))</f>
        <v>0</v>
      </c>
      <c r="Q499" s="42" t="str">
        <f>CONFERENCIAS!T499</f>
        <v/>
      </c>
      <c r="R499" s="45" t="str">
        <f>CONFERENCIAS!U499</f>
        <v/>
      </c>
      <c r="S499" s="45" t="str">
        <f>CONFERENCIAS!W499</f>
        <v/>
      </c>
      <c r="T499" s="48">
        <f>IF(Q499="",0,
   IF(E499=1,
      IF(H499="Presencial",
         VLOOKUP(D499,TARIFAS!A:K,3,FALSE) + IF(I499="Sí",VLOOKUP(D499,TARIFAS!A:K,5,FALSE),0),
         VLOOKUP(D499,TARIFAS!A:K,4,FALSE) + IF(I499="Sí",VLOOKUP(D499,TARIFAS!A:K,5,FALSE),0)
      ),
      IF(H499="Presencial",
         VLOOKUP(D499,TARIFAS!A:K,9,FALSE) + IF(I499="Sí",VLOOKUP(D499,TARIFAS!A:K,11,FALSE),0),
         VLOOKUP(D499,TARIFAS!A:K,10,FALSE) + IF(I499="Sí",VLOOKUP(D499,TARIFAS!A:K,11,FALSE),0)
      )
   )
)
</f>
        <v>0</v>
      </c>
      <c r="U499" s="45">
        <f>IF(R499="",0,MAX(0,R499 - TARIFAS!G$2) * TARIFAS!F$2)
</f>
        <v>0</v>
      </c>
      <c r="V499" s="45">
        <f>+T499*TARIFAS!$K$2</f>
        <v>0</v>
      </c>
      <c r="W499" s="45">
        <f t="shared" si="2"/>
        <v>0</v>
      </c>
      <c r="X499" s="45">
        <f t="shared" si="3"/>
        <v>0</v>
      </c>
      <c r="Y499" s="45">
        <f t="shared" si="4"/>
        <v>0</v>
      </c>
      <c r="Z499" s="42" t="str">
        <f>CONFERENCIAS!AB499</f>
        <v/>
      </c>
      <c r="AA499" s="42" t="str">
        <f>CONFERENCIAS!AC499</f>
        <v/>
      </c>
      <c r="AB499" s="47" t="str">
        <f t="shared" si="5"/>
        <v/>
      </c>
      <c r="AC499" s="9" t="str">
        <f t="shared" si="6"/>
        <v/>
      </c>
    </row>
    <row r="500">
      <c r="A500" s="42" t="str">
        <f>CONFERENCIAS!A500</f>
        <v/>
      </c>
      <c r="D500" s="42" t="str">
        <f>CONFERENCIAS!C500</f>
        <v/>
      </c>
      <c r="E500" s="42" t="str">
        <f>CONFERENCIAS!K500</f>
        <v/>
      </c>
      <c r="F500" s="49" t="str">
        <f>CONFERENCIAS!J500</f>
        <v/>
      </c>
      <c r="G500" s="42" t="str">
        <f>CONFERENCIAS!O500</f>
        <v/>
      </c>
      <c r="H500" s="42" t="str">
        <f>CONFERENCIAS!X500</f>
        <v/>
      </c>
      <c r="I500" s="42" t="str">
        <f>CONFERENCIAS!AA500</f>
        <v/>
      </c>
      <c r="J500" s="44" t="str">
        <f>CONFERENCIAS!P500</f>
        <v/>
      </c>
      <c r="K500" s="45" t="str">
        <f>CONFERENCIAS!R500</f>
        <v/>
      </c>
      <c r="L500" s="45">
        <f>IF(D500="",0,
 IF(E500=1,
   IF(H500="Presencial",
      VLOOKUP(D500,TARIFAS!A:K,3,FALSE) + IF(I500="Sí",VLOOKUP(D500,TARIFAS!A:K,5,FALSE),0),
      VLOOKUP(D500,TARIFAS!A:K,4,FALSE) + IF(I500="Sí",VLOOKUP(D500,TARIFAS!A:K,5,FALSE),0)
   ),
   IF(H500="Presencial",
      VLOOKUP(D500,TARIFAS!A:K,9,FALSE) + IF(I500="Sí",VLOOKUP(D500,TARIFAS!A:K,11,FALSE),0),
      VLOOKUP(D500,TARIFAS!A:K,10,FALSE) + IF(I500="Sí",VLOOKUP(D500,TARIFAS!A:K,11,FALSE),0)
   )
 )
)
</f>
        <v>0</v>
      </c>
      <c r="M500" s="45">
        <f>IF(J500="",0,MAX(0,J500 - TARIFAS!G$2) * TARIFAS!F$2)
</f>
        <v>0</v>
      </c>
      <c r="N500" s="45">
        <f>+L500*TARIFAS!$K$2</f>
        <v>0</v>
      </c>
      <c r="O500" s="45">
        <f t="shared" si="1"/>
        <v>0</v>
      </c>
      <c r="P500" s="45">
        <f>+M500+O500+K500+(+I500-(I500*TARIFAS!$K$2))</f>
        <v>0</v>
      </c>
      <c r="Q500" s="42" t="str">
        <f>CONFERENCIAS!T500</f>
        <v/>
      </c>
      <c r="R500" s="45" t="str">
        <f>CONFERENCIAS!U500</f>
        <v/>
      </c>
      <c r="S500" s="45" t="str">
        <f>CONFERENCIAS!W500</f>
        <v/>
      </c>
      <c r="T500" s="48">
        <f>IF(Q500="",0,
   IF(E500=1,
      IF(H500="Presencial",
         VLOOKUP(D500,TARIFAS!A:K,3,FALSE) + IF(I500="Sí",VLOOKUP(D500,TARIFAS!A:K,5,FALSE),0),
         VLOOKUP(D500,TARIFAS!A:K,4,FALSE) + IF(I500="Sí",VLOOKUP(D500,TARIFAS!A:K,5,FALSE),0)
      ),
      IF(H500="Presencial",
         VLOOKUP(D500,TARIFAS!A:K,9,FALSE) + IF(I500="Sí",VLOOKUP(D500,TARIFAS!A:K,11,FALSE),0),
         VLOOKUP(D500,TARIFAS!A:K,10,FALSE) + IF(I500="Sí",VLOOKUP(D500,TARIFAS!A:K,11,FALSE),0)
      )
   )
)
</f>
        <v>0</v>
      </c>
      <c r="U500" s="45">
        <f>IF(R500="",0,MAX(0,R500 - TARIFAS!G$2) * TARIFAS!F$2)
</f>
        <v>0</v>
      </c>
      <c r="V500" s="45">
        <f>+T500*TARIFAS!$K$2</f>
        <v>0</v>
      </c>
      <c r="W500" s="45">
        <f t="shared" si="2"/>
        <v>0</v>
      </c>
      <c r="X500" s="45">
        <f t="shared" si="3"/>
        <v>0</v>
      </c>
      <c r="Y500" s="45">
        <f t="shared" si="4"/>
        <v>0</v>
      </c>
      <c r="Z500" s="42" t="str">
        <f>CONFERENCIAS!AB500</f>
        <v/>
      </c>
      <c r="AA500" s="42" t="str">
        <f>CONFERENCIAS!AC500</f>
        <v/>
      </c>
      <c r="AB500" s="47" t="str">
        <f t="shared" si="5"/>
        <v/>
      </c>
      <c r="AC500" s="9" t="str">
        <f t="shared" si="6"/>
        <v/>
      </c>
    </row>
    <row r="501">
      <c r="A501" s="42" t="str">
        <f>CONFERENCIAS!A501</f>
        <v/>
      </c>
      <c r="D501" s="42" t="str">
        <f>CONFERENCIAS!C501</f>
        <v/>
      </c>
      <c r="E501" s="42" t="str">
        <f>CONFERENCIAS!K501</f>
        <v/>
      </c>
      <c r="F501" s="49" t="str">
        <f>CONFERENCIAS!J501</f>
        <v/>
      </c>
      <c r="G501" s="42" t="str">
        <f>CONFERENCIAS!O501</f>
        <v/>
      </c>
      <c r="H501" s="42" t="str">
        <f>CONFERENCIAS!X501</f>
        <v/>
      </c>
      <c r="I501" s="42" t="str">
        <f>CONFERENCIAS!AA501</f>
        <v/>
      </c>
      <c r="J501" s="44" t="str">
        <f>CONFERENCIAS!P501</f>
        <v/>
      </c>
      <c r="K501" s="45" t="str">
        <f>CONFERENCIAS!R501</f>
        <v/>
      </c>
      <c r="L501" s="45">
        <f>IF(D501="",0,
 IF(E501=1,
   IF(H501="Presencial",
      VLOOKUP(D501,TARIFAS!A:K,3,FALSE) + IF(I501="Sí",VLOOKUP(D501,TARIFAS!A:K,5,FALSE),0),
      VLOOKUP(D501,TARIFAS!A:K,4,FALSE) + IF(I501="Sí",VLOOKUP(D501,TARIFAS!A:K,5,FALSE),0)
   ),
   IF(H501="Presencial",
      VLOOKUP(D501,TARIFAS!A:K,9,FALSE) + IF(I501="Sí",VLOOKUP(D501,TARIFAS!A:K,11,FALSE),0),
      VLOOKUP(D501,TARIFAS!A:K,10,FALSE) + IF(I501="Sí",VLOOKUP(D501,TARIFAS!A:K,11,FALSE),0)
   )
 )
)
</f>
        <v>0</v>
      </c>
      <c r="M501" s="45">
        <f>IF(J501="",0,MAX(0,J501 - TARIFAS!G$2) * TARIFAS!F$2)
</f>
        <v>0</v>
      </c>
      <c r="N501" s="45">
        <f>+L501*TARIFAS!$K$2</f>
        <v>0</v>
      </c>
      <c r="O501" s="45">
        <f t="shared" si="1"/>
        <v>0</v>
      </c>
      <c r="P501" s="45">
        <f>+M501+O501+K501+(+I501-(I501*TARIFAS!$K$2))</f>
        <v>0</v>
      </c>
      <c r="Q501" s="42" t="str">
        <f>CONFERENCIAS!T501</f>
        <v/>
      </c>
      <c r="R501" s="45" t="str">
        <f>CONFERENCIAS!U501</f>
        <v/>
      </c>
      <c r="S501" s="45" t="str">
        <f>CONFERENCIAS!W501</f>
        <v/>
      </c>
      <c r="T501" s="48">
        <f>IF(Q501="",0,
   IF(E501=1,
      IF(H501="Presencial",
         VLOOKUP(D501,TARIFAS!A:K,3,FALSE) + IF(I501="Sí",VLOOKUP(D501,TARIFAS!A:K,5,FALSE),0),
         VLOOKUP(D501,TARIFAS!A:K,4,FALSE) + IF(I501="Sí",VLOOKUP(D501,TARIFAS!A:K,5,FALSE),0)
      ),
      IF(H501="Presencial",
         VLOOKUP(D501,TARIFAS!A:K,9,FALSE) + IF(I501="Sí",VLOOKUP(D501,TARIFAS!A:K,11,FALSE),0),
         VLOOKUP(D501,TARIFAS!A:K,10,FALSE) + IF(I501="Sí",VLOOKUP(D501,TARIFAS!A:K,11,FALSE),0)
      )
   )
)
</f>
        <v>0</v>
      </c>
      <c r="U501" s="45">
        <f>IF(R501="",0,MAX(0,R501 - TARIFAS!G$2) * TARIFAS!F$2)
</f>
        <v>0</v>
      </c>
      <c r="V501" s="45">
        <f>+T501*TARIFAS!$K$2</f>
        <v>0</v>
      </c>
      <c r="W501" s="45">
        <f t="shared" si="2"/>
        <v>0</v>
      </c>
      <c r="X501" s="45">
        <f t="shared" si="3"/>
        <v>0</v>
      </c>
      <c r="Y501" s="45">
        <f t="shared" si="4"/>
        <v>0</v>
      </c>
      <c r="Z501" s="42" t="str">
        <f>CONFERENCIAS!AB501</f>
        <v/>
      </c>
      <c r="AA501" s="42" t="str">
        <f>CONFERENCIAS!AC501</f>
        <v/>
      </c>
      <c r="AB501" s="47" t="str">
        <f t="shared" si="5"/>
        <v/>
      </c>
      <c r="AC501" s="9" t="str">
        <f t="shared" si="6"/>
        <v/>
      </c>
    </row>
    <row r="502">
      <c r="A502" s="42" t="str">
        <f>CONFERENCIAS!A502</f>
        <v/>
      </c>
      <c r="D502" s="42" t="str">
        <f>CONFERENCIAS!C502</f>
        <v/>
      </c>
      <c r="E502" s="42" t="str">
        <f>CONFERENCIAS!K502</f>
        <v/>
      </c>
      <c r="F502" s="49" t="str">
        <f>CONFERENCIAS!J502</f>
        <v/>
      </c>
      <c r="G502" s="42" t="str">
        <f>CONFERENCIAS!O502</f>
        <v/>
      </c>
      <c r="H502" s="42" t="str">
        <f>CONFERENCIAS!X502</f>
        <v/>
      </c>
      <c r="I502" s="42" t="str">
        <f>CONFERENCIAS!AA502</f>
        <v/>
      </c>
      <c r="J502" s="44" t="str">
        <f>CONFERENCIAS!P502</f>
        <v/>
      </c>
      <c r="K502" s="45" t="str">
        <f>CONFERENCIAS!R502</f>
        <v/>
      </c>
      <c r="L502" s="45">
        <f>IF(D502="",0,
 IF(E502=1,
   IF(H502="Presencial",
      VLOOKUP(D502,TARIFAS!A:K,3,FALSE) + IF(I502="Sí",VLOOKUP(D502,TARIFAS!A:K,5,FALSE),0),
      VLOOKUP(D502,TARIFAS!A:K,4,FALSE) + IF(I502="Sí",VLOOKUP(D502,TARIFAS!A:K,5,FALSE),0)
   ),
   IF(H502="Presencial",
      VLOOKUP(D502,TARIFAS!A:K,9,FALSE) + IF(I502="Sí",VLOOKUP(D502,TARIFAS!A:K,11,FALSE),0),
      VLOOKUP(D502,TARIFAS!A:K,10,FALSE) + IF(I502="Sí",VLOOKUP(D502,TARIFAS!A:K,11,FALSE),0)
   )
 )
)
</f>
        <v>0</v>
      </c>
      <c r="M502" s="45">
        <f>IF(J502="",0,MAX(0,J502 - TARIFAS!G$2) * TARIFAS!F$2)
</f>
        <v>0</v>
      </c>
      <c r="N502" s="45">
        <f>+L502*TARIFAS!$K$2</f>
        <v>0</v>
      </c>
      <c r="O502" s="45">
        <f t="shared" si="1"/>
        <v>0</v>
      </c>
      <c r="P502" s="45">
        <f>+M502+O502+K502+(+I502-(I502*TARIFAS!$K$2))</f>
        <v>0</v>
      </c>
      <c r="Q502" s="42" t="str">
        <f>CONFERENCIAS!T502</f>
        <v/>
      </c>
      <c r="R502" s="45" t="str">
        <f>CONFERENCIAS!U502</f>
        <v/>
      </c>
      <c r="S502" s="45" t="str">
        <f>CONFERENCIAS!W502</f>
        <v/>
      </c>
      <c r="T502" s="48">
        <f>IF(Q502="",0,
   IF(E502=1,
      IF(H502="Presencial",
         VLOOKUP(D502,TARIFAS!A:K,3,FALSE) + IF(I502="Sí",VLOOKUP(D502,TARIFAS!A:K,5,FALSE),0),
         VLOOKUP(D502,TARIFAS!A:K,4,FALSE) + IF(I502="Sí",VLOOKUP(D502,TARIFAS!A:K,5,FALSE),0)
      ),
      IF(H502="Presencial",
         VLOOKUP(D502,TARIFAS!A:K,9,FALSE) + IF(I502="Sí",VLOOKUP(D502,TARIFAS!A:K,11,FALSE),0),
         VLOOKUP(D502,TARIFAS!A:K,10,FALSE) + IF(I502="Sí",VLOOKUP(D502,TARIFAS!A:K,11,FALSE),0)
      )
   )
)
</f>
        <v>0</v>
      </c>
      <c r="U502" s="45">
        <f>IF(R502="",0,MAX(0,R502 - TARIFAS!G$2) * TARIFAS!F$2)
</f>
        <v>0</v>
      </c>
      <c r="V502" s="45">
        <f>+T502*TARIFAS!$K$2</f>
        <v>0</v>
      </c>
      <c r="W502" s="45">
        <f t="shared" si="2"/>
        <v>0</v>
      </c>
      <c r="X502" s="45">
        <f t="shared" si="3"/>
        <v>0</v>
      </c>
      <c r="Y502" s="45">
        <f t="shared" si="4"/>
        <v>0</v>
      </c>
      <c r="Z502" s="42" t="str">
        <f>CONFERENCIAS!AB502</f>
        <v/>
      </c>
      <c r="AA502" s="42" t="str">
        <f>CONFERENCIAS!AC502</f>
        <v/>
      </c>
      <c r="AB502" s="47" t="str">
        <f t="shared" si="5"/>
        <v/>
      </c>
      <c r="AC502" s="9" t="str">
        <f t="shared" si="6"/>
        <v/>
      </c>
    </row>
    <row r="503">
      <c r="A503" s="42" t="str">
        <f>CONFERENCIAS!A503</f>
        <v/>
      </c>
      <c r="D503" s="42" t="str">
        <f>CONFERENCIAS!C503</f>
        <v/>
      </c>
      <c r="E503" s="42" t="str">
        <f>CONFERENCIAS!K503</f>
        <v/>
      </c>
      <c r="F503" s="49" t="str">
        <f>CONFERENCIAS!J503</f>
        <v/>
      </c>
      <c r="G503" s="42" t="str">
        <f>CONFERENCIAS!O503</f>
        <v/>
      </c>
      <c r="H503" s="42" t="str">
        <f>CONFERENCIAS!X503</f>
        <v/>
      </c>
      <c r="I503" s="42" t="str">
        <f>CONFERENCIAS!AA503</f>
        <v/>
      </c>
      <c r="J503" s="44" t="str">
        <f>CONFERENCIAS!P503</f>
        <v/>
      </c>
      <c r="K503" s="45" t="str">
        <f>CONFERENCIAS!R503</f>
        <v/>
      </c>
      <c r="L503" s="45">
        <f>IF(D503="",0,
 IF(E503=1,
   IF(H503="Presencial",
      VLOOKUP(D503,TARIFAS!A:K,3,FALSE) + IF(I503="Sí",VLOOKUP(D503,TARIFAS!A:K,5,FALSE),0),
      VLOOKUP(D503,TARIFAS!A:K,4,FALSE) + IF(I503="Sí",VLOOKUP(D503,TARIFAS!A:K,5,FALSE),0)
   ),
   IF(H503="Presencial",
      VLOOKUP(D503,TARIFAS!A:K,9,FALSE) + IF(I503="Sí",VLOOKUP(D503,TARIFAS!A:K,11,FALSE),0),
      VLOOKUP(D503,TARIFAS!A:K,10,FALSE) + IF(I503="Sí",VLOOKUP(D503,TARIFAS!A:K,11,FALSE),0)
   )
 )
)
</f>
        <v>0</v>
      </c>
      <c r="M503" s="45">
        <f>IF(J503="",0,MAX(0,J503 - TARIFAS!G$2) * TARIFAS!F$2)
</f>
        <v>0</v>
      </c>
      <c r="N503" s="45">
        <f>+L503*TARIFAS!$K$2</f>
        <v>0</v>
      </c>
      <c r="O503" s="45">
        <f t="shared" si="1"/>
        <v>0</v>
      </c>
      <c r="P503" s="45">
        <f>+M503+O503+K503+(+I503-(I503*TARIFAS!$K$2))</f>
        <v>0</v>
      </c>
      <c r="Q503" s="42" t="str">
        <f>CONFERENCIAS!T503</f>
        <v/>
      </c>
      <c r="R503" s="45" t="str">
        <f>CONFERENCIAS!U503</f>
        <v/>
      </c>
      <c r="S503" s="45" t="str">
        <f>CONFERENCIAS!W503</f>
        <v/>
      </c>
      <c r="T503" s="48">
        <f>IF(Q503="",0,
   IF(E503=1,
      IF(H503="Presencial",
         VLOOKUP(D503,TARIFAS!A:K,3,FALSE) + IF(I503="Sí",VLOOKUP(D503,TARIFAS!A:K,5,FALSE),0),
         VLOOKUP(D503,TARIFAS!A:K,4,FALSE) + IF(I503="Sí",VLOOKUP(D503,TARIFAS!A:K,5,FALSE),0)
      ),
      IF(H503="Presencial",
         VLOOKUP(D503,TARIFAS!A:K,9,FALSE) + IF(I503="Sí",VLOOKUP(D503,TARIFAS!A:K,11,FALSE),0),
         VLOOKUP(D503,TARIFAS!A:K,10,FALSE) + IF(I503="Sí",VLOOKUP(D503,TARIFAS!A:K,11,FALSE),0)
      )
   )
)
</f>
        <v>0</v>
      </c>
      <c r="U503" s="45">
        <f>IF(R503="",0,MAX(0,R503 - TARIFAS!G$2) * TARIFAS!F$2)
</f>
        <v>0</v>
      </c>
      <c r="V503" s="45">
        <f>+T503*TARIFAS!$K$2</f>
        <v>0</v>
      </c>
      <c r="W503" s="45">
        <f t="shared" si="2"/>
        <v>0</v>
      </c>
      <c r="X503" s="45">
        <f t="shared" si="3"/>
        <v>0</v>
      </c>
      <c r="Y503" s="45">
        <f t="shared" si="4"/>
        <v>0</v>
      </c>
      <c r="Z503" s="42" t="str">
        <f>CONFERENCIAS!AB503</f>
        <v/>
      </c>
      <c r="AA503" s="42" t="str">
        <f>CONFERENCIAS!AC503</f>
        <v/>
      </c>
      <c r="AB503" s="47" t="str">
        <f t="shared" si="5"/>
        <v/>
      </c>
      <c r="AC503" s="9" t="str">
        <f t="shared" si="6"/>
        <v/>
      </c>
    </row>
    <row r="504">
      <c r="A504" s="42" t="str">
        <f>CONFERENCIAS!A504</f>
        <v/>
      </c>
      <c r="D504" s="42" t="str">
        <f>CONFERENCIAS!C504</f>
        <v/>
      </c>
      <c r="E504" s="42" t="str">
        <f>CONFERENCIAS!K504</f>
        <v/>
      </c>
      <c r="F504" s="49" t="str">
        <f>CONFERENCIAS!J504</f>
        <v/>
      </c>
      <c r="G504" s="42" t="str">
        <f>CONFERENCIAS!O504</f>
        <v/>
      </c>
      <c r="H504" s="42" t="str">
        <f>CONFERENCIAS!X504</f>
        <v/>
      </c>
      <c r="I504" s="42" t="str">
        <f>CONFERENCIAS!AA504</f>
        <v/>
      </c>
      <c r="J504" s="44" t="str">
        <f>CONFERENCIAS!P504</f>
        <v/>
      </c>
      <c r="K504" s="45" t="str">
        <f>CONFERENCIAS!R504</f>
        <v/>
      </c>
      <c r="L504" s="45">
        <f>IF(D504="",0,
 IF(E504=1,
   IF(H504="Presencial",
      VLOOKUP(D504,TARIFAS!A:K,3,FALSE) + IF(I504="Sí",VLOOKUP(D504,TARIFAS!A:K,5,FALSE),0),
      VLOOKUP(D504,TARIFAS!A:K,4,FALSE) + IF(I504="Sí",VLOOKUP(D504,TARIFAS!A:K,5,FALSE),0)
   ),
   IF(H504="Presencial",
      VLOOKUP(D504,TARIFAS!A:K,9,FALSE) + IF(I504="Sí",VLOOKUP(D504,TARIFAS!A:K,11,FALSE),0),
      VLOOKUP(D504,TARIFAS!A:K,10,FALSE) + IF(I504="Sí",VLOOKUP(D504,TARIFAS!A:K,11,FALSE),0)
   )
 )
)
</f>
        <v>0</v>
      </c>
      <c r="M504" s="45">
        <f>IF(J504="",0,MAX(0,J504 - TARIFAS!G$2) * TARIFAS!F$2)
</f>
        <v>0</v>
      </c>
      <c r="N504" s="45">
        <f>+L504*TARIFAS!$K$2</f>
        <v>0</v>
      </c>
      <c r="O504" s="45">
        <f t="shared" si="1"/>
        <v>0</v>
      </c>
      <c r="P504" s="45">
        <f>+M504+O504+K504+(+I504-(I504*TARIFAS!$K$2))</f>
        <v>0</v>
      </c>
      <c r="Q504" s="42" t="str">
        <f>CONFERENCIAS!T504</f>
        <v/>
      </c>
      <c r="R504" s="45" t="str">
        <f>CONFERENCIAS!U504</f>
        <v/>
      </c>
      <c r="S504" s="45" t="str">
        <f>CONFERENCIAS!W504</f>
        <v/>
      </c>
      <c r="T504" s="48">
        <f>IF(Q504="",0,
   IF(E504=1,
      IF(H504="Presencial",
         VLOOKUP(D504,TARIFAS!A:K,3,FALSE) + IF(I504="Sí",VLOOKUP(D504,TARIFAS!A:K,5,FALSE),0),
         VLOOKUP(D504,TARIFAS!A:K,4,FALSE) + IF(I504="Sí",VLOOKUP(D504,TARIFAS!A:K,5,FALSE),0)
      ),
      IF(H504="Presencial",
         VLOOKUP(D504,TARIFAS!A:K,9,FALSE) + IF(I504="Sí",VLOOKUP(D504,TARIFAS!A:K,11,FALSE),0),
         VLOOKUP(D504,TARIFAS!A:K,10,FALSE) + IF(I504="Sí",VLOOKUP(D504,TARIFAS!A:K,11,FALSE),0)
      )
   )
)
</f>
        <v>0</v>
      </c>
      <c r="U504" s="45">
        <f>IF(R504="",0,MAX(0,R504 - TARIFAS!G$2) * TARIFAS!F$2)
</f>
        <v>0</v>
      </c>
      <c r="V504" s="45">
        <f>+T504*TARIFAS!$K$2</f>
        <v>0</v>
      </c>
      <c r="W504" s="45">
        <f t="shared" si="2"/>
        <v>0</v>
      </c>
      <c r="X504" s="45">
        <f t="shared" si="3"/>
        <v>0</v>
      </c>
      <c r="Y504" s="45">
        <f t="shared" si="4"/>
        <v>0</v>
      </c>
      <c r="Z504" s="42" t="str">
        <f>CONFERENCIAS!AB504</f>
        <v/>
      </c>
      <c r="AA504" s="42" t="str">
        <f>CONFERENCIAS!AC504</f>
        <v/>
      </c>
      <c r="AB504" s="47" t="str">
        <f t="shared" si="5"/>
        <v/>
      </c>
      <c r="AC504" s="9" t="str">
        <f t="shared" si="6"/>
        <v/>
      </c>
    </row>
    <row r="505">
      <c r="A505" s="42" t="str">
        <f>CONFERENCIAS!A505</f>
        <v/>
      </c>
      <c r="D505" s="42" t="str">
        <f>CONFERENCIAS!C505</f>
        <v/>
      </c>
      <c r="E505" s="42" t="str">
        <f>CONFERENCIAS!K505</f>
        <v/>
      </c>
      <c r="F505" s="49" t="str">
        <f>CONFERENCIAS!J505</f>
        <v/>
      </c>
      <c r="G505" s="42" t="str">
        <f>CONFERENCIAS!O505</f>
        <v/>
      </c>
      <c r="H505" s="42" t="str">
        <f>CONFERENCIAS!X505</f>
        <v/>
      </c>
      <c r="I505" s="42" t="str">
        <f>CONFERENCIAS!AA505</f>
        <v/>
      </c>
      <c r="J505" s="44" t="str">
        <f>CONFERENCIAS!P505</f>
        <v/>
      </c>
      <c r="K505" s="45" t="str">
        <f>CONFERENCIAS!R505</f>
        <v/>
      </c>
      <c r="L505" s="45">
        <f>IF(D505="",0,
 IF(E505=1,
   IF(H505="Presencial",
      VLOOKUP(D505,TARIFAS!A:K,3,FALSE) + IF(I505="Sí",VLOOKUP(D505,TARIFAS!A:K,5,FALSE),0),
      VLOOKUP(D505,TARIFAS!A:K,4,FALSE) + IF(I505="Sí",VLOOKUP(D505,TARIFAS!A:K,5,FALSE),0)
   ),
   IF(H505="Presencial",
      VLOOKUP(D505,TARIFAS!A:K,9,FALSE) + IF(I505="Sí",VLOOKUP(D505,TARIFAS!A:K,11,FALSE),0),
      VLOOKUP(D505,TARIFAS!A:K,10,FALSE) + IF(I505="Sí",VLOOKUP(D505,TARIFAS!A:K,11,FALSE),0)
   )
 )
)
</f>
        <v>0</v>
      </c>
      <c r="M505" s="45">
        <f>IF(J505="",0,MAX(0,J505 - TARIFAS!G$2) * TARIFAS!F$2)
</f>
        <v>0</v>
      </c>
      <c r="N505" s="45">
        <f>+L505*TARIFAS!$K$2</f>
        <v>0</v>
      </c>
      <c r="O505" s="45">
        <f t="shared" si="1"/>
        <v>0</v>
      </c>
      <c r="P505" s="45">
        <f>+M505+O505+K505+(+I505-(I505*TARIFAS!$K$2))</f>
        <v>0</v>
      </c>
      <c r="Q505" s="42" t="str">
        <f>CONFERENCIAS!T505</f>
        <v/>
      </c>
      <c r="R505" s="45" t="str">
        <f>CONFERENCIAS!U505</f>
        <v/>
      </c>
      <c r="S505" s="45" t="str">
        <f>CONFERENCIAS!W505</f>
        <v/>
      </c>
      <c r="T505" s="48">
        <f>IF(Q505="",0,
   IF(E505=1,
      IF(H505="Presencial",
         VLOOKUP(D505,TARIFAS!A:K,3,FALSE) + IF(I505="Sí",VLOOKUP(D505,TARIFAS!A:K,5,FALSE),0),
         VLOOKUP(D505,TARIFAS!A:K,4,FALSE) + IF(I505="Sí",VLOOKUP(D505,TARIFAS!A:K,5,FALSE),0)
      ),
      IF(H505="Presencial",
         VLOOKUP(D505,TARIFAS!A:K,9,FALSE) + IF(I505="Sí",VLOOKUP(D505,TARIFAS!A:K,11,FALSE),0),
         VLOOKUP(D505,TARIFAS!A:K,10,FALSE) + IF(I505="Sí",VLOOKUP(D505,TARIFAS!A:K,11,FALSE),0)
      )
   )
)
</f>
        <v>0</v>
      </c>
      <c r="U505" s="45">
        <f>IF(R505="",0,MAX(0,R505 - TARIFAS!G$2) * TARIFAS!F$2)
</f>
        <v>0</v>
      </c>
      <c r="V505" s="45">
        <f>+T505*TARIFAS!$K$2</f>
        <v>0</v>
      </c>
      <c r="W505" s="45">
        <f t="shared" si="2"/>
        <v>0</v>
      </c>
      <c r="X505" s="45">
        <f t="shared" si="3"/>
        <v>0</v>
      </c>
      <c r="Y505" s="45">
        <f t="shared" si="4"/>
        <v>0</v>
      </c>
      <c r="Z505" s="42" t="str">
        <f>CONFERENCIAS!AB505</f>
        <v/>
      </c>
      <c r="AA505" s="42" t="str">
        <f>CONFERENCIAS!AC505</f>
        <v/>
      </c>
      <c r="AB505" s="47" t="str">
        <f t="shared" si="5"/>
        <v/>
      </c>
      <c r="AC505" s="9" t="str">
        <f t="shared" si="6"/>
        <v/>
      </c>
    </row>
    <row r="506">
      <c r="A506" s="42" t="str">
        <f>CONFERENCIAS!A506</f>
        <v/>
      </c>
      <c r="D506" s="42" t="str">
        <f>CONFERENCIAS!C506</f>
        <v/>
      </c>
      <c r="E506" s="42" t="str">
        <f>CONFERENCIAS!K506</f>
        <v/>
      </c>
      <c r="F506" s="49" t="str">
        <f>CONFERENCIAS!J506</f>
        <v/>
      </c>
      <c r="G506" s="42" t="str">
        <f>CONFERENCIAS!O506</f>
        <v/>
      </c>
      <c r="H506" s="42" t="str">
        <f>CONFERENCIAS!X506</f>
        <v/>
      </c>
      <c r="I506" s="42" t="str">
        <f>CONFERENCIAS!AA506</f>
        <v/>
      </c>
      <c r="J506" s="44" t="str">
        <f>CONFERENCIAS!P506</f>
        <v/>
      </c>
      <c r="K506" s="45" t="str">
        <f>CONFERENCIAS!R506</f>
        <v/>
      </c>
      <c r="L506" s="45">
        <f>IF(D506="",0,
 IF(E506=1,
   IF(H506="Presencial",
      VLOOKUP(D506,TARIFAS!A:K,3,FALSE) + IF(I506="Sí",VLOOKUP(D506,TARIFAS!A:K,5,FALSE),0),
      VLOOKUP(D506,TARIFAS!A:K,4,FALSE) + IF(I506="Sí",VLOOKUP(D506,TARIFAS!A:K,5,FALSE),0)
   ),
   IF(H506="Presencial",
      VLOOKUP(D506,TARIFAS!A:K,9,FALSE) + IF(I506="Sí",VLOOKUP(D506,TARIFAS!A:K,11,FALSE),0),
      VLOOKUP(D506,TARIFAS!A:K,10,FALSE) + IF(I506="Sí",VLOOKUP(D506,TARIFAS!A:K,11,FALSE),0)
   )
 )
)
</f>
        <v>0</v>
      </c>
      <c r="M506" s="45">
        <f>IF(J506="",0,MAX(0,J506 - TARIFAS!G$2) * TARIFAS!F$2)
</f>
        <v>0</v>
      </c>
      <c r="N506" s="45">
        <f>+L506*TARIFAS!$K$2</f>
        <v>0</v>
      </c>
      <c r="O506" s="45">
        <f t="shared" si="1"/>
        <v>0</v>
      </c>
      <c r="P506" s="45">
        <f>+M506+O506+K506+(+I506-(I506*TARIFAS!$K$2))</f>
        <v>0</v>
      </c>
      <c r="Q506" s="42" t="str">
        <f>CONFERENCIAS!T506</f>
        <v/>
      </c>
      <c r="R506" s="45" t="str">
        <f>CONFERENCIAS!U506</f>
        <v/>
      </c>
      <c r="S506" s="45" t="str">
        <f>CONFERENCIAS!W506</f>
        <v/>
      </c>
      <c r="T506" s="48">
        <f>IF(Q506="",0,
   IF(E506=1,
      IF(H506="Presencial",
         VLOOKUP(D506,TARIFAS!A:K,3,FALSE) + IF(I506="Sí",VLOOKUP(D506,TARIFAS!A:K,5,FALSE),0),
         VLOOKUP(D506,TARIFAS!A:K,4,FALSE) + IF(I506="Sí",VLOOKUP(D506,TARIFAS!A:K,5,FALSE),0)
      ),
      IF(H506="Presencial",
         VLOOKUP(D506,TARIFAS!A:K,9,FALSE) + IF(I506="Sí",VLOOKUP(D506,TARIFAS!A:K,11,FALSE),0),
         VLOOKUP(D506,TARIFAS!A:K,10,FALSE) + IF(I506="Sí",VLOOKUP(D506,TARIFAS!A:K,11,FALSE),0)
      )
   )
)
</f>
        <v>0</v>
      </c>
      <c r="U506" s="45">
        <f>IF(R506="",0,MAX(0,R506 - TARIFAS!G$2) * TARIFAS!F$2)
</f>
        <v>0</v>
      </c>
      <c r="V506" s="45">
        <f>+T506*TARIFAS!$K$2</f>
        <v>0</v>
      </c>
      <c r="W506" s="45">
        <f t="shared" si="2"/>
        <v>0</v>
      </c>
      <c r="X506" s="45">
        <f t="shared" si="3"/>
        <v>0</v>
      </c>
      <c r="Y506" s="45">
        <f t="shared" si="4"/>
        <v>0</v>
      </c>
      <c r="Z506" s="42" t="str">
        <f>CONFERENCIAS!AB506</f>
        <v/>
      </c>
      <c r="AA506" s="42" t="str">
        <f>CONFERENCIAS!AC506</f>
        <v/>
      </c>
      <c r="AB506" s="47" t="str">
        <f t="shared" si="5"/>
        <v/>
      </c>
      <c r="AC506" s="9" t="str">
        <f t="shared" si="6"/>
        <v/>
      </c>
    </row>
    <row r="507">
      <c r="A507" s="42" t="str">
        <f>CONFERENCIAS!A507</f>
        <v/>
      </c>
      <c r="D507" s="42" t="str">
        <f>CONFERENCIAS!C507</f>
        <v/>
      </c>
      <c r="E507" s="42" t="str">
        <f>CONFERENCIAS!K507</f>
        <v/>
      </c>
      <c r="F507" s="49" t="str">
        <f>CONFERENCIAS!J507</f>
        <v/>
      </c>
      <c r="G507" s="42" t="str">
        <f>CONFERENCIAS!O507</f>
        <v/>
      </c>
      <c r="H507" s="42" t="str">
        <f>CONFERENCIAS!X507</f>
        <v/>
      </c>
      <c r="I507" s="42" t="str">
        <f>CONFERENCIAS!AA507</f>
        <v/>
      </c>
      <c r="J507" s="44" t="str">
        <f>CONFERENCIAS!P507</f>
        <v/>
      </c>
      <c r="K507" s="45" t="str">
        <f>CONFERENCIAS!R507</f>
        <v/>
      </c>
      <c r="L507" s="45">
        <f>IF(D507="",0,
 IF(E507=1,
   IF(H507="Presencial",
      VLOOKUP(D507,TARIFAS!A:K,3,FALSE) + IF(I507="Sí",VLOOKUP(D507,TARIFAS!A:K,5,FALSE),0),
      VLOOKUP(D507,TARIFAS!A:K,4,FALSE) + IF(I507="Sí",VLOOKUP(D507,TARIFAS!A:K,5,FALSE),0)
   ),
   IF(H507="Presencial",
      VLOOKUP(D507,TARIFAS!A:K,9,FALSE) + IF(I507="Sí",VLOOKUP(D507,TARIFAS!A:K,11,FALSE),0),
      VLOOKUP(D507,TARIFAS!A:K,10,FALSE) + IF(I507="Sí",VLOOKUP(D507,TARIFAS!A:K,11,FALSE),0)
   )
 )
)
</f>
        <v>0</v>
      </c>
      <c r="M507" s="45">
        <f>IF(J507="",0,MAX(0,J507 - TARIFAS!G$2) * TARIFAS!F$2)
</f>
        <v>0</v>
      </c>
      <c r="N507" s="45">
        <f>+L507*TARIFAS!$K$2</f>
        <v>0</v>
      </c>
      <c r="O507" s="45">
        <f t="shared" si="1"/>
        <v>0</v>
      </c>
      <c r="P507" s="45">
        <f>+M507+O507+K507+(+I507-(I507*TARIFAS!$K$2))</f>
        <v>0</v>
      </c>
      <c r="Q507" s="42" t="str">
        <f>CONFERENCIAS!T507</f>
        <v/>
      </c>
      <c r="R507" s="45" t="str">
        <f>CONFERENCIAS!U507</f>
        <v/>
      </c>
      <c r="S507" s="45" t="str">
        <f>CONFERENCIAS!W507</f>
        <v/>
      </c>
      <c r="T507" s="48">
        <f>IF(Q507="",0,
   IF(E507=1,
      IF(H507="Presencial",
         VLOOKUP(D507,TARIFAS!A:K,3,FALSE) + IF(I507="Sí",VLOOKUP(D507,TARIFAS!A:K,5,FALSE),0),
         VLOOKUP(D507,TARIFAS!A:K,4,FALSE) + IF(I507="Sí",VLOOKUP(D507,TARIFAS!A:K,5,FALSE),0)
      ),
      IF(H507="Presencial",
         VLOOKUP(D507,TARIFAS!A:K,9,FALSE) + IF(I507="Sí",VLOOKUP(D507,TARIFAS!A:K,11,FALSE),0),
         VLOOKUP(D507,TARIFAS!A:K,10,FALSE) + IF(I507="Sí",VLOOKUP(D507,TARIFAS!A:K,11,FALSE),0)
      )
   )
)
</f>
        <v>0</v>
      </c>
      <c r="U507" s="45">
        <f>IF(R507="",0,MAX(0,R507 - TARIFAS!G$2) * TARIFAS!F$2)
</f>
        <v>0</v>
      </c>
      <c r="V507" s="45">
        <f>+T507*TARIFAS!$K$2</f>
        <v>0</v>
      </c>
      <c r="W507" s="45">
        <f t="shared" si="2"/>
        <v>0</v>
      </c>
      <c r="X507" s="45">
        <f t="shared" si="3"/>
        <v>0</v>
      </c>
      <c r="Y507" s="45">
        <f t="shared" si="4"/>
        <v>0</v>
      </c>
      <c r="Z507" s="42" t="str">
        <f>CONFERENCIAS!AB507</f>
        <v/>
      </c>
      <c r="AA507" s="42" t="str">
        <f>CONFERENCIAS!AC507</f>
        <v/>
      </c>
      <c r="AB507" s="47" t="str">
        <f t="shared" si="5"/>
        <v/>
      </c>
      <c r="AC507" s="9" t="str">
        <f t="shared" si="6"/>
        <v/>
      </c>
    </row>
    <row r="508">
      <c r="A508" s="42" t="str">
        <f>CONFERENCIAS!A508</f>
        <v/>
      </c>
      <c r="D508" s="42" t="str">
        <f>CONFERENCIAS!C508</f>
        <v/>
      </c>
      <c r="E508" s="42" t="str">
        <f>CONFERENCIAS!K508</f>
        <v/>
      </c>
      <c r="F508" s="49" t="str">
        <f>CONFERENCIAS!J508</f>
        <v/>
      </c>
      <c r="G508" s="42" t="str">
        <f>CONFERENCIAS!O508</f>
        <v/>
      </c>
      <c r="H508" s="42" t="str">
        <f>CONFERENCIAS!X508</f>
        <v/>
      </c>
      <c r="I508" s="42" t="str">
        <f>CONFERENCIAS!AA508</f>
        <v/>
      </c>
      <c r="J508" s="44" t="str">
        <f>CONFERENCIAS!P508</f>
        <v/>
      </c>
      <c r="K508" s="45" t="str">
        <f>CONFERENCIAS!R508</f>
        <v/>
      </c>
      <c r="L508" s="45">
        <f>IF(D508="",0,
 IF(E508=1,
   IF(H508="Presencial",
      VLOOKUP(D508,TARIFAS!A:K,3,FALSE) + IF(I508="Sí",VLOOKUP(D508,TARIFAS!A:K,5,FALSE),0),
      VLOOKUP(D508,TARIFAS!A:K,4,FALSE) + IF(I508="Sí",VLOOKUP(D508,TARIFAS!A:K,5,FALSE),0)
   ),
   IF(H508="Presencial",
      VLOOKUP(D508,TARIFAS!A:K,9,FALSE) + IF(I508="Sí",VLOOKUP(D508,TARIFAS!A:K,11,FALSE),0),
      VLOOKUP(D508,TARIFAS!A:K,10,FALSE) + IF(I508="Sí",VLOOKUP(D508,TARIFAS!A:K,11,FALSE),0)
   )
 )
)
</f>
        <v>0</v>
      </c>
      <c r="M508" s="45">
        <f>IF(J508="",0,MAX(0,J508 - TARIFAS!G$2) * TARIFAS!F$2)
</f>
        <v>0</v>
      </c>
      <c r="N508" s="45">
        <f>+L508*TARIFAS!$K$2</f>
        <v>0</v>
      </c>
      <c r="O508" s="45">
        <f t="shared" si="1"/>
        <v>0</v>
      </c>
      <c r="P508" s="45">
        <f>+M508+O508+K508+(+I508-(I508*TARIFAS!$K$2))</f>
        <v>0</v>
      </c>
      <c r="Q508" s="42" t="str">
        <f>CONFERENCIAS!T508</f>
        <v/>
      </c>
      <c r="R508" s="45" t="str">
        <f>CONFERENCIAS!U508</f>
        <v/>
      </c>
      <c r="S508" s="45" t="str">
        <f>CONFERENCIAS!W508</f>
        <v/>
      </c>
      <c r="T508" s="48">
        <f>IF(Q508="",0,
   IF(E508=1,
      IF(H508="Presencial",
         VLOOKUP(D508,TARIFAS!A:K,3,FALSE) + IF(I508="Sí",VLOOKUP(D508,TARIFAS!A:K,5,FALSE),0),
         VLOOKUP(D508,TARIFAS!A:K,4,FALSE) + IF(I508="Sí",VLOOKUP(D508,TARIFAS!A:K,5,FALSE),0)
      ),
      IF(H508="Presencial",
         VLOOKUP(D508,TARIFAS!A:K,9,FALSE) + IF(I508="Sí",VLOOKUP(D508,TARIFAS!A:K,11,FALSE),0),
         VLOOKUP(D508,TARIFAS!A:K,10,FALSE) + IF(I508="Sí",VLOOKUP(D508,TARIFAS!A:K,11,FALSE),0)
      )
   )
)
</f>
        <v>0</v>
      </c>
      <c r="U508" s="45">
        <f>IF(R508="",0,MAX(0,R508 - TARIFAS!G$2) * TARIFAS!F$2)
</f>
        <v>0</v>
      </c>
      <c r="V508" s="45">
        <f>+T508*TARIFAS!$K$2</f>
        <v>0</v>
      </c>
      <c r="W508" s="45">
        <f t="shared" si="2"/>
        <v>0</v>
      </c>
      <c r="X508" s="45">
        <f t="shared" si="3"/>
        <v>0</v>
      </c>
      <c r="Y508" s="45">
        <f t="shared" si="4"/>
        <v>0</v>
      </c>
      <c r="Z508" s="42" t="str">
        <f>CONFERENCIAS!AB508</f>
        <v/>
      </c>
      <c r="AA508" s="42" t="str">
        <f>CONFERENCIAS!AC508</f>
        <v/>
      </c>
      <c r="AB508" s="47" t="str">
        <f t="shared" si="5"/>
        <v/>
      </c>
      <c r="AC508" s="9" t="str">
        <f t="shared" si="6"/>
        <v/>
      </c>
    </row>
    <row r="509">
      <c r="A509" s="42" t="str">
        <f>CONFERENCIAS!A509</f>
        <v/>
      </c>
      <c r="D509" s="42" t="str">
        <f>CONFERENCIAS!C509</f>
        <v/>
      </c>
      <c r="E509" s="42" t="str">
        <f>CONFERENCIAS!K509</f>
        <v/>
      </c>
      <c r="F509" s="49" t="str">
        <f>CONFERENCIAS!J509</f>
        <v/>
      </c>
      <c r="G509" s="42" t="str">
        <f>CONFERENCIAS!O509</f>
        <v/>
      </c>
      <c r="H509" s="42" t="str">
        <f>CONFERENCIAS!X509</f>
        <v/>
      </c>
      <c r="I509" s="42" t="str">
        <f>CONFERENCIAS!AA509</f>
        <v/>
      </c>
      <c r="J509" s="44" t="str">
        <f>CONFERENCIAS!P509</f>
        <v/>
      </c>
      <c r="K509" s="45" t="str">
        <f>CONFERENCIAS!R509</f>
        <v/>
      </c>
      <c r="L509" s="45">
        <f>IF(D509="",0,
 IF(E509=1,
   IF(H509="Presencial",
      VLOOKUP(D509,TARIFAS!A:K,3,FALSE) + IF(I509="Sí",VLOOKUP(D509,TARIFAS!A:K,5,FALSE),0),
      VLOOKUP(D509,TARIFAS!A:K,4,FALSE) + IF(I509="Sí",VLOOKUP(D509,TARIFAS!A:K,5,FALSE),0)
   ),
   IF(H509="Presencial",
      VLOOKUP(D509,TARIFAS!A:K,9,FALSE) + IF(I509="Sí",VLOOKUP(D509,TARIFAS!A:K,11,FALSE),0),
      VLOOKUP(D509,TARIFAS!A:K,10,FALSE) + IF(I509="Sí",VLOOKUP(D509,TARIFAS!A:K,11,FALSE),0)
   )
 )
)
</f>
        <v>0</v>
      </c>
      <c r="M509" s="45">
        <f>IF(J509="",0,MAX(0,J509 - TARIFAS!G$2) * TARIFAS!F$2)
</f>
        <v>0</v>
      </c>
      <c r="N509" s="45">
        <f>+L509*TARIFAS!$K$2</f>
        <v>0</v>
      </c>
      <c r="O509" s="45">
        <f t="shared" si="1"/>
        <v>0</v>
      </c>
      <c r="P509" s="45">
        <f>+M509+O509+K509+(+I509-(I509*TARIFAS!$K$2))</f>
        <v>0</v>
      </c>
      <c r="Q509" s="42" t="str">
        <f>CONFERENCIAS!T509</f>
        <v/>
      </c>
      <c r="R509" s="45" t="str">
        <f>CONFERENCIAS!U509</f>
        <v/>
      </c>
      <c r="S509" s="45" t="str">
        <f>CONFERENCIAS!W509</f>
        <v/>
      </c>
      <c r="T509" s="48">
        <f>IF(Q509="",0,
   IF(E509=1,
      IF(H509="Presencial",
         VLOOKUP(D509,TARIFAS!A:K,3,FALSE) + IF(I509="Sí",VLOOKUP(D509,TARIFAS!A:K,5,FALSE),0),
         VLOOKUP(D509,TARIFAS!A:K,4,FALSE) + IF(I509="Sí",VLOOKUP(D509,TARIFAS!A:K,5,FALSE),0)
      ),
      IF(H509="Presencial",
         VLOOKUP(D509,TARIFAS!A:K,9,FALSE) + IF(I509="Sí",VLOOKUP(D509,TARIFAS!A:K,11,FALSE),0),
         VLOOKUP(D509,TARIFAS!A:K,10,FALSE) + IF(I509="Sí",VLOOKUP(D509,TARIFAS!A:K,11,FALSE),0)
      )
   )
)
</f>
        <v>0</v>
      </c>
      <c r="U509" s="45">
        <f>IF(R509="",0,MAX(0,R509 - TARIFAS!G$2) * TARIFAS!F$2)
</f>
        <v>0</v>
      </c>
      <c r="V509" s="45">
        <f>+T509*TARIFAS!$K$2</f>
        <v>0</v>
      </c>
      <c r="W509" s="45">
        <f t="shared" si="2"/>
        <v>0</v>
      </c>
      <c r="X509" s="45">
        <f t="shared" si="3"/>
        <v>0</v>
      </c>
      <c r="Y509" s="45">
        <f t="shared" si="4"/>
        <v>0</v>
      </c>
      <c r="Z509" s="42" t="str">
        <f>CONFERENCIAS!AB509</f>
        <v/>
      </c>
      <c r="AA509" s="42" t="str">
        <f>CONFERENCIAS!AC509</f>
        <v/>
      </c>
      <c r="AB509" s="47" t="str">
        <f t="shared" si="5"/>
        <v/>
      </c>
      <c r="AC509" s="9" t="str">
        <f t="shared" si="6"/>
        <v/>
      </c>
    </row>
    <row r="510">
      <c r="A510" s="42" t="str">
        <f>CONFERENCIAS!A510</f>
        <v/>
      </c>
      <c r="D510" s="42" t="str">
        <f>CONFERENCIAS!C510</f>
        <v/>
      </c>
      <c r="E510" s="42" t="str">
        <f>CONFERENCIAS!K510</f>
        <v/>
      </c>
      <c r="F510" s="49" t="str">
        <f>CONFERENCIAS!J510</f>
        <v/>
      </c>
      <c r="G510" s="42" t="str">
        <f>CONFERENCIAS!O510</f>
        <v/>
      </c>
      <c r="H510" s="42" t="str">
        <f>CONFERENCIAS!X510</f>
        <v/>
      </c>
      <c r="I510" s="42" t="str">
        <f>CONFERENCIAS!AA510</f>
        <v/>
      </c>
      <c r="J510" s="44" t="str">
        <f>CONFERENCIAS!P510</f>
        <v/>
      </c>
      <c r="K510" s="45" t="str">
        <f>CONFERENCIAS!R510</f>
        <v/>
      </c>
      <c r="L510" s="45">
        <f>IF(D510="",0,
 IF(E510=1,
   IF(H510="Presencial",
      VLOOKUP(D510,TARIFAS!A:K,3,FALSE) + IF(I510="Sí",VLOOKUP(D510,TARIFAS!A:K,5,FALSE),0),
      VLOOKUP(D510,TARIFAS!A:K,4,FALSE) + IF(I510="Sí",VLOOKUP(D510,TARIFAS!A:K,5,FALSE),0)
   ),
   IF(H510="Presencial",
      VLOOKUP(D510,TARIFAS!A:K,9,FALSE) + IF(I510="Sí",VLOOKUP(D510,TARIFAS!A:K,11,FALSE),0),
      VLOOKUP(D510,TARIFAS!A:K,10,FALSE) + IF(I510="Sí",VLOOKUP(D510,TARIFAS!A:K,11,FALSE),0)
   )
 )
)
</f>
        <v>0</v>
      </c>
      <c r="M510" s="45">
        <f>IF(J510="",0,MAX(0,J510 - TARIFAS!G$2) * TARIFAS!F$2)
</f>
        <v>0</v>
      </c>
      <c r="N510" s="45">
        <f>+L510*TARIFAS!$K$2</f>
        <v>0</v>
      </c>
      <c r="O510" s="45">
        <f t="shared" si="1"/>
        <v>0</v>
      </c>
      <c r="P510" s="45">
        <f>+M510+O510+K510+(+I510-(I510*TARIFAS!$K$2))</f>
        <v>0</v>
      </c>
      <c r="Q510" s="42" t="str">
        <f>CONFERENCIAS!T510</f>
        <v/>
      </c>
      <c r="R510" s="45" t="str">
        <f>CONFERENCIAS!U510</f>
        <v/>
      </c>
      <c r="S510" s="45" t="str">
        <f>CONFERENCIAS!W510</f>
        <v/>
      </c>
      <c r="T510" s="48">
        <f>IF(Q510="",0,
   IF(E510=1,
      IF(H510="Presencial",
         VLOOKUP(D510,TARIFAS!A:K,3,FALSE) + IF(I510="Sí",VLOOKUP(D510,TARIFAS!A:K,5,FALSE),0),
         VLOOKUP(D510,TARIFAS!A:K,4,FALSE) + IF(I510="Sí",VLOOKUP(D510,TARIFAS!A:K,5,FALSE),0)
      ),
      IF(H510="Presencial",
         VLOOKUP(D510,TARIFAS!A:K,9,FALSE) + IF(I510="Sí",VLOOKUP(D510,TARIFAS!A:K,11,FALSE),0),
         VLOOKUP(D510,TARIFAS!A:K,10,FALSE) + IF(I510="Sí",VLOOKUP(D510,TARIFAS!A:K,11,FALSE),0)
      )
   )
)
</f>
        <v>0</v>
      </c>
      <c r="U510" s="45">
        <f>IF(R510="",0,MAX(0,R510 - TARIFAS!G$2) * TARIFAS!F$2)
</f>
        <v>0</v>
      </c>
      <c r="V510" s="45">
        <f>+T510*TARIFAS!$K$2</f>
        <v>0</v>
      </c>
      <c r="W510" s="45">
        <f t="shared" si="2"/>
        <v>0</v>
      </c>
      <c r="X510" s="45">
        <f t="shared" si="3"/>
        <v>0</v>
      </c>
      <c r="Y510" s="45">
        <f t="shared" si="4"/>
        <v>0</v>
      </c>
      <c r="Z510" s="42" t="str">
        <f>CONFERENCIAS!AB510</f>
        <v/>
      </c>
      <c r="AA510" s="42" t="str">
        <f>CONFERENCIAS!AC510</f>
        <v/>
      </c>
      <c r="AB510" s="47" t="str">
        <f t="shared" si="5"/>
        <v/>
      </c>
      <c r="AC510" s="9" t="str">
        <f t="shared" si="6"/>
        <v/>
      </c>
    </row>
    <row r="511">
      <c r="A511" s="42" t="str">
        <f>CONFERENCIAS!A511</f>
        <v/>
      </c>
      <c r="D511" s="42" t="str">
        <f>CONFERENCIAS!C511</f>
        <v/>
      </c>
      <c r="E511" s="42" t="str">
        <f>CONFERENCIAS!K511</f>
        <v/>
      </c>
      <c r="F511" s="49" t="str">
        <f>CONFERENCIAS!J511</f>
        <v/>
      </c>
      <c r="G511" s="42" t="str">
        <f>CONFERENCIAS!O511</f>
        <v/>
      </c>
      <c r="H511" s="42" t="str">
        <f>CONFERENCIAS!X511</f>
        <v/>
      </c>
      <c r="I511" s="42" t="str">
        <f>CONFERENCIAS!AA511</f>
        <v/>
      </c>
      <c r="J511" s="44" t="str">
        <f>CONFERENCIAS!P511</f>
        <v/>
      </c>
      <c r="K511" s="45" t="str">
        <f>CONFERENCIAS!R511</f>
        <v/>
      </c>
      <c r="L511" s="45">
        <f>IF(D511="",0,
 IF(E511=1,
   IF(H511="Presencial",
      VLOOKUP(D511,TARIFAS!A:K,3,FALSE) + IF(I511="Sí",VLOOKUP(D511,TARIFAS!A:K,5,FALSE),0),
      VLOOKUP(D511,TARIFAS!A:K,4,FALSE) + IF(I511="Sí",VLOOKUP(D511,TARIFAS!A:K,5,FALSE),0)
   ),
   IF(H511="Presencial",
      VLOOKUP(D511,TARIFAS!A:K,9,FALSE) + IF(I511="Sí",VLOOKUP(D511,TARIFAS!A:K,11,FALSE),0),
      VLOOKUP(D511,TARIFAS!A:K,10,FALSE) + IF(I511="Sí",VLOOKUP(D511,TARIFAS!A:K,11,FALSE),0)
   )
 )
)
</f>
        <v>0</v>
      </c>
      <c r="M511" s="45">
        <f>IF(J511="",0,MAX(0,J511 - TARIFAS!G$2) * TARIFAS!F$2)
</f>
        <v>0</v>
      </c>
      <c r="N511" s="45">
        <f>+L511*TARIFAS!$K$2</f>
        <v>0</v>
      </c>
      <c r="O511" s="45">
        <f t="shared" si="1"/>
        <v>0</v>
      </c>
      <c r="P511" s="45">
        <f>+M511+O511+K511+(+I511-(I511*TARIFAS!$K$2))</f>
        <v>0</v>
      </c>
      <c r="Q511" s="42" t="str">
        <f>CONFERENCIAS!T511</f>
        <v/>
      </c>
      <c r="R511" s="45" t="str">
        <f>CONFERENCIAS!U511</f>
        <v/>
      </c>
      <c r="S511" s="45" t="str">
        <f>CONFERENCIAS!W511</f>
        <v/>
      </c>
      <c r="T511" s="48">
        <f>IF(Q511="",0,
   IF(E511=1,
      IF(H511="Presencial",
         VLOOKUP(D511,TARIFAS!A:K,3,FALSE) + IF(I511="Sí",VLOOKUP(D511,TARIFAS!A:K,5,FALSE),0),
         VLOOKUP(D511,TARIFAS!A:K,4,FALSE) + IF(I511="Sí",VLOOKUP(D511,TARIFAS!A:K,5,FALSE),0)
      ),
      IF(H511="Presencial",
         VLOOKUP(D511,TARIFAS!A:K,9,FALSE) + IF(I511="Sí",VLOOKUP(D511,TARIFAS!A:K,11,FALSE),0),
         VLOOKUP(D511,TARIFAS!A:K,10,FALSE) + IF(I511="Sí",VLOOKUP(D511,TARIFAS!A:K,11,FALSE),0)
      )
   )
)
</f>
        <v>0</v>
      </c>
      <c r="U511" s="45">
        <f>IF(R511="",0,MAX(0,R511 - TARIFAS!G$2) * TARIFAS!F$2)
</f>
        <v>0</v>
      </c>
      <c r="V511" s="45">
        <f>+T511*TARIFAS!$K$2</f>
        <v>0</v>
      </c>
      <c r="W511" s="45">
        <f t="shared" si="2"/>
        <v>0</v>
      </c>
      <c r="X511" s="45">
        <f t="shared" si="3"/>
        <v>0</v>
      </c>
      <c r="Y511" s="45">
        <f t="shared" si="4"/>
        <v>0</v>
      </c>
      <c r="Z511" s="42" t="str">
        <f>CONFERENCIAS!AB511</f>
        <v/>
      </c>
      <c r="AA511" s="42" t="str">
        <f>CONFERENCIAS!AC511</f>
        <v/>
      </c>
      <c r="AB511" s="47" t="str">
        <f t="shared" si="5"/>
        <v/>
      </c>
      <c r="AC511" s="9" t="str">
        <f t="shared" si="6"/>
        <v/>
      </c>
    </row>
    <row r="512">
      <c r="A512" s="42" t="str">
        <f>CONFERENCIAS!A512</f>
        <v/>
      </c>
      <c r="D512" s="42" t="str">
        <f>CONFERENCIAS!C512</f>
        <v/>
      </c>
      <c r="E512" s="42" t="str">
        <f>CONFERENCIAS!K512</f>
        <v/>
      </c>
      <c r="F512" s="49" t="str">
        <f>CONFERENCIAS!J512</f>
        <v/>
      </c>
      <c r="G512" s="42" t="str">
        <f>CONFERENCIAS!O512</f>
        <v/>
      </c>
      <c r="H512" s="42" t="str">
        <f>CONFERENCIAS!X512</f>
        <v/>
      </c>
      <c r="I512" s="42" t="str">
        <f>CONFERENCIAS!AA512</f>
        <v/>
      </c>
      <c r="J512" s="44" t="str">
        <f>CONFERENCIAS!P512</f>
        <v/>
      </c>
      <c r="K512" s="45" t="str">
        <f>CONFERENCIAS!R512</f>
        <v/>
      </c>
      <c r="L512" s="45">
        <f>IF(D512="",0,
 IF(E512=1,
   IF(H512="Presencial",
      VLOOKUP(D512,TARIFAS!A:K,3,FALSE) + IF(I512="Sí",VLOOKUP(D512,TARIFAS!A:K,5,FALSE),0),
      VLOOKUP(D512,TARIFAS!A:K,4,FALSE) + IF(I512="Sí",VLOOKUP(D512,TARIFAS!A:K,5,FALSE),0)
   ),
   IF(H512="Presencial",
      VLOOKUP(D512,TARIFAS!A:K,9,FALSE) + IF(I512="Sí",VLOOKUP(D512,TARIFAS!A:K,11,FALSE),0),
      VLOOKUP(D512,TARIFAS!A:K,10,FALSE) + IF(I512="Sí",VLOOKUP(D512,TARIFAS!A:K,11,FALSE),0)
   )
 )
)
</f>
        <v>0</v>
      </c>
      <c r="M512" s="45">
        <f>IF(J512="",0,MAX(0,J512 - TARIFAS!G$2) * TARIFAS!F$2)
</f>
        <v>0</v>
      </c>
      <c r="N512" s="45">
        <f>+L512*TARIFAS!$K$2</f>
        <v>0</v>
      </c>
      <c r="O512" s="45">
        <f t="shared" si="1"/>
        <v>0</v>
      </c>
      <c r="P512" s="45">
        <f>+M512+O512+K512+(+I512-(I512*TARIFAS!$K$2))</f>
        <v>0</v>
      </c>
      <c r="Q512" s="42" t="str">
        <f>CONFERENCIAS!T512</f>
        <v/>
      </c>
      <c r="R512" s="45" t="str">
        <f>CONFERENCIAS!U512</f>
        <v/>
      </c>
      <c r="S512" s="45" t="str">
        <f>CONFERENCIAS!W512</f>
        <v/>
      </c>
      <c r="T512" s="48">
        <f>IF(Q512="",0,
   IF(E512=1,
      IF(H512="Presencial",
         VLOOKUP(D512,TARIFAS!A:K,3,FALSE) + IF(I512="Sí",VLOOKUP(D512,TARIFAS!A:K,5,FALSE),0),
         VLOOKUP(D512,TARIFAS!A:K,4,FALSE) + IF(I512="Sí",VLOOKUP(D512,TARIFAS!A:K,5,FALSE),0)
      ),
      IF(H512="Presencial",
         VLOOKUP(D512,TARIFAS!A:K,9,FALSE) + IF(I512="Sí",VLOOKUP(D512,TARIFAS!A:K,11,FALSE),0),
         VLOOKUP(D512,TARIFAS!A:K,10,FALSE) + IF(I512="Sí",VLOOKUP(D512,TARIFAS!A:K,11,FALSE),0)
      )
   )
)
</f>
        <v>0</v>
      </c>
      <c r="U512" s="45">
        <f>IF(R512="",0,MAX(0,R512 - TARIFAS!G$2) * TARIFAS!F$2)
</f>
        <v>0</v>
      </c>
      <c r="V512" s="45">
        <f>+T512*TARIFAS!$K$2</f>
        <v>0</v>
      </c>
      <c r="W512" s="45">
        <f t="shared" si="2"/>
        <v>0</v>
      </c>
      <c r="X512" s="45">
        <f t="shared" si="3"/>
        <v>0</v>
      </c>
      <c r="Y512" s="45">
        <f t="shared" si="4"/>
        <v>0</v>
      </c>
      <c r="Z512" s="42" t="str">
        <f>CONFERENCIAS!AB512</f>
        <v/>
      </c>
      <c r="AA512" s="42" t="str">
        <f>CONFERENCIAS!AC512</f>
        <v/>
      </c>
      <c r="AB512" s="47" t="str">
        <f t="shared" si="5"/>
        <v/>
      </c>
      <c r="AC512" s="9" t="str">
        <f t="shared" si="6"/>
        <v/>
      </c>
    </row>
    <row r="513">
      <c r="A513" s="42" t="str">
        <f>CONFERENCIAS!A513</f>
        <v/>
      </c>
      <c r="D513" s="42" t="str">
        <f>CONFERENCIAS!C513</f>
        <v/>
      </c>
      <c r="E513" s="42" t="str">
        <f>CONFERENCIAS!K513</f>
        <v/>
      </c>
      <c r="F513" s="49" t="str">
        <f>CONFERENCIAS!J513</f>
        <v/>
      </c>
      <c r="G513" s="42" t="str">
        <f>CONFERENCIAS!O513</f>
        <v/>
      </c>
      <c r="H513" s="42" t="str">
        <f>CONFERENCIAS!X513</f>
        <v/>
      </c>
      <c r="I513" s="42" t="str">
        <f>CONFERENCIAS!AA513</f>
        <v/>
      </c>
      <c r="J513" s="44" t="str">
        <f>CONFERENCIAS!P513</f>
        <v/>
      </c>
      <c r="K513" s="45" t="str">
        <f>CONFERENCIAS!R513</f>
        <v/>
      </c>
      <c r="L513" s="45">
        <f>IF(D513="",0,
 IF(E513=1,
   IF(H513="Presencial",
      VLOOKUP(D513,TARIFAS!A:K,3,FALSE) + IF(I513="Sí",VLOOKUP(D513,TARIFAS!A:K,5,FALSE),0),
      VLOOKUP(D513,TARIFAS!A:K,4,FALSE) + IF(I513="Sí",VLOOKUP(D513,TARIFAS!A:K,5,FALSE),0)
   ),
   IF(H513="Presencial",
      VLOOKUP(D513,TARIFAS!A:K,9,FALSE) + IF(I513="Sí",VLOOKUP(D513,TARIFAS!A:K,11,FALSE),0),
      VLOOKUP(D513,TARIFAS!A:K,10,FALSE) + IF(I513="Sí",VLOOKUP(D513,TARIFAS!A:K,11,FALSE),0)
   )
 )
)
</f>
        <v>0</v>
      </c>
      <c r="M513" s="45">
        <f>IF(J513="",0,MAX(0,J513 - TARIFAS!G$2) * TARIFAS!F$2)
</f>
        <v>0</v>
      </c>
      <c r="N513" s="45">
        <f>+L513*TARIFAS!$K$2</f>
        <v>0</v>
      </c>
      <c r="O513" s="45">
        <f t="shared" si="1"/>
        <v>0</v>
      </c>
      <c r="P513" s="45">
        <f>+M513+O513+K513+(+I513-(I513*TARIFAS!$K$2))</f>
        <v>0</v>
      </c>
      <c r="Q513" s="42" t="str">
        <f>CONFERENCIAS!T513</f>
        <v/>
      </c>
      <c r="R513" s="45" t="str">
        <f>CONFERENCIAS!U513</f>
        <v/>
      </c>
      <c r="S513" s="45" t="str">
        <f>CONFERENCIAS!W513</f>
        <v/>
      </c>
      <c r="T513" s="48">
        <f>IF(Q513="",0,
   IF(E513=1,
      IF(H513="Presencial",
         VLOOKUP(D513,TARIFAS!A:K,3,FALSE) + IF(I513="Sí",VLOOKUP(D513,TARIFAS!A:K,5,FALSE),0),
         VLOOKUP(D513,TARIFAS!A:K,4,FALSE) + IF(I513="Sí",VLOOKUP(D513,TARIFAS!A:K,5,FALSE),0)
      ),
      IF(H513="Presencial",
         VLOOKUP(D513,TARIFAS!A:K,9,FALSE) + IF(I513="Sí",VLOOKUP(D513,TARIFAS!A:K,11,FALSE),0),
         VLOOKUP(D513,TARIFAS!A:K,10,FALSE) + IF(I513="Sí",VLOOKUP(D513,TARIFAS!A:K,11,FALSE),0)
      )
   )
)
</f>
        <v>0</v>
      </c>
      <c r="U513" s="45">
        <f>IF(R513="",0,MAX(0,R513 - TARIFAS!G$2) * TARIFAS!F$2)
</f>
        <v>0</v>
      </c>
      <c r="V513" s="45">
        <f>+T513*TARIFAS!$K$2</f>
        <v>0</v>
      </c>
      <c r="W513" s="45">
        <f t="shared" si="2"/>
        <v>0</v>
      </c>
      <c r="X513" s="45">
        <f t="shared" si="3"/>
        <v>0</v>
      </c>
      <c r="Y513" s="45">
        <f t="shared" si="4"/>
        <v>0</v>
      </c>
      <c r="Z513" s="42" t="str">
        <f>CONFERENCIAS!AB513</f>
        <v/>
      </c>
      <c r="AA513" s="42" t="str">
        <f>CONFERENCIAS!AC513</f>
        <v/>
      </c>
      <c r="AB513" s="47" t="str">
        <f t="shared" si="5"/>
        <v/>
      </c>
      <c r="AC513" s="9" t="str">
        <f t="shared" si="6"/>
        <v/>
      </c>
    </row>
    <row r="514">
      <c r="A514" s="42" t="str">
        <f>CONFERENCIAS!A514</f>
        <v/>
      </c>
      <c r="D514" s="42" t="str">
        <f>CONFERENCIAS!C514</f>
        <v/>
      </c>
      <c r="E514" s="42" t="str">
        <f>CONFERENCIAS!K514</f>
        <v/>
      </c>
      <c r="F514" s="49" t="str">
        <f>CONFERENCIAS!J514</f>
        <v/>
      </c>
      <c r="G514" s="42" t="str">
        <f>CONFERENCIAS!O514</f>
        <v/>
      </c>
      <c r="H514" s="42" t="str">
        <f>CONFERENCIAS!X514</f>
        <v/>
      </c>
      <c r="I514" s="42" t="str">
        <f>CONFERENCIAS!AA514</f>
        <v/>
      </c>
      <c r="J514" s="44" t="str">
        <f>CONFERENCIAS!P514</f>
        <v/>
      </c>
      <c r="K514" s="45" t="str">
        <f>CONFERENCIAS!R514</f>
        <v/>
      </c>
      <c r="L514" s="45">
        <f>IF(D514="",0,
 IF(E514=1,
   IF(H514="Presencial",
      VLOOKUP(D514,TARIFAS!A:K,3,FALSE) + IF(I514="Sí",VLOOKUP(D514,TARIFAS!A:K,5,FALSE),0),
      VLOOKUP(D514,TARIFAS!A:K,4,FALSE) + IF(I514="Sí",VLOOKUP(D514,TARIFAS!A:K,5,FALSE),0)
   ),
   IF(H514="Presencial",
      VLOOKUP(D514,TARIFAS!A:K,9,FALSE) + IF(I514="Sí",VLOOKUP(D514,TARIFAS!A:K,11,FALSE),0),
      VLOOKUP(D514,TARIFAS!A:K,10,FALSE) + IF(I514="Sí",VLOOKUP(D514,TARIFAS!A:K,11,FALSE),0)
   )
 )
)
</f>
        <v>0</v>
      </c>
      <c r="M514" s="45">
        <f>IF(J514="",0,MAX(0,J514 - TARIFAS!G$2) * TARIFAS!F$2)
</f>
        <v>0</v>
      </c>
      <c r="N514" s="45">
        <f>+L514*TARIFAS!$K$2</f>
        <v>0</v>
      </c>
      <c r="O514" s="45">
        <f t="shared" si="1"/>
        <v>0</v>
      </c>
      <c r="P514" s="45">
        <f>+M514+O514+K514+(+I514-(I514*TARIFAS!$K$2))</f>
        <v>0</v>
      </c>
      <c r="Q514" s="42" t="str">
        <f>CONFERENCIAS!T514</f>
        <v/>
      </c>
      <c r="R514" s="45" t="str">
        <f>CONFERENCIAS!U514</f>
        <v/>
      </c>
      <c r="S514" s="45" t="str">
        <f>CONFERENCIAS!W514</f>
        <v/>
      </c>
      <c r="T514" s="48">
        <f>IF(Q514="",0,
   IF(E514=1,
      IF(H514="Presencial",
         VLOOKUP(D514,TARIFAS!A:K,3,FALSE) + IF(I514="Sí",VLOOKUP(D514,TARIFAS!A:K,5,FALSE),0),
         VLOOKUP(D514,TARIFAS!A:K,4,FALSE) + IF(I514="Sí",VLOOKUP(D514,TARIFAS!A:K,5,FALSE),0)
      ),
      IF(H514="Presencial",
         VLOOKUP(D514,TARIFAS!A:K,9,FALSE) + IF(I514="Sí",VLOOKUP(D514,TARIFAS!A:K,11,FALSE),0),
         VLOOKUP(D514,TARIFAS!A:K,10,FALSE) + IF(I514="Sí",VLOOKUP(D514,TARIFAS!A:K,11,FALSE),0)
      )
   )
)
</f>
        <v>0</v>
      </c>
      <c r="U514" s="45">
        <f>IF(R514="",0,MAX(0,R514 - TARIFAS!G$2) * TARIFAS!F$2)
</f>
        <v>0</v>
      </c>
      <c r="V514" s="45">
        <f>+T514*TARIFAS!$K$2</f>
        <v>0</v>
      </c>
      <c r="W514" s="45">
        <f t="shared" si="2"/>
        <v>0</v>
      </c>
      <c r="X514" s="45">
        <f t="shared" si="3"/>
        <v>0</v>
      </c>
      <c r="Y514" s="45">
        <f t="shared" si="4"/>
        <v>0</v>
      </c>
      <c r="Z514" s="42" t="str">
        <f>CONFERENCIAS!AB514</f>
        <v/>
      </c>
      <c r="AA514" s="42" t="str">
        <f>CONFERENCIAS!AC514</f>
        <v/>
      </c>
      <c r="AB514" s="47" t="str">
        <f t="shared" si="5"/>
        <v/>
      </c>
      <c r="AC514" s="9" t="str">
        <f t="shared" si="6"/>
        <v/>
      </c>
    </row>
    <row r="515">
      <c r="A515" s="42" t="str">
        <f>CONFERENCIAS!A515</f>
        <v/>
      </c>
      <c r="D515" s="42" t="str">
        <f>CONFERENCIAS!C515</f>
        <v/>
      </c>
      <c r="E515" s="42" t="str">
        <f>CONFERENCIAS!K515</f>
        <v/>
      </c>
      <c r="F515" s="49" t="str">
        <f>CONFERENCIAS!J515</f>
        <v/>
      </c>
      <c r="G515" s="42" t="str">
        <f>CONFERENCIAS!O515</f>
        <v/>
      </c>
      <c r="H515" s="42" t="str">
        <f>CONFERENCIAS!X515</f>
        <v/>
      </c>
      <c r="I515" s="42" t="str">
        <f>CONFERENCIAS!AA515</f>
        <v/>
      </c>
      <c r="J515" s="44" t="str">
        <f>CONFERENCIAS!P515</f>
        <v/>
      </c>
      <c r="K515" s="45" t="str">
        <f>CONFERENCIAS!R515</f>
        <v/>
      </c>
      <c r="L515" s="45">
        <f>IF(D515="",0,
 IF(E515=1,
   IF(H515="Presencial",
      VLOOKUP(D515,TARIFAS!A:K,3,FALSE) + IF(I515="Sí",VLOOKUP(D515,TARIFAS!A:K,5,FALSE),0),
      VLOOKUP(D515,TARIFAS!A:K,4,FALSE) + IF(I515="Sí",VLOOKUP(D515,TARIFAS!A:K,5,FALSE),0)
   ),
   IF(H515="Presencial",
      VLOOKUP(D515,TARIFAS!A:K,9,FALSE) + IF(I515="Sí",VLOOKUP(D515,TARIFAS!A:K,11,FALSE),0),
      VLOOKUP(D515,TARIFAS!A:K,10,FALSE) + IF(I515="Sí",VLOOKUP(D515,TARIFAS!A:K,11,FALSE),0)
   )
 )
)
</f>
        <v>0</v>
      </c>
      <c r="M515" s="45">
        <f>IF(J515="",0,MAX(0,J515 - TARIFAS!G$2) * TARIFAS!F$2)
</f>
        <v>0</v>
      </c>
      <c r="N515" s="45">
        <f>+L515*TARIFAS!$K$2</f>
        <v>0</v>
      </c>
      <c r="O515" s="45">
        <f t="shared" si="1"/>
        <v>0</v>
      </c>
      <c r="P515" s="45">
        <f>+M515+O515+K515+(+I515-(I515*TARIFAS!$K$2))</f>
        <v>0</v>
      </c>
      <c r="Q515" s="42" t="str">
        <f>CONFERENCIAS!T515</f>
        <v/>
      </c>
      <c r="R515" s="45" t="str">
        <f>CONFERENCIAS!U515</f>
        <v/>
      </c>
      <c r="S515" s="45" t="str">
        <f>CONFERENCIAS!W515</f>
        <v/>
      </c>
      <c r="T515" s="48">
        <f>IF(Q515="",0,
   IF(E515=1,
      IF(H515="Presencial",
         VLOOKUP(D515,TARIFAS!A:K,3,FALSE) + IF(I515="Sí",VLOOKUP(D515,TARIFAS!A:K,5,FALSE),0),
         VLOOKUP(D515,TARIFAS!A:K,4,FALSE) + IF(I515="Sí",VLOOKUP(D515,TARIFAS!A:K,5,FALSE),0)
      ),
      IF(H515="Presencial",
         VLOOKUP(D515,TARIFAS!A:K,9,FALSE) + IF(I515="Sí",VLOOKUP(D515,TARIFAS!A:K,11,FALSE),0),
         VLOOKUP(D515,TARIFAS!A:K,10,FALSE) + IF(I515="Sí",VLOOKUP(D515,TARIFAS!A:K,11,FALSE),0)
      )
   )
)
</f>
        <v>0</v>
      </c>
      <c r="U515" s="45">
        <f>IF(R515="",0,MAX(0,R515 - TARIFAS!G$2) * TARIFAS!F$2)
</f>
        <v>0</v>
      </c>
      <c r="V515" s="45">
        <f>+T515*TARIFAS!$K$2</f>
        <v>0</v>
      </c>
      <c r="W515" s="45">
        <f t="shared" si="2"/>
        <v>0</v>
      </c>
      <c r="X515" s="45">
        <f t="shared" si="3"/>
        <v>0</v>
      </c>
      <c r="Y515" s="45">
        <f t="shared" si="4"/>
        <v>0</v>
      </c>
      <c r="Z515" s="42" t="str">
        <f>CONFERENCIAS!AB515</f>
        <v/>
      </c>
      <c r="AA515" s="42" t="str">
        <f>CONFERENCIAS!AC515</f>
        <v/>
      </c>
      <c r="AB515" s="47" t="str">
        <f t="shared" si="5"/>
        <v/>
      </c>
      <c r="AC515" s="9" t="str">
        <f t="shared" si="6"/>
        <v/>
      </c>
    </row>
    <row r="516">
      <c r="A516" s="42" t="str">
        <f>CONFERENCIAS!A516</f>
        <v/>
      </c>
      <c r="D516" s="42" t="str">
        <f>CONFERENCIAS!C516</f>
        <v/>
      </c>
      <c r="E516" s="42" t="str">
        <f>CONFERENCIAS!K516</f>
        <v/>
      </c>
      <c r="F516" s="49" t="str">
        <f>CONFERENCIAS!J516</f>
        <v/>
      </c>
      <c r="G516" s="42" t="str">
        <f>CONFERENCIAS!O516</f>
        <v/>
      </c>
      <c r="H516" s="42" t="str">
        <f>CONFERENCIAS!X516</f>
        <v/>
      </c>
      <c r="I516" s="42" t="str">
        <f>CONFERENCIAS!AA516</f>
        <v/>
      </c>
      <c r="J516" s="44" t="str">
        <f>CONFERENCIAS!P516</f>
        <v/>
      </c>
      <c r="K516" s="45" t="str">
        <f>CONFERENCIAS!R516</f>
        <v/>
      </c>
      <c r="L516" s="45">
        <f>IF(D516="",0,
 IF(E516=1,
   IF(H516="Presencial",
      VLOOKUP(D516,TARIFAS!A:K,3,FALSE) + IF(I516="Sí",VLOOKUP(D516,TARIFAS!A:K,5,FALSE),0),
      VLOOKUP(D516,TARIFAS!A:K,4,FALSE) + IF(I516="Sí",VLOOKUP(D516,TARIFAS!A:K,5,FALSE),0)
   ),
   IF(H516="Presencial",
      VLOOKUP(D516,TARIFAS!A:K,9,FALSE) + IF(I516="Sí",VLOOKUP(D516,TARIFAS!A:K,11,FALSE),0),
      VLOOKUP(D516,TARIFAS!A:K,10,FALSE) + IF(I516="Sí",VLOOKUP(D516,TARIFAS!A:K,11,FALSE),0)
   )
 )
)
</f>
        <v>0</v>
      </c>
      <c r="M516" s="45">
        <f>IF(J516="",0,MAX(0,J516 - TARIFAS!G$2) * TARIFAS!F$2)
</f>
        <v>0</v>
      </c>
      <c r="N516" s="45">
        <f>+L516*TARIFAS!$K$2</f>
        <v>0</v>
      </c>
      <c r="O516" s="45">
        <f t="shared" si="1"/>
        <v>0</v>
      </c>
      <c r="P516" s="45">
        <f>+M516+O516+K516+(+I516-(I516*TARIFAS!$K$2))</f>
        <v>0</v>
      </c>
      <c r="Q516" s="42" t="str">
        <f>CONFERENCIAS!T516</f>
        <v/>
      </c>
      <c r="R516" s="45" t="str">
        <f>CONFERENCIAS!U516</f>
        <v/>
      </c>
      <c r="S516" s="45" t="str">
        <f>CONFERENCIAS!W516</f>
        <v/>
      </c>
      <c r="T516" s="48">
        <f>IF(Q516="",0,
   IF(E516=1,
      IF(H516="Presencial",
         VLOOKUP(D516,TARIFAS!A:K,3,FALSE) + IF(I516="Sí",VLOOKUP(D516,TARIFAS!A:K,5,FALSE),0),
         VLOOKUP(D516,TARIFAS!A:K,4,FALSE) + IF(I516="Sí",VLOOKUP(D516,TARIFAS!A:K,5,FALSE),0)
      ),
      IF(H516="Presencial",
         VLOOKUP(D516,TARIFAS!A:K,9,FALSE) + IF(I516="Sí",VLOOKUP(D516,TARIFAS!A:K,11,FALSE),0),
         VLOOKUP(D516,TARIFAS!A:K,10,FALSE) + IF(I516="Sí",VLOOKUP(D516,TARIFAS!A:K,11,FALSE),0)
      )
   )
)
</f>
        <v>0</v>
      </c>
      <c r="U516" s="45">
        <f>IF(R516="",0,MAX(0,R516 - TARIFAS!G$2) * TARIFAS!F$2)
</f>
        <v>0</v>
      </c>
      <c r="V516" s="45">
        <f>+T516*TARIFAS!$K$2</f>
        <v>0</v>
      </c>
      <c r="W516" s="45">
        <f t="shared" si="2"/>
        <v>0</v>
      </c>
      <c r="X516" s="45">
        <f t="shared" si="3"/>
        <v>0</v>
      </c>
      <c r="Y516" s="45">
        <f t="shared" si="4"/>
        <v>0</v>
      </c>
      <c r="Z516" s="42" t="str">
        <f>CONFERENCIAS!AB516</f>
        <v/>
      </c>
      <c r="AA516" s="42" t="str">
        <f>CONFERENCIAS!AC516</f>
        <v/>
      </c>
      <c r="AB516" s="47" t="str">
        <f t="shared" si="5"/>
        <v/>
      </c>
      <c r="AC516" s="9" t="str">
        <f t="shared" si="6"/>
        <v/>
      </c>
    </row>
    <row r="517">
      <c r="A517" s="42" t="str">
        <f>CONFERENCIAS!A517</f>
        <v/>
      </c>
      <c r="D517" s="42" t="str">
        <f>CONFERENCIAS!C517</f>
        <v/>
      </c>
      <c r="E517" s="42" t="str">
        <f>CONFERENCIAS!K517</f>
        <v/>
      </c>
      <c r="F517" s="49" t="str">
        <f>CONFERENCIAS!J517</f>
        <v/>
      </c>
      <c r="G517" s="42" t="str">
        <f>CONFERENCIAS!O517</f>
        <v/>
      </c>
      <c r="H517" s="42" t="str">
        <f>CONFERENCIAS!X517</f>
        <v/>
      </c>
      <c r="I517" s="42" t="str">
        <f>CONFERENCIAS!AA517</f>
        <v/>
      </c>
      <c r="J517" s="44" t="str">
        <f>CONFERENCIAS!P517</f>
        <v/>
      </c>
      <c r="K517" s="45" t="str">
        <f>CONFERENCIAS!R517</f>
        <v/>
      </c>
      <c r="L517" s="45">
        <f>IF(D517="",0,
 IF(E517=1,
   IF(H517="Presencial",
      VLOOKUP(D517,TARIFAS!A:K,3,FALSE) + IF(I517="Sí",VLOOKUP(D517,TARIFAS!A:K,5,FALSE),0),
      VLOOKUP(D517,TARIFAS!A:K,4,FALSE) + IF(I517="Sí",VLOOKUP(D517,TARIFAS!A:K,5,FALSE),0)
   ),
   IF(H517="Presencial",
      VLOOKUP(D517,TARIFAS!A:K,9,FALSE) + IF(I517="Sí",VLOOKUP(D517,TARIFAS!A:K,11,FALSE),0),
      VLOOKUP(D517,TARIFAS!A:K,10,FALSE) + IF(I517="Sí",VLOOKUP(D517,TARIFAS!A:K,11,FALSE),0)
   )
 )
)
</f>
        <v>0</v>
      </c>
      <c r="M517" s="45">
        <f>IF(J517="",0,MAX(0,J517 - TARIFAS!G$2) * TARIFAS!F$2)
</f>
        <v>0</v>
      </c>
      <c r="N517" s="45">
        <f>+L517*TARIFAS!$K$2</f>
        <v>0</v>
      </c>
      <c r="O517" s="45">
        <f t="shared" si="1"/>
        <v>0</v>
      </c>
      <c r="P517" s="45">
        <f>+M517+O517+K517+(+I517-(I517*TARIFAS!$K$2))</f>
        <v>0</v>
      </c>
      <c r="Q517" s="42" t="str">
        <f>CONFERENCIAS!T517</f>
        <v/>
      </c>
      <c r="R517" s="45" t="str">
        <f>CONFERENCIAS!U517</f>
        <v/>
      </c>
      <c r="S517" s="45" t="str">
        <f>CONFERENCIAS!W517</f>
        <v/>
      </c>
      <c r="T517" s="48">
        <f>IF(Q517="",0,
   IF(E517=1,
      IF(H517="Presencial",
         VLOOKUP(D517,TARIFAS!A:K,3,FALSE) + IF(I517="Sí",VLOOKUP(D517,TARIFAS!A:K,5,FALSE),0),
         VLOOKUP(D517,TARIFAS!A:K,4,FALSE) + IF(I517="Sí",VLOOKUP(D517,TARIFAS!A:K,5,FALSE),0)
      ),
      IF(H517="Presencial",
         VLOOKUP(D517,TARIFAS!A:K,9,FALSE) + IF(I517="Sí",VLOOKUP(D517,TARIFAS!A:K,11,FALSE),0),
         VLOOKUP(D517,TARIFAS!A:K,10,FALSE) + IF(I517="Sí",VLOOKUP(D517,TARIFAS!A:K,11,FALSE),0)
      )
   )
)
</f>
        <v>0</v>
      </c>
      <c r="U517" s="45">
        <f>IF(R517="",0,MAX(0,R517 - TARIFAS!G$2) * TARIFAS!F$2)
</f>
        <v>0</v>
      </c>
      <c r="V517" s="45">
        <f>+T517*TARIFAS!$K$2</f>
        <v>0</v>
      </c>
      <c r="W517" s="45">
        <f t="shared" si="2"/>
        <v>0</v>
      </c>
      <c r="X517" s="45">
        <f t="shared" si="3"/>
        <v>0</v>
      </c>
      <c r="Y517" s="45">
        <f t="shared" si="4"/>
        <v>0</v>
      </c>
      <c r="Z517" s="42" t="str">
        <f>CONFERENCIAS!AB517</f>
        <v/>
      </c>
      <c r="AA517" s="42" t="str">
        <f>CONFERENCIAS!AC517</f>
        <v/>
      </c>
      <c r="AB517" s="47" t="str">
        <f t="shared" si="5"/>
        <v/>
      </c>
      <c r="AC517" s="9" t="str">
        <f t="shared" si="6"/>
        <v/>
      </c>
    </row>
    <row r="518">
      <c r="A518" s="42" t="str">
        <f>CONFERENCIAS!A518</f>
        <v/>
      </c>
      <c r="D518" s="42" t="str">
        <f>CONFERENCIAS!C518</f>
        <v/>
      </c>
      <c r="E518" s="42" t="str">
        <f>CONFERENCIAS!K518</f>
        <v/>
      </c>
      <c r="F518" s="49" t="str">
        <f>CONFERENCIAS!J518</f>
        <v/>
      </c>
      <c r="G518" s="42" t="str">
        <f>CONFERENCIAS!O518</f>
        <v/>
      </c>
      <c r="H518" s="42" t="str">
        <f>CONFERENCIAS!X518</f>
        <v/>
      </c>
      <c r="I518" s="42" t="str">
        <f>CONFERENCIAS!AA518</f>
        <v/>
      </c>
      <c r="J518" s="44" t="str">
        <f>CONFERENCIAS!P518</f>
        <v/>
      </c>
      <c r="K518" s="45" t="str">
        <f>CONFERENCIAS!R518</f>
        <v/>
      </c>
      <c r="L518" s="45">
        <f>IF(D518="",0,
 IF(E518=1,
   IF(H518="Presencial",
      VLOOKUP(D518,TARIFAS!A:K,3,FALSE) + IF(I518="Sí",VLOOKUP(D518,TARIFAS!A:K,5,FALSE),0),
      VLOOKUP(D518,TARIFAS!A:K,4,FALSE) + IF(I518="Sí",VLOOKUP(D518,TARIFAS!A:K,5,FALSE),0)
   ),
   IF(H518="Presencial",
      VLOOKUP(D518,TARIFAS!A:K,9,FALSE) + IF(I518="Sí",VLOOKUP(D518,TARIFAS!A:K,11,FALSE),0),
      VLOOKUP(D518,TARIFAS!A:K,10,FALSE) + IF(I518="Sí",VLOOKUP(D518,TARIFAS!A:K,11,FALSE),0)
   )
 )
)
</f>
        <v>0</v>
      </c>
      <c r="M518" s="45">
        <f>IF(J518="",0,MAX(0,J518 - TARIFAS!G$2) * TARIFAS!F$2)
</f>
        <v>0</v>
      </c>
      <c r="N518" s="45">
        <f>+L518*TARIFAS!$K$2</f>
        <v>0</v>
      </c>
      <c r="O518" s="45">
        <f t="shared" si="1"/>
        <v>0</v>
      </c>
      <c r="P518" s="45">
        <f>+M518+O518+K518+(+I518-(I518*TARIFAS!$K$2))</f>
        <v>0</v>
      </c>
      <c r="Q518" s="42" t="str">
        <f>CONFERENCIAS!T518</f>
        <v/>
      </c>
      <c r="R518" s="45" t="str">
        <f>CONFERENCIAS!U518</f>
        <v/>
      </c>
      <c r="S518" s="45" t="str">
        <f>CONFERENCIAS!W518</f>
        <v/>
      </c>
      <c r="T518" s="48">
        <f>IF(Q518="",0,
   IF(E518=1,
      IF(H518="Presencial",
         VLOOKUP(D518,TARIFAS!A:K,3,FALSE) + IF(I518="Sí",VLOOKUP(D518,TARIFAS!A:K,5,FALSE),0),
         VLOOKUP(D518,TARIFAS!A:K,4,FALSE) + IF(I518="Sí",VLOOKUP(D518,TARIFAS!A:K,5,FALSE),0)
      ),
      IF(H518="Presencial",
         VLOOKUP(D518,TARIFAS!A:K,9,FALSE) + IF(I518="Sí",VLOOKUP(D518,TARIFAS!A:K,11,FALSE),0),
         VLOOKUP(D518,TARIFAS!A:K,10,FALSE) + IF(I518="Sí",VLOOKUP(D518,TARIFAS!A:K,11,FALSE),0)
      )
   )
)
</f>
        <v>0</v>
      </c>
      <c r="U518" s="45">
        <f>IF(R518="",0,MAX(0,R518 - TARIFAS!G$2) * TARIFAS!F$2)
</f>
        <v>0</v>
      </c>
      <c r="V518" s="45">
        <f>+T518*TARIFAS!$K$2</f>
        <v>0</v>
      </c>
      <c r="W518" s="45">
        <f t="shared" si="2"/>
        <v>0</v>
      </c>
      <c r="X518" s="45">
        <f t="shared" si="3"/>
        <v>0</v>
      </c>
      <c r="Y518" s="45">
        <f t="shared" si="4"/>
        <v>0</v>
      </c>
      <c r="Z518" s="42" t="str">
        <f>CONFERENCIAS!AB518</f>
        <v/>
      </c>
      <c r="AA518" s="42" t="str">
        <f>CONFERENCIAS!AC518</f>
        <v/>
      </c>
      <c r="AB518" s="47" t="str">
        <f t="shared" si="5"/>
        <v/>
      </c>
      <c r="AC518" s="9" t="str">
        <f t="shared" si="6"/>
        <v/>
      </c>
    </row>
    <row r="519">
      <c r="A519" s="42" t="str">
        <f>CONFERENCIAS!A519</f>
        <v/>
      </c>
      <c r="D519" s="42" t="str">
        <f>CONFERENCIAS!C519</f>
        <v/>
      </c>
      <c r="E519" s="42" t="str">
        <f>CONFERENCIAS!K519</f>
        <v/>
      </c>
      <c r="F519" s="49" t="str">
        <f>CONFERENCIAS!J519</f>
        <v/>
      </c>
      <c r="G519" s="42" t="str">
        <f>CONFERENCIAS!O519</f>
        <v/>
      </c>
      <c r="H519" s="42" t="str">
        <f>CONFERENCIAS!X519</f>
        <v/>
      </c>
      <c r="I519" s="42" t="str">
        <f>CONFERENCIAS!AA519</f>
        <v/>
      </c>
      <c r="J519" s="44" t="str">
        <f>CONFERENCIAS!P519</f>
        <v/>
      </c>
      <c r="K519" s="45" t="str">
        <f>CONFERENCIAS!R519</f>
        <v/>
      </c>
      <c r="L519" s="45">
        <f>IF(D519="",0,
 IF(E519=1,
   IF(H519="Presencial",
      VLOOKUP(D519,TARIFAS!A:K,3,FALSE) + IF(I519="Sí",VLOOKUP(D519,TARIFAS!A:K,5,FALSE),0),
      VLOOKUP(D519,TARIFAS!A:K,4,FALSE) + IF(I519="Sí",VLOOKUP(D519,TARIFAS!A:K,5,FALSE),0)
   ),
   IF(H519="Presencial",
      VLOOKUP(D519,TARIFAS!A:K,9,FALSE) + IF(I519="Sí",VLOOKUP(D519,TARIFAS!A:K,11,FALSE),0),
      VLOOKUP(D519,TARIFAS!A:K,10,FALSE) + IF(I519="Sí",VLOOKUP(D519,TARIFAS!A:K,11,FALSE),0)
   )
 )
)
</f>
        <v>0</v>
      </c>
      <c r="M519" s="45">
        <f>IF(J519="",0,MAX(0,J519 - TARIFAS!G$2) * TARIFAS!F$2)
</f>
        <v>0</v>
      </c>
      <c r="N519" s="45">
        <f>+L519*TARIFAS!$K$2</f>
        <v>0</v>
      </c>
      <c r="O519" s="45">
        <f t="shared" si="1"/>
        <v>0</v>
      </c>
      <c r="P519" s="45">
        <f>+M519+O519+K519+(+I519-(I519*TARIFAS!$K$2))</f>
        <v>0</v>
      </c>
      <c r="Q519" s="42" t="str">
        <f>CONFERENCIAS!T519</f>
        <v/>
      </c>
      <c r="R519" s="45" t="str">
        <f>CONFERENCIAS!U519</f>
        <v/>
      </c>
      <c r="S519" s="45" t="str">
        <f>CONFERENCIAS!W519</f>
        <v/>
      </c>
      <c r="T519" s="48">
        <f>IF(Q519="",0,
   IF(E519=1,
      IF(H519="Presencial",
         VLOOKUP(D519,TARIFAS!A:K,3,FALSE) + IF(I519="Sí",VLOOKUP(D519,TARIFAS!A:K,5,FALSE),0),
         VLOOKUP(D519,TARIFAS!A:K,4,FALSE) + IF(I519="Sí",VLOOKUP(D519,TARIFAS!A:K,5,FALSE),0)
      ),
      IF(H519="Presencial",
         VLOOKUP(D519,TARIFAS!A:K,9,FALSE) + IF(I519="Sí",VLOOKUP(D519,TARIFAS!A:K,11,FALSE),0),
         VLOOKUP(D519,TARIFAS!A:K,10,FALSE) + IF(I519="Sí",VLOOKUP(D519,TARIFAS!A:K,11,FALSE),0)
      )
   )
)
</f>
        <v>0</v>
      </c>
      <c r="U519" s="45">
        <f>IF(R519="",0,MAX(0,R519 - TARIFAS!G$2) * TARIFAS!F$2)
</f>
        <v>0</v>
      </c>
      <c r="V519" s="45">
        <f>+T519*TARIFAS!$K$2</f>
        <v>0</v>
      </c>
      <c r="W519" s="45">
        <f t="shared" si="2"/>
        <v>0</v>
      </c>
      <c r="X519" s="45">
        <f t="shared" si="3"/>
        <v>0</v>
      </c>
      <c r="Y519" s="45">
        <f t="shared" si="4"/>
        <v>0</v>
      </c>
      <c r="Z519" s="42" t="str">
        <f>CONFERENCIAS!AB519</f>
        <v/>
      </c>
      <c r="AA519" s="42" t="str">
        <f>CONFERENCIAS!AC519</f>
        <v/>
      </c>
      <c r="AB519" s="47" t="str">
        <f t="shared" si="5"/>
        <v/>
      </c>
      <c r="AC519" s="9" t="str">
        <f t="shared" si="6"/>
        <v/>
      </c>
    </row>
    <row r="520">
      <c r="A520" s="42" t="str">
        <f>CONFERENCIAS!A520</f>
        <v/>
      </c>
      <c r="D520" s="42" t="str">
        <f>CONFERENCIAS!C520</f>
        <v/>
      </c>
      <c r="E520" s="42" t="str">
        <f>CONFERENCIAS!K520</f>
        <v/>
      </c>
      <c r="F520" s="49" t="str">
        <f>CONFERENCIAS!J520</f>
        <v/>
      </c>
      <c r="G520" s="42" t="str">
        <f>CONFERENCIAS!O520</f>
        <v/>
      </c>
      <c r="H520" s="42" t="str">
        <f>CONFERENCIAS!X520</f>
        <v/>
      </c>
      <c r="I520" s="42" t="str">
        <f>CONFERENCIAS!AA520</f>
        <v/>
      </c>
      <c r="J520" s="44" t="str">
        <f>CONFERENCIAS!P520</f>
        <v/>
      </c>
      <c r="K520" s="45" t="str">
        <f>CONFERENCIAS!R520</f>
        <v/>
      </c>
      <c r="L520" s="45">
        <f>IF(D520="",0,
 IF(E520=1,
   IF(H520="Presencial",
      VLOOKUP(D520,TARIFAS!A:K,3,FALSE) + IF(I520="Sí",VLOOKUP(D520,TARIFAS!A:K,5,FALSE),0),
      VLOOKUP(D520,TARIFAS!A:K,4,FALSE) + IF(I520="Sí",VLOOKUP(D520,TARIFAS!A:K,5,FALSE),0)
   ),
   IF(H520="Presencial",
      VLOOKUP(D520,TARIFAS!A:K,9,FALSE) + IF(I520="Sí",VLOOKUP(D520,TARIFAS!A:K,11,FALSE),0),
      VLOOKUP(D520,TARIFAS!A:K,10,FALSE) + IF(I520="Sí",VLOOKUP(D520,TARIFAS!A:K,11,FALSE),0)
   )
 )
)
</f>
        <v>0</v>
      </c>
      <c r="M520" s="45">
        <f>IF(J520="",0,MAX(0,J520 - TARIFAS!G$2) * TARIFAS!F$2)
</f>
        <v>0</v>
      </c>
      <c r="N520" s="45">
        <f>+L520*TARIFAS!$K$2</f>
        <v>0</v>
      </c>
      <c r="O520" s="45">
        <f t="shared" si="1"/>
        <v>0</v>
      </c>
      <c r="P520" s="45">
        <f>+M520+O520+K520+(+I520-(I520*TARIFAS!$K$2))</f>
        <v>0</v>
      </c>
      <c r="Q520" s="42" t="str">
        <f>CONFERENCIAS!T520</f>
        <v/>
      </c>
      <c r="R520" s="45" t="str">
        <f>CONFERENCIAS!U520</f>
        <v/>
      </c>
      <c r="S520" s="45" t="str">
        <f>CONFERENCIAS!W520</f>
        <v/>
      </c>
      <c r="T520" s="48">
        <f>IF(Q520="",0,
   IF(E520=1,
      IF(H520="Presencial",
         VLOOKUP(D520,TARIFAS!A:K,3,FALSE) + IF(I520="Sí",VLOOKUP(D520,TARIFAS!A:K,5,FALSE),0),
         VLOOKUP(D520,TARIFAS!A:K,4,FALSE) + IF(I520="Sí",VLOOKUP(D520,TARIFAS!A:K,5,FALSE),0)
      ),
      IF(H520="Presencial",
         VLOOKUP(D520,TARIFAS!A:K,9,FALSE) + IF(I520="Sí",VLOOKUP(D520,TARIFAS!A:K,11,FALSE),0),
         VLOOKUP(D520,TARIFAS!A:K,10,FALSE) + IF(I520="Sí",VLOOKUP(D520,TARIFAS!A:K,11,FALSE),0)
      )
   )
)
</f>
        <v>0</v>
      </c>
      <c r="U520" s="45">
        <f>IF(R520="",0,MAX(0,R520 - TARIFAS!G$2) * TARIFAS!F$2)
</f>
        <v>0</v>
      </c>
      <c r="V520" s="45">
        <f>+T520*TARIFAS!$K$2</f>
        <v>0</v>
      </c>
      <c r="W520" s="45">
        <f t="shared" si="2"/>
        <v>0</v>
      </c>
      <c r="X520" s="45">
        <f t="shared" si="3"/>
        <v>0</v>
      </c>
      <c r="Y520" s="45">
        <f t="shared" si="4"/>
        <v>0</v>
      </c>
      <c r="Z520" s="42" t="str">
        <f>CONFERENCIAS!AB520</f>
        <v/>
      </c>
      <c r="AA520" s="42" t="str">
        <f>CONFERENCIAS!AC520</f>
        <v/>
      </c>
      <c r="AB520" s="47" t="str">
        <f t="shared" si="5"/>
        <v/>
      </c>
      <c r="AC520" s="9" t="str">
        <f t="shared" si="6"/>
        <v/>
      </c>
    </row>
    <row r="521">
      <c r="A521" s="42" t="str">
        <f>CONFERENCIAS!A521</f>
        <v/>
      </c>
      <c r="D521" s="42" t="str">
        <f>CONFERENCIAS!C521</f>
        <v/>
      </c>
      <c r="E521" s="42" t="str">
        <f>CONFERENCIAS!K521</f>
        <v/>
      </c>
      <c r="F521" s="49" t="str">
        <f>CONFERENCIAS!J521</f>
        <v/>
      </c>
      <c r="G521" s="42" t="str">
        <f>CONFERENCIAS!O521</f>
        <v/>
      </c>
      <c r="H521" s="42" t="str">
        <f>CONFERENCIAS!X521</f>
        <v/>
      </c>
      <c r="I521" s="42" t="str">
        <f>CONFERENCIAS!AA521</f>
        <v/>
      </c>
      <c r="J521" s="44" t="str">
        <f>CONFERENCIAS!P521</f>
        <v/>
      </c>
      <c r="K521" s="45" t="str">
        <f>CONFERENCIAS!R521</f>
        <v/>
      </c>
      <c r="L521" s="45">
        <f>IF(D521="",0,
 IF(E521=1,
   IF(H521="Presencial",
      VLOOKUP(D521,TARIFAS!A:K,3,FALSE) + IF(I521="Sí",VLOOKUP(D521,TARIFAS!A:K,5,FALSE),0),
      VLOOKUP(D521,TARIFAS!A:K,4,FALSE) + IF(I521="Sí",VLOOKUP(D521,TARIFAS!A:K,5,FALSE),0)
   ),
   IF(H521="Presencial",
      VLOOKUP(D521,TARIFAS!A:K,9,FALSE) + IF(I521="Sí",VLOOKUP(D521,TARIFAS!A:K,11,FALSE),0),
      VLOOKUP(D521,TARIFAS!A:K,10,FALSE) + IF(I521="Sí",VLOOKUP(D521,TARIFAS!A:K,11,FALSE),0)
   )
 )
)
</f>
        <v>0</v>
      </c>
      <c r="M521" s="45">
        <f>IF(J521="",0,MAX(0,J521 - TARIFAS!G$2) * TARIFAS!F$2)
</f>
        <v>0</v>
      </c>
      <c r="N521" s="45">
        <f>+L521*TARIFAS!$K$2</f>
        <v>0</v>
      </c>
      <c r="O521" s="45">
        <f t="shared" si="1"/>
        <v>0</v>
      </c>
      <c r="P521" s="45">
        <f>+M521+O521+K521+(+I521-(I521*TARIFAS!$K$2))</f>
        <v>0</v>
      </c>
      <c r="Q521" s="42" t="str">
        <f>CONFERENCIAS!T521</f>
        <v/>
      </c>
      <c r="R521" s="45" t="str">
        <f>CONFERENCIAS!U521</f>
        <v/>
      </c>
      <c r="S521" s="45" t="str">
        <f>CONFERENCIAS!W521</f>
        <v/>
      </c>
      <c r="T521" s="48">
        <f>IF(Q521="",0,
   IF(E521=1,
      IF(H521="Presencial",
         VLOOKUP(D521,TARIFAS!A:K,3,FALSE) + IF(I521="Sí",VLOOKUP(D521,TARIFAS!A:K,5,FALSE),0),
         VLOOKUP(D521,TARIFAS!A:K,4,FALSE) + IF(I521="Sí",VLOOKUP(D521,TARIFAS!A:K,5,FALSE),0)
      ),
      IF(H521="Presencial",
         VLOOKUP(D521,TARIFAS!A:K,9,FALSE) + IF(I521="Sí",VLOOKUP(D521,TARIFAS!A:K,11,FALSE),0),
         VLOOKUP(D521,TARIFAS!A:K,10,FALSE) + IF(I521="Sí",VLOOKUP(D521,TARIFAS!A:K,11,FALSE),0)
      )
   )
)
</f>
        <v>0</v>
      </c>
      <c r="U521" s="45">
        <f>IF(R521="",0,MAX(0,R521 - TARIFAS!G$2) * TARIFAS!F$2)
</f>
        <v>0</v>
      </c>
      <c r="V521" s="45">
        <f>+T521*TARIFAS!$K$2</f>
        <v>0</v>
      </c>
      <c r="W521" s="45">
        <f t="shared" si="2"/>
        <v>0</v>
      </c>
      <c r="X521" s="45">
        <f t="shared" si="3"/>
        <v>0</v>
      </c>
      <c r="Y521" s="45">
        <f t="shared" si="4"/>
        <v>0</v>
      </c>
      <c r="Z521" s="42" t="str">
        <f>CONFERENCIAS!AB521</f>
        <v/>
      </c>
      <c r="AA521" s="42" t="str">
        <f>CONFERENCIAS!AC521</f>
        <v/>
      </c>
      <c r="AB521" s="47" t="str">
        <f t="shared" si="5"/>
        <v/>
      </c>
      <c r="AC521" s="9" t="str">
        <f t="shared" si="6"/>
        <v/>
      </c>
    </row>
    <row r="522">
      <c r="A522" s="42" t="str">
        <f>CONFERENCIAS!A522</f>
        <v/>
      </c>
      <c r="D522" s="42" t="str">
        <f>CONFERENCIAS!C522</f>
        <v/>
      </c>
      <c r="E522" s="42" t="str">
        <f>CONFERENCIAS!K522</f>
        <v/>
      </c>
      <c r="F522" s="49" t="str">
        <f>CONFERENCIAS!J522</f>
        <v/>
      </c>
      <c r="G522" s="42" t="str">
        <f>CONFERENCIAS!O522</f>
        <v/>
      </c>
      <c r="H522" s="42" t="str">
        <f>CONFERENCIAS!X522</f>
        <v/>
      </c>
      <c r="I522" s="42" t="str">
        <f>CONFERENCIAS!AA522</f>
        <v/>
      </c>
      <c r="J522" s="44" t="str">
        <f>CONFERENCIAS!P522</f>
        <v/>
      </c>
      <c r="K522" s="45" t="str">
        <f>CONFERENCIAS!R522</f>
        <v/>
      </c>
      <c r="L522" s="45">
        <f>IF(D522="",0,
 IF(E522=1,
   IF(H522="Presencial",
      VLOOKUP(D522,TARIFAS!A:K,3,FALSE) + IF(I522="Sí",VLOOKUP(D522,TARIFAS!A:K,5,FALSE),0),
      VLOOKUP(D522,TARIFAS!A:K,4,FALSE) + IF(I522="Sí",VLOOKUP(D522,TARIFAS!A:K,5,FALSE),0)
   ),
   IF(H522="Presencial",
      VLOOKUP(D522,TARIFAS!A:K,9,FALSE) + IF(I522="Sí",VLOOKUP(D522,TARIFAS!A:K,11,FALSE),0),
      VLOOKUP(D522,TARIFAS!A:K,10,FALSE) + IF(I522="Sí",VLOOKUP(D522,TARIFAS!A:K,11,FALSE),0)
   )
 )
)
</f>
        <v>0</v>
      </c>
      <c r="M522" s="45">
        <f>IF(J522="",0,MAX(0,J522 - TARIFAS!G$2) * TARIFAS!F$2)
</f>
        <v>0</v>
      </c>
      <c r="N522" s="45">
        <f>+L522*TARIFAS!$K$2</f>
        <v>0</v>
      </c>
      <c r="O522" s="45">
        <f t="shared" si="1"/>
        <v>0</v>
      </c>
      <c r="P522" s="45">
        <f>+M522+O522+K522+(+I522-(I522*TARIFAS!$K$2))</f>
        <v>0</v>
      </c>
      <c r="Q522" s="42" t="str">
        <f>CONFERENCIAS!T522</f>
        <v/>
      </c>
      <c r="R522" s="45" t="str">
        <f>CONFERENCIAS!U522</f>
        <v/>
      </c>
      <c r="S522" s="45" t="str">
        <f>CONFERENCIAS!W522</f>
        <v/>
      </c>
      <c r="T522" s="48">
        <f>IF(Q522="",0,
   IF(E522=1,
      IF(H522="Presencial",
         VLOOKUP(D522,TARIFAS!A:K,3,FALSE) + IF(I522="Sí",VLOOKUP(D522,TARIFAS!A:K,5,FALSE),0),
         VLOOKUP(D522,TARIFAS!A:K,4,FALSE) + IF(I522="Sí",VLOOKUP(D522,TARIFAS!A:K,5,FALSE),0)
      ),
      IF(H522="Presencial",
         VLOOKUP(D522,TARIFAS!A:K,9,FALSE) + IF(I522="Sí",VLOOKUP(D522,TARIFAS!A:K,11,FALSE),0),
         VLOOKUP(D522,TARIFAS!A:K,10,FALSE) + IF(I522="Sí",VLOOKUP(D522,TARIFAS!A:K,11,FALSE),0)
      )
   )
)
</f>
        <v>0</v>
      </c>
      <c r="U522" s="45">
        <f>IF(R522="",0,MAX(0,R522 - TARIFAS!G$2) * TARIFAS!F$2)
</f>
        <v>0</v>
      </c>
      <c r="V522" s="45">
        <f>+T522*TARIFAS!$K$2</f>
        <v>0</v>
      </c>
      <c r="W522" s="45">
        <f t="shared" si="2"/>
        <v>0</v>
      </c>
      <c r="X522" s="45">
        <f t="shared" si="3"/>
        <v>0</v>
      </c>
      <c r="Y522" s="45">
        <f t="shared" si="4"/>
        <v>0</v>
      </c>
      <c r="Z522" s="42" t="str">
        <f>CONFERENCIAS!AB522</f>
        <v/>
      </c>
      <c r="AA522" s="42" t="str">
        <f>CONFERENCIAS!AC522</f>
        <v/>
      </c>
      <c r="AB522" s="47" t="str">
        <f t="shared" si="5"/>
        <v/>
      </c>
      <c r="AC522" s="9" t="str">
        <f t="shared" si="6"/>
        <v/>
      </c>
    </row>
    <row r="523">
      <c r="A523" s="42" t="str">
        <f>CONFERENCIAS!A523</f>
        <v/>
      </c>
      <c r="D523" s="42" t="str">
        <f>CONFERENCIAS!C523</f>
        <v/>
      </c>
      <c r="E523" s="42" t="str">
        <f>CONFERENCIAS!K523</f>
        <v/>
      </c>
      <c r="F523" s="49" t="str">
        <f>CONFERENCIAS!J523</f>
        <v/>
      </c>
      <c r="G523" s="42" t="str">
        <f>CONFERENCIAS!O523</f>
        <v/>
      </c>
      <c r="H523" s="42" t="str">
        <f>CONFERENCIAS!X523</f>
        <v/>
      </c>
      <c r="I523" s="42" t="str">
        <f>CONFERENCIAS!AA523</f>
        <v/>
      </c>
      <c r="J523" s="44" t="str">
        <f>CONFERENCIAS!P523</f>
        <v/>
      </c>
      <c r="K523" s="45" t="str">
        <f>CONFERENCIAS!R523</f>
        <v/>
      </c>
      <c r="L523" s="45">
        <f>IF(D523="",0,
 IF(E523=1,
   IF(H523="Presencial",
      VLOOKUP(D523,TARIFAS!A:K,3,FALSE) + IF(I523="Sí",VLOOKUP(D523,TARIFAS!A:K,5,FALSE),0),
      VLOOKUP(D523,TARIFAS!A:K,4,FALSE) + IF(I523="Sí",VLOOKUP(D523,TARIFAS!A:K,5,FALSE),0)
   ),
   IF(H523="Presencial",
      VLOOKUP(D523,TARIFAS!A:K,9,FALSE) + IF(I523="Sí",VLOOKUP(D523,TARIFAS!A:K,11,FALSE),0),
      VLOOKUP(D523,TARIFAS!A:K,10,FALSE) + IF(I523="Sí",VLOOKUP(D523,TARIFAS!A:K,11,FALSE),0)
   )
 )
)
</f>
        <v>0</v>
      </c>
      <c r="M523" s="45">
        <f>IF(J523="",0,MAX(0,J523 - TARIFAS!G$2) * TARIFAS!F$2)
</f>
        <v>0</v>
      </c>
      <c r="N523" s="45">
        <f>+L523*TARIFAS!$K$2</f>
        <v>0</v>
      </c>
      <c r="O523" s="45">
        <f t="shared" si="1"/>
        <v>0</v>
      </c>
      <c r="P523" s="45">
        <f>+M523+O523+K523+(+I523-(I523*TARIFAS!$K$2))</f>
        <v>0</v>
      </c>
      <c r="Q523" s="42" t="str">
        <f>CONFERENCIAS!T523</f>
        <v/>
      </c>
      <c r="R523" s="45" t="str">
        <f>CONFERENCIAS!U523</f>
        <v/>
      </c>
      <c r="S523" s="45" t="str">
        <f>CONFERENCIAS!W523</f>
        <v/>
      </c>
      <c r="T523" s="48">
        <f>IF(Q523="",0,
   IF(E523=1,
      IF(H523="Presencial",
         VLOOKUP(D523,TARIFAS!A:K,3,FALSE) + IF(I523="Sí",VLOOKUP(D523,TARIFAS!A:K,5,FALSE),0),
         VLOOKUP(D523,TARIFAS!A:K,4,FALSE) + IF(I523="Sí",VLOOKUP(D523,TARIFAS!A:K,5,FALSE),0)
      ),
      IF(H523="Presencial",
         VLOOKUP(D523,TARIFAS!A:K,9,FALSE) + IF(I523="Sí",VLOOKUP(D523,TARIFAS!A:K,11,FALSE),0),
         VLOOKUP(D523,TARIFAS!A:K,10,FALSE) + IF(I523="Sí",VLOOKUP(D523,TARIFAS!A:K,11,FALSE),0)
      )
   )
)
</f>
        <v>0</v>
      </c>
      <c r="U523" s="45">
        <f>IF(R523="",0,MAX(0,R523 - TARIFAS!G$2) * TARIFAS!F$2)
</f>
        <v>0</v>
      </c>
      <c r="V523" s="45">
        <f>+T523*TARIFAS!$K$2</f>
        <v>0</v>
      </c>
      <c r="W523" s="45">
        <f t="shared" si="2"/>
        <v>0</v>
      </c>
      <c r="X523" s="45">
        <f t="shared" si="3"/>
        <v>0</v>
      </c>
      <c r="Y523" s="45">
        <f t="shared" si="4"/>
        <v>0</v>
      </c>
      <c r="Z523" s="42" t="str">
        <f>CONFERENCIAS!AB523</f>
        <v/>
      </c>
      <c r="AA523" s="42" t="str">
        <f>CONFERENCIAS!AC523</f>
        <v/>
      </c>
      <c r="AB523" s="47" t="str">
        <f t="shared" si="5"/>
        <v/>
      </c>
      <c r="AC523" s="9" t="str">
        <f t="shared" si="6"/>
        <v/>
      </c>
    </row>
    <row r="524">
      <c r="A524" s="42" t="str">
        <f>CONFERENCIAS!A524</f>
        <v/>
      </c>
      <c r="D524" s="42" t="str">
        <f>CONFERENCIAS!C524</f>
        <v/>
      </c>
      <c r="E524" s="42" t="str">
        <f>CONFERENCIAS!K524</f>
        <v/>
      </c>
      <c r="F524" s="49" t="str">
        <f>CONFERENCIAS!J524</f>
        <v/>
      </c>
      <c r="G524" s="42" t="str">
        <f>CONFERENCIAS!O524</f>
        <v/>
      </c>
      <c r="H524" s="42" t="str">
        <f>CONFERENCIAS!X524</f>
        <v/>
      </c>
      <c r="I524" s="42" t="str">
        <f>CONFERENCIAS!AA524</f>
        <v/>
      </c>
      <c r="J524" s="44" t="str">
        <f>CONFERENCIAS!P524</f>
        <v/>
      </c>
      <c r="K524" s="45" t="str">
        <f>CONFERENCIAS!R524</f>
        <v/>
      </c>
      <c r="L524" s="45">
        <f>IF(D524="",0,
 IF(E524=1,
   IF(H524="Presencial",
      VLOOKUP(D524,TARIFAS!A:K,3,FALSE) + IF(I524="Sí",VLOOKUP(D524,TARIFAS!A:K,5,FALSE),0),
      VLOOKUP(D524,TARIFAS!A:K,4,FALSE) + IF(I524="Sí",VLOOKUP(D524,TARIFAS!A:K,5,FALSE),0)
   ),
   IF(H524="Presencial",
      VLOOKUP(D524,TARIFAS!A:K,9,FALSE) + IF(I524="Sí",VLOOKUP(D524,TARIFAS!A:K,11,FALSE),0),
      VLOOKUP(D524,TARIFAS!A:K,10,FALSE) + IF(I524="Sí",VLOOKUP(D524,TARIFAS!A:K,11,FALSE),0)
   )
 )
)
</f>
        <v>0</v>
      </c>
      <c r="M524" s="45">
        <f>IF(J524="",0,MAX(0,J524 - TARIFAS!G$2) * TARIFAS!F$2)
</f>
        <v>0</v>
      </c>
      <c r="N524" s="45">
        <f>+L524*TARIFAS!$K$2</f>
        <v>0</v>
      </c>
      <c r="O524" s="45">
        <f t="shared" si="1"/>
        <v>0</v>
      </c>
      <c r="P524" s="45">
        <f>+M524+O524+K524+(+I524-(I524*TARIFAS!$K$2))</f>
        <v>0</v>
      </c>
      <c r="Q524" s="42" t="str">
        <f>CONFERENCIAS!T524</f>
        <v/>
      </c>
      <c r="R524" s="45" t="str">
        <f>CONFERENCIAS!U524</f>
        <v/>
      </c>
      <c r="S524" s="45" t="str">
        <f>CONFERENCIAS!W524</f>
        <v/>
      </c>
      <c r="T524" s="48">
        <f>IF(Q524="",0,
   IF(E524=1,
      IF(H524="Presencial",
         VLOOKUP(D524,TARIFAS!A:K,3,FALSE) + IF(I524="Sí",VLOOKUP(D524,TARIFAS!A:K,5,FALSE),0),
         VLOOKUP(D524,TARIFAS!A:K,4,FALSE) + IF(I524="Sí",VLOOKUP(D524,TARIFAS!A:K,5,FALSE),0)
      ),
      IF(H524="Presencial",
         VLOOKUP(D524,TARIFAS!A:K,9,FALSE) + IF(I524="Sí",VLOOKUP(D524,TARIFAS!A:K,11,FALSE),0),
         VLOOKUP(D524,TARIFAS!A:K,10,FALSE) + IF(I524="Sí",VLOOKUP(D524,TARIFAS!A:K,11,FALSE),0)
      )
   )
)
</f>
        <v>0</v>
      </c>
      <c r="U524" s="45">
        <f>IF(R524="",0,MAX(0,R524 - TARIFAS!G$2) * TARIFAS!F$2)
</f>
        <v>0</v>
      </c>
      <c r="V524" s="45">
        <f>+T524*TARIFAS!$K$2</f>
        <v>0</v>
      </c>
      <c r="W524" s="45">
        <f t="shared" si="2"/>
        <v>0</v>
      </c>
      <c r="X524" s="45">
        <f t="shared" si="3"/>
        <v>0</v>
      </c>
      <c r="Y524" s="45">
        <f t="shared" si="4"/>
        <v>0</v>
      </c>
      <c r="Z524" s="42" t="str">
        <f>CONFERENCIAS!AB524</f>
        <v/>
      </c>
      <c r="AA524" s="42" t="str">
        <f>CONFERENCIAS!AC524</f>
        <v/>
      </c>
      <c r="AB524" s="47" t="str">
        <f t="shared" si="5"/>
        <v/>
      </c>
      <c r="AC524" s="9" t="str">
        <f t="shared" si="6"/>
        <v/>
      </c>
    </row>
    <row r="525">
      <c r="A525" s="42" t="str">
        <f>CONFERENCIAS!A525</f>
        <v/>
      </c>
      <c r="D525" s="42" t="str">
        <f>CONFERENCIAS!C525</f>
        <v/>
      </c>
      <c r="E525" s="42" t="str">
        <f>CONFERENCIAS!K525</f>
        <v/>
      </c>
      <c r="F525" s="49" t="str">
        <f>CONFERENCIAS!J525</f>
        <v/>
      </c>
      <c r="G525" s="42" t="str">
        <f>CONFERENCIAS!O525</f>
        <v/>
      </c>
      <c r="H525" s="42" t="str">
        <f>CONFERENCIAS!X525</f>
        <v/>
      </c>
      <c r="I525" s="42" t="str">
        <f>CONFERENCIAS!AA525</f>
        <v/>
      </c>
      <c r="J525" s="44" t="str">
        <f>CONFERENCIAS!P525</f>
        <v/>
      </c>
      <c r="K525" s="45" t="str">
        <f>CONFERENCIAS!R525</f>
        <v/>
      </c>
      <c r="L525" s="45">
        <f>IF(D525="",0,
 IF(E525=1,
   IF(H525="Presencial",
      VLOOKUP(D525,TARIFAS!A:K,3,FALSE) + IF(I525="Sí",VLOOKUP(D525,TARIFAS!A:K,5,FALSE),0),
      VLOOKUP(D525,TARIFAS!A:K,4,FALSE) + IF(I525="Sí",VLOOKUP(D525,TARIFAS!A:K,5,FALSE),0)
   ),
   IF(H525="Presencial",
      VLOOKUP(D525,TARIFAS!A:K,9,FALSE) + IF(I525="Sí",VLOOKUP(D525,TARIFAS!A:K,11,FALSE),0),
      VLOOKUP(D525,TARIFAS!A:K,10,FALSE) + IF(I525="Sí",VLOOKUP(D525,TARIFAS!A:K,11,FALSE),0)
   )
 )
)
</f>
        <v>0</v>
      </c>
      <c r="M525" s="45">
        <f>IF(J525="",0,MAX(0,J525 - TARIFAS!G$2) * TARIFAS!F$2)
</f>
        <v>0</v>
      </c>
      <c r="N525" s="45">
        <f>+L525*TARIFAS!$K$2</f>
        <v>0</v>
      </c>
      <c r="O525" s="45">
        <f t="shared" si="1"/>
        <v>0</v>
      </c>
      <c r="P525" s="45">
        <f>+M525+O525+K525+(+I525-(I525*TARIFAS!$K$2))</f>
        <v>0</v>
      </c>
      <c r="Q525" s="42" t="str">
        <f>CONFERENCIAS!T525</f>
        <v/>
      </c>
      <c r="R525" s="45" t="str">
        <f>CONFERENCIAS!U525</f>
        <v/>
      </c>
      <c r="S525" s="45" t="str">
        <f>CONFERENCIAS!W525</f>
        <v/>
      </c>
      <c r="T525" s="48">
        <f>IF(Q525="",0,
   IF(E525=1,
      IF(H525="Presencial",
         VLOOKUP(D525,TARIFAS!A:K,3,FALSE) + IF(I525="Sí",VLOOKUP(D525,TARIFAS!A:K,5,FALSE),0),
         VLOOKUP(D525,TARIFAS!A:K,4,FALSE) + IF(I525="Sí",VLOOKUP(D525,TARIFAS!A:K,5,FALSE),0)
      ),
      IF(H525="Presencial",
         VLOOKUP(D525,TARIFAS!A:K,9,FALSE) + IF(I525="Sí",VLOOKUP(D525,TARIFAS!A:K,11,FALSE),0),
         VLOOKUP(D525,TARIFAS!A:K,10,FALSE) + IF(I525="Sí",VLOOKUP(D525,TARIFAS!A:K,11,FALSE),0)
      )
   )
)
</f>
        <v>0</v>
      </c>
      <c r="U525" s="45">
        <f>IF(R525="",0,MAX(0,R525 - TARIFAS!G$2) * TARIFAS!F$2)
</f>
        <v>0</v>
      </c>
      <c r="V525" s="45">
        <f>+T525*TARIFAS!$K$2</f>
        <v>0</v>
      </c>
      <c r="W525" s="45">
        <f t="shared" si="2"/>
        <v>0</v>
      </c>
      <c r="X525" s="45">
        <f t="shared" si="3"/>
        <v>0</v>
      </c>
      <c r="Y525" s="45">
        <f t="shared" si="4"/>
        <v>0</v>
      </c>
      <c r="Z525" s="42" t="str">
        <f>CONFERENCIAS!AB525</f>
        <v/>
      </c>
      <c r="AA525" s="42" t="str">
        <f>CONFERENCIAS!AC525</f>
        <v/>
      </c>
      <c r="AB525" s="47" t="str">
        <f t="shared" si="5"/>
        <v/>
      </c>
      <c r="AC525" s="9" t="str">
        <f t="shared" si="6"/>
        <v/>
      </c>
    </row>
    <row r="526">
      <c r="A526" s="42" t="str">
        <f>CONFERENCIAS!A526</f>
        <v/>
      </c>
      <c r="D526" s="42" t="str">
        <f>CONFERENCIAS!C526</f>
        <v/>
      </c>
      <c r="E526" s="42" t="str">
        <f>CONFERENCIAS!K526</f>
        <v/>
      </c>
      <c r="F526" s="49" t="str">
        <f>CONFERENCIAS!J526</f>
        <v/>
      </c>
      <c r="G526" s="42" t="str">
        <f>CONFERENCIAS!O526</f>
        <v/>
      </c>
      <c r="H526" s="42" t="str">
        <f>CONFERENCIAS!X526</f>
        <v/>
      </c>
      <c r="I526" s="42" t="str">
        <f>CONFERENCIAS!AA526</f>
        <v/>
      </c>
      <c r="J526" s="44" t="str">
        <f>CONFERENCIAS!P526</f>
        <v/>
      </c>
      <c r="K526" s="45" t="str">
        <f>CONFERENCIAS!R526</f>
        <v/>
      </c>
      <c r="L526" s="45">
        <f>IF(D526="",0,
 IF(E526=1,
   IF(H526="Presencial",
      VLOOKUP(D526,TARIFAS!A:K,3,FALSE) + IF(I526="Sí",VLOOKUP(D526,TARIFAS!A:K,5,FALSE),0),
      VLOOKUP(D526,TARIFAS!A:K,4,FALSE) + IF(I526="Sí",VLOOKUP(D526,TARIFAS!A:K,5,FALSE),0)
   ),
   IF(H526="Presencial",
      VLOOKUP(D526,TARIFAS!A:K,9,FALSE) + IF(I526="Sí",VLOOKUP(D526,TARIFAS!A:K,11,FALSE),0),
      VLOOKUP(D526,TARIFAS!A:K,10,FALSE) + IF(I526="Sí",VLOOKUP(D526,TARIFAS!A:K,11,FALSE),0)
   )
 )
)
</f>
        <v>0</v>
      </c>
      <c r="M526" s="45">
        <f>IF(J526="",0,MAX(0,J526 - TARIFAS!G$2) * TARIFAS!F$2)
</f>
        <v>0</v>
      </c>
      <c r="N526" s="45">
        <f>+L526*TARIFAS!$K$2</f>
        <v>0</v>
      </c>
      <c r="O526" s="45">
        <f t="shared" si="1"/>
        <v>0</v>
      </c>
      <c r="P526" s="45">
        <f>+M526+O526+K526+(+I526-(I526*TARIFAS!$K$2))</f>
        <v>0</v>
      </c>
      <c r="Q526" s="42" t="str">
        <f>CONFERENCIAS!T526</f>
        <v/>
      </c>
      <c r="R526" s="45" t="str">
        <f>CONFERENCIAS!U526</f>
        <v/>
      </c>
      <c r="S526" s="45" t="str">
        <f>CONFERENCIAS!W526</f>
        <v/>
      </c>
      <c r="T526" s="48">
        <f>IF(Q526="",0,
   IF(E526=1,
      IF(H526="Presencial",
         VLOOKUP(D526,TARIFAS!A:K,3,FALSE) + IF(I526="Sí",VLOOKUP(D526,TARIFAS!A:K,5,FALSE),0),
         VLOOKUP(D526,TARIFAS!A:K,4,FALSE) + IF(I526="Sí",VLOOKUP(D526,TARIFAS!A:K,5,FALSE),0)
      ),
      IF(H526="Presencial",
         VLOOKUP(D526,TARIFAS!A:K,9,FALSE) + IF(I526="Sí",VLOOKUP(D526,TARIFAS!A:K,11,FALSE),0),
         VLOOKUP(D526,TARIFAS!A:K,10,FALSE) + IF(I526="Sí",VLOOKUP(D526,TARIFAS!A:K,11,FALSE),0)
      )
   )
)
</f>
        <v>0</v>
      </c>
      <c r="U526" s="45">
        <f>IF(R526="",0,MAX(0,R526 - TARIFAS!G$2) * TARIFAS!F$2)
</f>
        <v>0</v>
      </c>
      <c r="V526" s="45">
        <f>+T526*TARIFAS!$K$2</f>
        <v>0</v>
      </c>
      <c r="W526" s="45">
        <f t="shared" si="2"/>
        <v>0</v>
      </c>
      <c r="X526" s="45">
        <f t="shared" si="3"/>
        <v>0</v>
      </c>
      <c r="Y526" s="45">
        <f t="shared" si="4"/>
        <v>0</v>
      </c>
      <c r="Z526" s="42" t="str">
        <f>CONFERENCIAS!AB526</f>
        <v/>
      </c>
      <c r="AA526" s="42" t="str">
        <f>CONFERENCIAS!AC526</f>
        <v/>
      </c>
      <c r="AB526" s="47" t="str">
        <f t="shared" si="5"/>
        <v/>
      </c>
      <c r="AC526" s="9" t="str">
        <f t="shared" si="6"/>
        <v/>
      </c>
    </row>
    <row r="527">
      <c r="A527" s="42" t="str">
        <f>CONFERENCIAS!A527</f>
        <v/>
      </c>
      <c r="D527" s="42" t="str">
        <f>CONFERENCIAS!C527</f>
        <v/>
      </c>
      <c r="E527" s="42" t="str">
        <f>CONFERENCIAS!K527</f>
        <v/>
      </c>
      <c r="F527" s="49" t="str">
        <f>CONFERENCIAS!J527</f>
        <v/>
      </c>
      <c r="G527" s="42" t="str">
        <f>CONFERENCIAS!O527</f>
        <v/>
      </c>
      <c r="H527" s="42" t="str">
        <f>CONFERENCIAS!X527</f>
        <v/>
      </c>
      <c r="I527" s="42" t="str">
        <f>CONFERENCIAS!AA527</f>
        <v/>
      </c>
      <c r="J527" s="44" t="str">
        <f>CONFERENCIAS!P527</f>
        <v/>
      </c>
      <c r="K527" s="45" t="str">
        <f>CONFERENCIAS!R527</f>
        <v/>
      </c>
      <c r="L527" s="45">
        <f>IF(D527="",0,
 IF(E527=1,
   IF(H527="Presencial",
      VLOOKUP(D527,TARIFAS!A:K,3,FALSE) + IF(I527="Sí",VLOOKUP(D527,TARIFAS!A:K,5,FALSE),0),
      VLOOKUP(D527,TARIFAS!A:K,4,FALSE) + IF(I527="Sí",VLOOKUP(D527,TARIFAS!A:K,5,FALSE),0)
   ),
   IF(H527="Presencial",
      VLOOKUP(D527,TARIFAS!A:K,9,FALSE) + IF(I527="Sí",VLOOKUP(D527,TARIFAS!A:K,11,FALSE),0),
      VLOOKUP(D527,TARIFAS!A:K,10,FALSE) + IF(I527="Sí",VLOOKUP(D527,TARIFAS!A:K,11,FALSE),0)
   )
 )
)
</f>
        <v>0</v>
      </c>
      <c r="M527" s="45">
        <f>IF(J527="",0,MAX(0,J527 - TARIFAS!G$2) * TARIFAS!F$2)
</f>
        <v>0</v>
      </c>
      <c r="N527" s="45">
        <f>+L527*TARIFAS!$K$2</f>
        <v>0</v>
      </c>
      <c r="O527" s="45">
        <f t="shared" si="1"/>
        <v>0</v>
      </c>
      <c r="P527" s="45">
        <f>+M527+O527+K527+(+I527-(I527*TARIFAS!$K$2))</f>
        <v>0</v>
      </c>
      <c r="Q527" s="42" t="str">
        <f>CONFERENCIAS!T527</f>
        <v/>
      </c>
      <c r="R527" s="45" t="str">
        <f>CONFERENCIAS!U527</f>
        <v/>
      </c>
      <c r="S527" s="45" t="str">
        <f>CONFERENCIAS!W527</f>
        <v/>
      </c>
      <c r="T527" s="48">
        <f>IF(Q527="",0,
   IF(E527=1,
      IF(H527="Presencial",
         VLOOKUP(D527,TARIFAS!A:K,3,FALSE) + IF(I527="Sí",VLOOKUP(D527,TARIFAS!A:K,5,FALSE),0),
         VLOOKUP(D527,TARIFAS!A:K,4,FALSE) + IF(I527="Sí",VLOOKUP(D527,TARIFAS!A:K,5,FALSE),0)
      ),
      IF(H527="Presencial",
         VLOOKUP(D527,TARIFAS!A:K,9,FALSE) + IF(I527="Sí",VLOOKUP(D527,TARIFAS!A:K,11,FALSE),0),
         VLOOKUP(D527,TARIFAS!A:K,10,FALSE) + IF(I527="Sí",VLOOKUP(D527,TARIFAS!A:K,11,FALSE),0)
      )
   )
)
</f>
        <v>0</v>
      </c>
      <c r="U527" s="45">
        <f>IF(R527="",0,MAX(0,R527 - TARIFAS!G$2) * TARIFAS!F$2)
</f>
        <v>0</v>
      </c>
      <c r="V527" s="45">
        <f>+T527*TARIFAS!$K$2</f>
        <v>0</v>
      </c>
      <c r="W527" s="45">
        <f t="shared" si="2"/>
        <v>0</v>
      </c>
      <c r="X527" s="45">
        <f t="shared" si="3"/>
        <v>0</v>
      </c>
      <c r="Y527" s="45">
        <f t="shared" si="4"/>
        <v>0</v>
      </c>
      <c r="Z527" s="42" t="str">
        <f>CONFERENCIAS!AB527</f>
        <v/>
      </c>
      <c r="AA527" s="42" t="str">
        <f>CONFERENCIAS!AC527</f>
        <v/>
      </c>
      <c r="AB527" s="47" t="str">
        <f t="shared" si="5"/>
        <v/>
      </c>
      <c r="AC527" s="9" t="str">
        <f t="shared" si="6"/>
        <v/>
      </c>
    </row>
    <row r="528">
      <c r="A528" s="42" t="str">
        <f>CONFERENCIAS!A528</f>
        <v/>
      </c>
      <c r="D528" s="42" t="str">
        <f>CONFERENCIAS!C528</f>
        <v/>
      </c>
      <c r="E528" s="42" t="str">
        <f>CONFERENCIAS!K528</f>
        <v/>
      </c>
      <c r="F528" s="49" t="str">
        <f>CONFERENCIAS!J528</f>
        <v/>
      </c>
      <c r="G528" s="42" t="str">
        <f>CONFERENCIAS!O528</f>
        <v/>
      </c>
      <c r="H528" s="42" t="str">
        <f>CONFERENCIAS!X528</f>
        <v/>
      </c>
      <c r="I528" s="42" t="str">
        <f>CONFERENCIAS!AA528</f>
        <v/>
      </c>
      <c r="J528" s="44" t="str">
        <f>CONFERENCIAS!P528</f>
        <v/>
      </c>
      <c r="K528" s="45" t="str">
        <f>CONFERENCIAS!R528</f>
        <v/>
      </c>
      <c r="L528" s="45">
        <f>IF(D528="",0,
 IF(E528=1,
   IF(H528="Presencial",
      VLOOKUP(D528,TARIFAS!A:K,3,FALSE) + IF(I528="Sí",VLOOKUP(D528,TARIFAS!A:K,5,FALSE),0),
      VLOOKUP(D528,TARIFAS!A:K,4,FALSE) + IF(I528="Sí",VLOOKUP(D528,TARIFAS!A:K,5,FALSE),0)
   ),
   IF(H528="Presencial",
      VLOOKUP(D528,TARIFAS!A:K,9,FALSE) + IF(I528="Sí",VLOOKUP(D528,TARIFAS!A:K,11,FALSE),0),
      VLOOKUP(D528,TARIFAS!A:K,10,FALSE) + IF(I528="Sí",VLOOKUP(D528,TARIFAS!A:K,11,FALSE),0)
   )
 )
)
</f>
        <v>0</v>
      </c>
      <c r="M528" s="45">
        <f>IF(J528="",0,MAX(0,J528 - TARIFAS!G$2) * TARIFAS!F$2)
</f>
        <v>0</v>
      </c>
      <c r="N528" s="45">
        <f>+L528*TARIFAS!$K$2</f>
        <v>0</v>
      </c>
      <c r="O528" s="45">
        <f t="shared" si="1"/>
        <v>0</v>
      </c>
      <c r="P528" s="45">
        <f>+M528+O528+K528+(+I528-(I528*TARIFAS!$K$2))</f>
        <v>0</v>
      </c>
      <c r="Q528" s="42" t="str">
        <f>CONFERENCIAS!T528</f>
        <v/>
      </c>
      <c r="R528" s="45" t="str">
        <f>CONFERENCIAS!U528</f>
        <v/>
      </c>
      <c r="S528" s="45" t="str">
        <f>CONFERENCIAS!W528</f>
        <v/>
      </c>
      <c r="T528" s="48">
        <f>IF(Q528="",0,
   IF(E528=1,
      IF(H528="Presencial",
         VLOOKUP(D528,TARIFAS!A:K,3,FALSE) + IF(I528="Sí",VLOOKUP(D528,TARIFAS!A:K,5,FALSE),0),
         VLOOKUP(D528,TARIFAS!A:K,4,FALSE) + IF(I528="Sí",VLOOKUP(D528,TARIFAS!A:K,5,FALSE),0)
      ),
      IF(H528="Presencial",
         VLOOKUP(D528,TARIFAS!A:K,9,FALSE) + IF(I528="Sí",VLOOKUP(D528,TARIFAS!A:K,11,FALSE),0),
         VLOOKUP(D528,TARIFAS!A:K,10,FALSE) + IF(I528="Sí",VLOOKUP(D528,TARIFAS!A:K,11,FALSE),0)
      )
   )
)
</f>
        <v>0</v>
      </c>
      <c r="U528" s="45">
        <f>IF(R528="",0,MAX(0,R528 - TARIFAS!G$2) * TARIFAS!F$2)
</f>
        <v>0</v>
      </c>
      <c r="V528" s="45">
        <f>+T528*TARIFAS!$K$2</f>
        <v>0</v>
      </c>
      <c r="W528" s="45">
        <f t="shared" si="2"/>
        <v>0</v>
      </c>
      <c r="X528" s="45">
        <f t="shared" si="3"/>
        <v>0</v>
      </c>
      <c r="Y528" s="45">
        <f t="shared" si="4"/>
        <v>0</v>
      </c>
      <c r="Z528" s="42" t="str">
        <f>CONFERENCIAS!AB528</f>
        <v/>
      </c>
      <c r="AA528" s="42" t="str">
        <f>CONFERENCIAS!AC528</f>
        <v/>
      </c>
      <c r="AB528" s="47" t="str">
        <f t="shared" si="5"/>
        <v/>
      </c>
      <c r="AC528" s="9" t="str">
        <f t="shared" si="6"/>
        <v/>
      </c>
    </row>
    <row r="529">
      <c r="A529" s="42" t="str">
        <f>CONFERENCIAS!A529</f>
        <v/>
      </c>
      <c r="D529" s="42" t="str">
        <f>CONFERENCIAS!C529</f>
        <v/>
      </c>
      <c r="E529" s="42" t="str">
        <f>CONFERENCIAS!K529</f>
        <v/>
      </c>
      <c r="F529" s="49" t="str">
        <f>CONFERENCIAS!J529</f>
        <v/>
      </c>
      <c r="G529" s="42" t="str">
        <f>CONFERENCIAS!O529</f>
        <v/>
      </c>
      <c r="H529" s="42" t="str">
        <f>CONFERENCIAS!X529</f>
        <v/>
      </c>
      <c r="I529" s="42" t="str">
        <f>CONFERENCIAS!AA529</f>
        <v/>
      </c>
      <c r="J529" s="44" t="str">
        <f>CONFERENCIAS!P529</f>
        <v/>
      </c>
      <c r="K529" s="45" t="str">
        <f>CONFERENCIAS!R529</f>
        <v/>
      </c>
      <c r="L529" s="45">
        <f>IF(D529="",0,
 IF(E529=1,
   IF(H529="Presencial",
      VLOOKUP(D529,TARIFAS!A:K,3,FALSE) + IF(I529="Sí",VLOOKUP(D529,TARIFAS!A:K,5,FALSE),0),
      VLOOKUP(D529,TARIFAS!A:K,4,FALSE) + IF(I529="Sí",VLOOKUP(D529,TARIFAS!A:K,5,FALSE),0)
   ),
   IF(H529="Presencial",
      VLOOKUP(D529,TARIFAS!A:K,9,FALSE) + IF(I529="Sí",VLOOKUP(D529,TARIFAS!A:K,11,FALSE),0),
      VLOOKUP(D529,TARIFAS!A:K,10,FALSE) + IF(I529="Sí",VLOOKUP(D529,TARIFAS!A:K,11,FALSE),0)
   )
 )
)
</f>
        <v>0</v>
      </c>
      <c r="M529" s="45">
        <f>IF(J529="",0,MAX(0,J529 - TARIFAS!G$2) * TARIFAS!F$2)
</f>
        <v>0</v>
      </c>
      <c r="N529" s="45">
        <f>+L529*TARIFAS!$K$2</f>
        <v>0</v>
      </c>
      <c r="O529" s="45">
        <f t="shared" si="1"/>
        <v>0</v>
      </c>
      <c r="P529" s="45">
        <f>+M529+O529+K529+(+I529-(I529*TARIFAS!$K$2))</f>
        <v>0</v>
      </c>
      <c r="Q529" s="42" t="str">
        <f>CONFERENCIAS!T529</f>
        <v/>
      </c>
      <c r="R529" s="45" t="str">
        <f>CONFERENCIAS!U529</f>
        <v/>
      </c>
      <c r="S529" s="45" t="str">
        <f>CONFERENCIAS!W529</f>
        <v/>
      </c>
      <c r="T529" s="48">
        <f>IF(Q529="",0,
   IF(E529=1,
      IF(H529="Presencial",
         VLOOKUP(D529,TARIFAS!A:K,3,FALSE) + IF(I529="Sí",VLOOKUP(D529,TARIFAS!A:K,5,FALSE),0),
         VLOOKUP(D529,TARIFAS!A:K,4,FALSE) + IF(I529="Sí",VLOOKUP(D529,TARIFAS!A:K,5,FALSE),0)
      ),
      IF(H529="Presencial",
         VLOOKUP(D529,TARIFAS!A:K,9,FALSE) + IF(I529="Sí",VLOOKUP(D529,TARIFAS!A:K,11,FALSE),0),
         VLOOKUP(D529,TARIFAS!A:K,10,FALSE) + IF(I529="Sí",VLOOKUP(D529,TARIFAS!A:K,11,FALSE),0)
      )
   )
)
</f>
        <v>0</v>
      </c>
      <c r="U529" s="45">
        <f>IF(R529="",0,MAX(0,R529 - TARIFAS!G$2) * TARIFAS!F$2)
</f>
        <v>0</v>
      </c>
      <c r="V529" s="45">
        <f>+T529*TARIFAS!$K$2</f>
        <v>0</v>
      </c>
      <c r="W529" s="45">
        <f t="shared" si="2"/>
        <v>0</v>
      </c>
      <c r="X529" s="45">
        <f t="shared" si="3"/>
        <v>0</v>
      </c>
      <c r="Y529" s="45">
        <f t="shared" si="4"/>
        <v>0</v>
      </c>
      <c r="Z529" s="42" t="str">
        <f>CONFERENCIAS!AB529</f>
        <v/>
      </c>
      <c r="AA529" s="42" t="str">
        <f>CONFERENCIAS!AC529</f>
        <v/>
      </c>
      <c r="AB529" s="47" t="str">
        <f t="shared" si="5"/>
        <v/>
      </c>
      <c r="AC529" s="9" t="str">
        <f t="shared" si="6"/>
        <v/>
      </c>
    </row>
    <row r="530">
      <c r="A530" s="42" t="str">
        <f>CONFERENCIAS!A530</f>
        <v/>
      </c>
      <c r="D530" s="42" t="str">
        <f>CONFERENCIAS!C530</f>
        <v/>
      </c>
      <c r="E530" s="42" t="str">
        <f>CONFERENCIAS!K530</f>
        <v/>
      </c>
      <c r="F530" s="49" t="str">
        <f>CONFERENCIAS!J530</f>
        <v/>
      </c>
      <c r="G530" s="42" t="str">
        <f>CONFERENCIAS!O530</f>
        <v/>
      </c>
      <c r="H530" s="42" t="str">
        <f>CONFERENCIAS!X530</f>
        <v/>
      </c>
      <c r="I530" s="42" t="str">
        <f>CONFERENCIAS!AA530</f>
        <v/>
      </c>
      <c r="J530" s="44" t="str">
        <f>CONFERENCIAS!P530</f>
        <v/>
      </c>
      <c r="K530" s="45" t="str">
        <f>CONFERENCIAS!R530</f>
        <v/>
      </c>
      <c r="L530" s="45">
        <f>IF(D530="",0,
 IF(E530=1,
   IF(H530="Presencial",
      VLOOKUP(D530,TARIFAS!A:K,3,FALSE) + IF(I530="Sí",VLOOKUP(D530,TARIFAS!A:K,5,FALSE),0),
      VLOOKUP(D530,TARIFAS!A:K,4,FALSE) + IF(I530="Sí",VLOOKUP(D530,TARIFAS!A:K,5,FALSE),0)
   ),
   IF(H530="Presencial",
      VLOOKUP(D530,TARIFAS!A:K,9,FALSE) + IF(I530="Sí",VLOOKUP(D530,TARIFAS!A:K,11,FALSE),0),
      VLOOKUP(D530,TARIFAS!A:K,10,FALSE) + IF(I530="Sí",VLOOKUP(D530,TARIFAS!A:K,11,FALSE),0)
   )
 )
)
</f>
        <v>0</v>
      </c>
      <c r="M530" s="45">
        <f>IF(J530="",0,MAX(0,J530 - TARIFAS!G$2) * TARIFAS!F$2)
</f>
        <v>0</v>
      </c>
      <c r="N530" s="45">
        <f>+L530*TARIFAS!$K$2</f>
        <v>0</v>
      </c>
      <c r="O530" s="45">
        <f t="shared" si="1"/>
        <v>0</v>
      </c>
      <c r="P530" s="45">
        <f>+M530+O530+K530+(+I530-(I530*TARIFAS!$K$2))</f>
        <v>0</v>
      </c>
      <c r="Q530" s="42" t="str">
        <f>CONFERENCIAS!T530</f>
        <v/>
      </c>
      <c r="R530" s="45" t="str">
        <f>CONFERENCIAS!U530</f>
        <v/>
      </c>
      <c r="S530" s="45" t="str">
        <f>CONFERENCIAS!W530</f>
        <v/>
      </c>
      <c r="T530" s="48">
        <f>IF(Q530="",0,
   IF(E530=1,
      IF(H530="Presencial",
         VLOOKUP(D530,TARIFAS!A:K,3,FALSE) + IF(I530="Sí",VLOOKUP(D530,TARIFAS!A:K,5,FALSE),0),
         VLOOKUP(D530,TARIFAS!A:K,4,FALSE) + IF(I530="Sí",VLOOKUP(D530,TARIFAS!A:K,5,FALSE),0)
      ),
      IF(H530="Presencial",
         VLOOKUP(D530,TARIFAS!A:K,9,FALSE) + IF(I530="Sí",VLOOKUP(D530,TARIFAS!A:K,11,FALSE),0),
         VLOOKUP(D530,TARIFAS!A:K,10,FALSE) + IF(I530="Sí",VLOOKUP(D530,TARIFAS!A:K,11,FALSE),0)
      )
   )
)
</f>
        <v>0</v>
      </c>
      <c r="U530" s="45">
        <f>IF(R530="",0,MAX(0,R530 - TARIFAS!G$2) * TARIFAS!F$2)
</f>
        <v>0</v>
      </c>
      <c r="V530" s="45">
        <f>+T530*TARIFAS!$K$2</f>
        <v>0</v>
      </c>
      <c r="W530" s="45">
        <f t="shared" si="2"/>
        <v>0</v>
      </c>
      <c r="X530" s="45">
        <f t="shared" si="3"/>
        <v>0</v>
      </c>
      <c r="Y530" s="45">
        <f t="shared" si="4"/>
        <v>0</v>
      </c>
      <c r="Z530" s="42" t="str">
        <f>CONFERENCIAS!AB530</f>
        <v/>
      </c>
      <c r="AA530" s="42" t="str">
        <f>CONFERENCIAS!AC530</f>
        <v/>
      </c>
      <c r="AB530" s="47" t="str">
        <f t="shared" si="5"/>
        <v/>
      </c>
      <c r="AC530" s="9" t="str">
        <f t="shared" si="6"/>
        <v/>
      </c>
    </row>
    <row r="531">
      <c r="A531" s="42" t="str">
        <f>CONFERENCIAS!A531</f>
        <v/>
      </c>
      <c r="D531" s="42" t="str">
        <f>CONFERENCIAS!C531</f>
        <v/>
      </c>
      <c r="E531" s="42" t="str">
        <f>CONFERENCIAS!K531</f>
        <v/>
      </c>
      <c r="F531" s="49" t="str">
        <f>CONFERENCIAS!J531</f>
        <v/>
      </c>
      <c r="G531" s="42" t="str">
        <f>CONFERENCIAS!O531</f>
        <v/>
      </c>
      <c r="H531" s="42" t="str">
        <f>CONFERENCIAS!X531</f>
        <v/>
      </c>
      <c r="I531" s="42" t="str">
        <f>CONFERENCIAS!AA531</f>
        <v/>
      </c>
      <c r="J531" s="44" t="str">
        <f>CONFERENCIAS!P531</f>
        <v/>
      </c>
      <c r="K531" s="45" t="str">
        <f>CONFERENCIAS!R531</f>
        <v/>
      </c>
      <c r="L531" s="45">
        <f>IF(D531="",0,
 IF(E531=1,
   IF(H531="Presencial",
      VLOOKUP(D531,TARIFAS!A:K,3,FALSE) + IF(I531="Sí",VLOOKUP(D531,TARIFAS!A:K,5,FALSE),0),
      VLOOKUP(D531,TARIFAS!A:K,4,FALSE) + IF(I531="Sí",VLOOKUP(D531,TARIFAS!A:K,5,FALSE),0)
   ),
   IF(H531="Presencial",
      VLOOKUP(D531,TARIFAS!A:K,9,FALSE) + IF(I531="Sí",VLOOKUP(D531,TARIFAS!A:K,11,FALSE),0),
      VLOOKUP(D531,TARIFAS!A:K,10,FALSE) + IF(I531="Sí",VLOOKUP(D531,TARIFAS!A:K,11,FALSE),0)
   )
 )
)
</f>
        <v>0</v>
      </c>
      <c r="M531" s="45">
        <f>IF(J531="",0,MAX(0,J531 - TARIFAS!G$2) * TARIFAS!F$2)
</f>
        <v>0</v>
      </c>
      <c r="N531" s="45">
        <f>+L531*TARIFAS!$K$2</f>
        <v>0</v>
      </c>
      <c r="O531" s="45">
        <f t="shared" si="1"/>
        <v>0</v>
      </c>
      <c r="P531" s="45">
        <f>+M531+O531+K531+(+I531-(I531*TARIFAS!$K$2))</f>
        <v>0</v>
      </c>
      <c r="Q531" s="42" t="str">
        <f>CONFERENCIAS!T531</f>
        <v/>
      </c>
      <c r="R531" s="45" t="str">
        <f>CONFERENCIAS!U531</f>
        <v/>
      </c>
      <c r="S531" s="45" t="str">
        <f>CONFERENCIAS!W531</f>
        <v/>
      </c>
      <c r="T531" s="48">
        <f>IF(Q531="",0,
   IF(E531=1,
      IF(H531="Presencial",
         VLOOKUP(D531,TARIFAS!A:K,3,FALSE) + IF(I531="Sí",VLOOKUP(D531,TARIFAS!A:K,5,FALSE),0),
         VLOOKUP(D531,TARIFAS!A:K,4,FALSE) + IF(I531="Sí",VLOOKUP(D531,TARIFAS!A:K,5,FALSE),0)
      ),
      IF(H531="Presencial",
         VLOOKUP(D531,TARIFAS!A:K,9,FALSE) + IF(I531="Sí",VLOOKUP(D531,TARIFAS!A:K,11,FALSE),0),
         VLOOKUP(D531,TARIFAS!A:K,10,FALSE) + IF(I531="Sí",VLOOKUP(D531,TARIFAS!A:K,11,FALSE),0)
      )
   )
)
</f>
        <v>0</v>
      </c>
      <c r="U531" s="45">
        <f>IF(R531="",0,MAX(0,R531 - TARIFAS!G$2) * TARIFAS!F$2)
</f>
        <v>0</v>
      </c>
      <c r="V531" s="45">
        <f>+T531*TARIFAS!$K$2</f>
        <v>0</v>
      </c>
      <c r="W531" s="45">
        <f t="shared" si="2"/>
        <v>0</v>
      </c>
      <c r="X531" s="45">
        <f t="shared" si="3"/>
        <v>0</v>
      </c>
      <c r="Y531" s="45">
        <f t="shared" si="4"/>
        <v>0</v>
      </c>
      <c r="Z531" s="42" t="str">
        <f>CONFERENCIAS!AB531</f>
        <v/>
      </c>
      <c r="AA531" s="42" t="str">
        <f>CONFERENCIAS!AC531</f>
        <v/>
      </c>
      <c r="AB531" s="47" t="str">
        <f t="shared" si="5"/>
        <v/>
      </c>
      <c r="AC531" s="9" t="str">
        <f t="shared" si="6"/>
        <v/>
      </c>
    </row>
    <row r="532">
      <c r="A532" s="42" t="str">
        <f>CONFERENCIAS!A532</f>
        <v/>
      </c>
      <c r="D532" s="42" t="str">
        <f>CONFERENCIAS!C532</f>
        <v/>
      </c>
      <c r="E532" s="42" t="str">
        <f>CONFERENCIAS!K532</f>
        <v/>
      </c>
      <c r="F532" s="49" t="str">
        <f>CONFERENCIAS!J532</f>
        <v/>
      </c>
      <c r="G532" s="42" t="str">
        <f>CONFERENCIAS!O532</f>
        <v/>
      </c>
      <c r="H532" s="42" t="str">
        <f>CONFERENCIAS!X532</f>
        <v/>
      </c>
      <c r="I532" s="42" t="str">
        <f>CONFERENCIAS!AA532</f>
        <v/>
      </c>
      <c r="J532" s="44" t="str">
        <f>CONFERENCIAS!P532</f>
        <v/>
      </c>
      <c r="K532" s="45" t="str">
        <f>CONFERENCIAS!R532</f>
        <v/>
      </c>
      <c r="L532" s="45">
        <f>IF(D532="",0,
 IF(E532=1,
   IF(H532="Presencial",
      VLOOKUP(D532,TARIFAS!A:K,3,FALSE) + IF(I532="Sí",VLOOKUP(D532,TARIFAS!A:K,5,FALSE),0),
      VLOOKUP(D532,TARIFAS!A:K,4,FALSE) + IF(I532="Sí",VLOOKUP(D532,TARIFAS!A:K,5,FALSE),0)
   ),
   IF(H532="Presencial",
      VLOOKUP(D532,TARIFAS!A:K,9,FALSE) + IF(I532="Sí",VLOOKUP(D532,TARIFAS!A:K,11,FALSE),0),
      VLOOKUP(D532,TARIFAS!A:K,10,FALSE) + IF(I532="Sí",VLOOKUP(D532,TARIFAS!A:K,11,FALSE),0)
   )
 )
)
</f>
        <v>0</v>
      </c>
      <c r="M532" s="45">
        <f>IF(J532="",0,MAX(0,J532 - TARIFAS!G$2) * TARIFAS!F$2)
</f>
        <v>0</v>
      </c>
      <c r="N532" s="45">
        <f>+L532*TARIFAS!$K$2</f>
        <v>0</v>
      </c>
      <c r="O532" s="45">
        <f t="shared" si="1"/>
        <v>0</v>
      </c>
      <c r="P532" s="45">
        <f>+M532+O532+K532+(+I532-(I532*TARIFAS!$K$2))</f>
        <v>0</v>
      </c>
      <c r="Q532" s="42" t="str">
        <f>CONFERENCIAS!T532</f>
        <v/>
      </c>
      <c r="R532" s="45" t="str">
        <f>CONFERENCIAS!U532</f>
        <v/>
      </c>
      <c r="S532" s="45" t="str">
        <f>CONFERENCIAS!W532</f>
        <v/>
      </c>
      <c r="T532" s="48">
        <f>IF(Q532="",0,
   IF(E532=1,
      IF(H532="Presencial",
         VLOOKUP(D532,TARIFAS!A:K,3,FALSE) + IF(I532="Sí",VLOOKUP(D532,TARIFAS!A:K,5,FALSE),0),
         VLOOKUP(D532,TARIFAS!A:K,4,FALSE) + IF(I532="Sí",VLOOKUP(D532,TARIFAS!A:K,5,FALSE),0)
      ),
      IF(H532="Presencial",
         VLOOKUP(D532,TARIFAS!A:K,9,FALSE) + IF(I532="Sí",VLOOKUP(D532,TARIFAS!A:K,11,FALSE),0),
         VLOOKUP(D532,TARIFAS!A:K,10,FALSE) + IF(I532="Sí",VLOOKUP(D532,TARIFAS!A:K,11,FALSE),0)
      )
   )
)
</f>
        <v>0</v>
      </c>
      <c r="U532" s="45">
        <f>IF(R532="",0,MAX(0,R532 - TARIFAS!G$2) * TARIFAS!F$2)
</f>
        <v>0</v>
      </c>
      <c r="V532" s="45">
        <f>+T532*TARIFAS!$K$2</f>
        <v>0</v>
      </c>
      <c r="W532" s="45">
        <f t="shared" si="2"/>
        <v>0</v>
      </c>
      <c r="X532" s="45">
        <f t="shared" si="3"/>
        <v>0</v>
      </c>
      <c r="Y532" s="45">
        <f t="shared" si="4"/>
        <v>0</v>
      </c>
      <c r="Z532" s="42" t="str">
        <f>CONFERENCIAS!AB532</f>
        <v/>
      </c>
      <c r="AA532" s="42" t="str">
        <f>CONFERENCIAS!AC532</f>
        <v/>
      </c>
      <c r="AB532" s="47" t="str">
        <f t="shared" si="5"/>
        <v/>
      </c>
      <c r="AC532" s="9" t="str">
        <f t="shared" si="6"/>
        <v/>
      </c>
    </row>
    <row r="533">
      <c r="A533" s="42" t="str">
        <f>CONFERENCIAS!A533</f>
        <v/>
      </c>
      <c r="D533" s="42" t="str">
        <f>CONFERENCIAS!C533</f>
        <v/>
      </c>
      <c r="E533" s="42" t="str">
        <f>CONFERENCIAS!K533</f>
        <v/>
      </c>
      <c r="F533" s="49" t="str">
        <f>CONFERENCIAS!J533</f>
        <v/>
      </c>
      <c r="G533" s="42" t="str">
        <f>CONFERENCIAS!O533</f>
        <v/>
      </c>
      <c r="H533" s="42" t="str">
        <f>CONFERENCIAS!X533</f>
        <v/>
      </c>
      <c r="I533" s="42" t="str">
        <f>CONFERENCIAS!AA533</f>
        <v/>
      </c>
      <c r="J533" s="44" t="str">
        <f>CONFERENCIAS!P533</f>
        <v/>
      </c>
      <c r="K533" s="45" t="str">
        <f>CONFERENCIAS!R533</f>
        <v/>
      </c>
      <c r="L533" s="45">
        <f>IF(D533="",0,
 IF(E533=1,
   IF(H533="Presencial",
      VLOOKUP(D533,TARIFAS!A:K,3,FALSE) + IF(I533="Sí",VLOOKUP(D533,TARIFAS!A:K,5,FALSE),0),
      VLOOKUP(D533,TARIFAS!A:K,4,FALSE) + IF(I533="Sí",VLOOKUP(D533,TARIFAS!A:K,5,FALSE),0)
   ),
   IF(H533="Presencial",
      VLOOKUP(D533,TARIFAS!A:K,9,FALSE) + IF(I533="Sí",VLOOKUP(D533,TARIFAS!A:K,11,FALSE),0),
      VLOOKUP(D533,TARIFAS!A:K,10,FALSE) + IF(I533="Sí",VLOOKUP(D533,TARIFAS!A:K,11,FALSE),0)
   )
 )
)
</f>
        <v>0</v>
      </c>
      <c r="M533" s="45">
        <f>IF(J533="",0,MAX(0,J533 - TARIFAS!G$2) * TARIFAS!F$2)
</f>
        <v>0</v>
      </c>
      <c r="N533" s="45">
        <f>+L533*TARIFAS!$K$2</f>
        <v>0</v>
      </c>
      <c r="O533" s="45">
        <f t="shared" si="1"/>
        <v>0</v>
      </c>
      <c r="P533" s="45">
        <f>+M533+O533+K533+(+I533-(I533*TARIFAS!$K$2))</f>
        <v>0</v>
      </c>
      <c r="Q533" s="42" t="str">
        <f>CONFERENCIAS!T533</f>
        <v/>
      </c>
      <c r="R533" s="45" t="str">
        <f>CONFERENCIAS!U533</f>
        <v/>
      </c>
      <c r="S533" s="45" t="str">
        <f>CONFERENCIAS!W533</f>
        <v/>
      </c>
      <c r="T533" s="48">
        <f>IF(Q533="",0,
   IF(E533=1,
      IF(H533="Presencial",
         VLOOKUP(D533,TARIFAS!A:K,3,FALSE) + IF(I533="Sí",VLOOKUP(D533,TARIFAS!A:K,5,FALSE),0),
         VLOOKUP(D533,TARIFAS!A:K,4,FALSE) + IF(I533="Sí",VLOOKUP(D533,TARIFAS!A:K,5,FALSE),0)
      ),
      IF(H533="Presencial",
         VLOOKUP(D533,TARIFAS!A:K,9,FALSE) + IF(I533="Sí",VLOOKUP(D533,TARIFAS!A:K,11,FALSE),0),
         VLOOKUP(D533,TARIFAS!A:K,10,FALSE) + IF(I533="Sí",VLOOKUP(D533,TARIFAS!A:K,11,FALSE),0)
      )
   )
)
</f>
        <v>0</v>
      </c>
      <c r="U533" s="45">
        <f>IF(R533="",0,MAX(0,R533 - TARIFAS!G$2) * TARIFAS!F$2)
</f>
        <v>0</v>
      </c>
      <c r="V533" s="45">
        <f>+T533*TARIFAS!$K$2</f>
        <v>0</v>
      </c>
      <c r="W533" s="45">
        <f t="shared" si="2"/>
        <v>0</v>
      </c>
      <c r="X533" s="45">
        <f t="shared" si="3"/>
        <v>0</v>
      </c>
      <c r="Y533" s="45">
        <f t="shared" si="4"/>
        <v>0</v>
      </c>
      <c r="Z533" s="42" t="str">
        <f>CONFERENCIAS!AB533</f>
        <v/>
      </c>
      <c r="AA533" s="42" t="str">
        <f>CONFERENCIAS!AC533</f>
        <v/>
      </c>
      <c r="AB533" s="47" t="str">
        <f t="shared" si="5"/>
        <v/>
      </c>
      <c r="AC533" s="9" t="str">
        <f t="shared" si="6"/>
        <v/>
      </c>
    </row>
    <row r="534">
      <c r="A534" s="42" t="str">
        <f>CONFERENCIAS!A534</f>
        <v/>
      </c>
      <c r="D534" s="42" t="str">
        <f>CONFERENCIAS!C534</f>
        <v/>
      </c>
      <c r="E534" s="42" t="str">
        <f>CONFERENCIAS!K534</f>
        <v/>
      </c>
      <c r="F534" s="49" t="str">
        <f>CONFERENCIAS!J534</f>
        <v/>
      </c>
      <c r="G534" s="42" t="str">
        <f>CONFERENCIAS!O534</f>
        <v/>
      </c>
      <c r="H534" s="42" t="str">
        <f>CONFERENCIAS!X534</f>
        <v/>
      </c>
      <c r="I534" s="42" t="str">
        <f>CONFERENCIAS!AA534</f>
        <v/>
      </c>
      <c r="J534" s="44" t="str">
        <f>CONFERENCIAS!P534</f>
        <v/>
      </c>
      <c r="K534" s="45" t="str">
        <f>CONFERENCIAS!R534</f>
        <v/>
      </c>
      <c r="L534" s="45">
        <f>IF(D534="",0,
 IF(E534=1,
   IF(H534="Presencial",
      VLOOKUP(D534,TARIFAS!A:K,3,FALSE) + IF(I534="Sí",VLOOKUP(D534,TARIFAS!A:K,5,FALSE),0),
      VLOOKUP(D534,TARIFAS!A:K,4,FALSE) + IF(I534="Sí",VLOOKUP(D534,TARIFAS!A:K,5,FALSE),0)
   ),
   IF(H534="Presencial",
      VLOOKUP(D534,TARIFAS!A:K,9,FALSE) + IF(I534="Sí",VLOOKUP(D534,TARIFAS!A:K,11,FALSE),0),
      VLOOKUP(D534,TARIFAS!A:K,10,FALSE) + IF(I534="Sí",VLOOKUP(D534,TARIFAS!A:K,11,FALSE),0)
   )
 )
)
</f>
        <v>0</v>
      </c>
      <c r="M534" s="45">
        <f>IF(J534="",0,MAX(0,J534 - TARIFAS!G$2) * TARIFAS!F$2)
</f>
        <v>0</v>
      </c>
      <c r="N534" s="45">
        <f>+L534*TARIFAS!$K$2</f>
        <v>0</v>
      </c>
      <c r="O534" s="45">
        <f t="shared" si="1"/>
        <v>0</v>
      </c>
      <c r="P534" s="45">
        <f>+M534+O534+K534+(+I534-(I534*TARIFAS!$K$2))</f>
        <v>0</v>
      </c>
      <c r="Q534" s="42" t="str">
        <f>CONFERENCIAS!T534</f>
        <v/>
      </c>
      <c r="R534" s="45" t="str">
        <f>CONFERENCIAS!U534</f>
        <v/>
      </c>
      <c r="S534" s="45" t="str">
        <f>CONFERENCIAS!W534</f>
        <v/>
      </c>
      <c r="T534" s="48">
        <f>IF(Q534="",0,
   IF(E534=1,
      IF(H534="Presencial",
         VLOOKUP(D534,TARIFAS!A:K,3,FALSE) + IF(I534="Sí",VLOOKUP(D534,TARIFAS!A:K,5,FALSE),0),
         VLOOKUP(D534,TARIFAS!A:K,4,FALSE) + IF(I534="Sí",VLOOKUP(D534,TARIFAS!A:K,5,FALSE),0)
      ),
      IF(H534="Presencial",
         VLOOKUP(D534,TARIFAS!A:K,9,FALSE) + IF(I534="Sí",VLOOKUP(D534,TARIFAS!A:K,11,FALSE),0),
         VLOOKUP(D534,TARIFAS!A:K,10,FALSE) + IF(I534="Sí",VLOOKUP(D534,TARIFAS!A:K,11,FALSE),0)
      )
   )
)
</f>
        <v>0</v>
      </c>
      <c r="U534" s="45">
        <f>IF(R534="",0,MAX(0,R534 - TARIFAS!G$2) * TARIFAS!F$2)
</f>
        <v>0</v>
      </c>
      <c r="V534" s="45">
        <f>+T534*TARIFAS!$K$2</f>
        <v>0</v>
      </c>
      <c r="W534" s="45">
        <f t="shared" si="2"/>
        <v>0</v>
      </c>
      <c r="X534" s="45">
        <f t="shared" si="3"/>
        <v>0</v>
      </c>
      <c r="Y534" s="45">
        <f t="shared" si="4"/>
        <v>0</v>
      </c>
      <c r="Z534" s="42" t="str">
        <f>CONFERENCIAS!AB534</f>
        <v/>
      </c>
      <c r="AA534" s="42" t="str">
        <f>CONFERENCIAS!AC534</f>
        <v/>
      </c>
      <c r="AB534" s="47" t="str">
        <f t="shared" si="5"/>
        <v/>
      </c>
      <c r="AC534" s="9" t="str">
        <f t="shared" si="6"/>
        <v/>
      </c>
    </row>
    <row r="535">
      <c r="A535" s="42" t="str">
        <f>CONFERENCIAS!A535</f>
        <v/>
      </c>
      <c r="D535" s="42" t="str">
        <f>CONFERENCIAS!C535</f>
        <v/>
      </c>
      <c r="E535" s="42" t="str">
        <f>CONFERENCIAS!K535</f>
        <v/>
      </c>
      <c r="F535" s="49" t="str">
        <f>CONFERENCIAS!J535</f>
        <v/>
      </c>
      <c r="G535" s="42" t="str">
        <f>CONFERENCIAS!O535</f>
        <v/>
      </c>
      <c r="H535" s="42" t="str">
        <f>CONFERENCIAS!X535</f>
        <v/>
      </c>
      <c r="I535" s="42" t="str">
        <f>CONFERENCIAS!AA535</f>
        <v/>
      </c>
      <c r="J535" s="44" t="str">
        <f>CONFERENCIAS!P535</f>
        <v/>
      </c>
      <c r="K535" s="45" t="str">
        <f>CONFERENCIAS!R535</f>
        <v/>
      </c>
      <c r="L535" s="45">
        <f>IF(D535="",0,
 IF(E535=1,
   IF(H535="Presencial",
      VLOOKUP(D535,TARIFAS!A:K,3,FALSE) + IF(I535="Sí",VLOOKUP(D535,TARIFAS!A:K,5,FALSE),0),
      VLOOKUP(D535,TARIFAS!A:K,4,FALSE) + IF(I535="Sí",VLOOKUP(D535,TARIFAS!A:K,5,FALSE),0)
   ),
   IF(H535="Presencial",
      VLOOKUP(D535,TARIFAS!A:K,9,FALSE) + IF(I535="Sí",VLOOKUP(D535,TARIFAS!A:K,11,FALSE),0),
      VLOOKUP(D535,TARIFAS!A:K,10,FALSE) + IF(I535="Sí",VLOOKUP(D535,TARIFAS!A:K,11,FALSE),0)
   )
 )
)
</f>
        <v>0</v>
      </c>
      <c r="M535" s="45">
        <f>IF(J535="",0,MAX(0,J535 - TARIFAS!G$2) * TARIFAS!F$2)
</f>
        <v>0</v>
      </c>
      <c r="N535" s="45">
        <f>+L535*TARIFAS!$K$2</f>
        <v>0</v>
      </c>
      <c r="O535" s="45">
        <f t="shared" si="1"/>
        <v>0</v>
      </c>
      <c r="P535" s="45">
        <f>+M535+O535+K535+(+I535-(I535*TARIFAS!$K$2))</f>
        <v>0</v>
      </c>
      <c r="Q535" s="42" t="str">
        <f>CONFERENCIAS!T535</f>
        <v/>
      </c>
      <c r="R535" s="45" t="str">
        <f>CONFERENCIAS!U535</f>
        <v/>
      </c>
      <c r="S535" s="45" t="str">
        <f>CONFERENCIAS!W535</f>
        <v/>
      </c>
      <c r="T535" s="48">
        <f>IF(Q535="",0,
   IF(E535=1,
      IF(H535="Presencial",
         VLOOKUP(D535,TARIFAS!A:K,3,FALSE) + IF(I535="Sí",VLOOKUP(D535,TARIFAS!A:K,5,FALSE),0),
         VLOOKUP(D535,TARIFAS!A:K,4,FALSE) + IF(I535="Sí",VLOOKUP(D535,TARIFAS!A:K,5,FALSE),0)
      ),
      IF(H535="Presencial",
         VLOOKUP(D535,TARIFAS!A:K,9,FALSE) + IF(I535="Sí",VLOOKUP(D535,TARIFAS!A:K,11,FALSE),0),
         VLOOKUP(D535,TARIFAS!A:K,10,FALSE) + IF(I535="Sí",VLOOKUP(D535,TARIFAS!A:K,11,FALSE),0)
      )
   )
)
</f>
        <v>0</v>
      </c>
      <c r="U535" s="45">
        <f>IF(R535="",0,MAX(0,R535 - TARIFAS!G$2) * TARIFAS!F$2)
</f>
        <v>0</v>
      </c>
      <c r="V535" s="45">
        <f>+T535*TARIFAS!$K$2</f>
        <v>0</v>
      </c>
      <c r="W535" s="45">
        <f t="shared" si="2"/>
        <v>0</v>
      </c>
      <c r="X535" s="45">
        <f t="shared" si="3"/>
        <v>0</v>
      </c>
      <c r="Y535" s="45">
        <f t="shared" si="4"/>
        <v>0</v>
      </c>
      <c r="Z535" s="42" t="str">
        <f>CONFERENCIAS!AB535</f>
        <v/>
      </c>
      <c r="AA535" s="42" t="str">
        <f>CONFERENCIAS!AC535</f>
        <v/>
      </c>
      <c r="AB535" s="47" t="str">
        <f t="shared" si="5"/>
        <v/>
      </c>
      <c r="AC535" s="9" t="str">
        <f t="shared" si="6"/>
        <v/>
      </c>
    </row>
    <row r="536">
      <c r="A536" s="42" t="str">
        <f>CONFERENCIAS!A536</f>
        <v/>
      </c>
      <c r="D536" s="42" t="str">
        <f>CONFERENCIAS!C536</f>
        <v/>
      </c>
      <c r="E536" s="42" t="str">
        <f>CONFERENCIAS!K536</f>
        <v/>
      </c>
      <c r="F536" s="49" t="str">
        <f>CONFERENCIAS!J536</f>
        <v/>
      </c>
      <c r="G536" s="42" t="str">
        <f>CONFERENCIAS!O536</f>
        <v/>
      </c>
      <c r="H536" s="42" t="str">
        <f>CONFERENCIAS!X536</f>
        <v/>
      </c>
      <c r="I536" s="42" t="str">
        <f>CONFERENCIAS!AA536</f>
        <v/>
      </c>
      <c r="J536" s="44" t="str">
        <f>CONFERENCIAS!P536</f>
        <v/>
      </c>
      <c r="K536" s="45" t="str">
        <f>CONFERENCIAS!R536</f>
        <v/>
      </c>
      <c r="L536" s="45">
        <f>IF(D536="",0,
 IF(E536=1,
   IF(H536="Presencial",
      VLOOKUP(D536,TARIFAS!A:K,3,FALSE) + IF(I536="Sí",VLOOKUP(D536,TARIFAS!A:K,5,FALSE),0),
      VLOOKUP(D536,TARIFAS!A:K,4,FALSE) + IF(I536="Sí",VLOOKUP(D536,TARIFAS!A:K,5,FALSE),0)
   ),
   IF(H536="Presencial",
      VLOOKUP(D536,TARIFAS!A:K,9,FALSE) + IF(I536="Sí",VLOOKUP(D536,TARIFAS!A:K,11,FALSE),0),
      VLOOKUP(D536,TARIFAS!A:K,10,FALSE) + IF(I536="Sí",VLOOKUP(D536,TARIFAS!A:K,11,FALSE),0)
   )
 )
)
</f>
        <v>0</v>
      </c>
      <c r="M536" s="45">
        <f>IF(J536="",0,MAX(0,J536 - TARIFAS!G$2) * TARIFAS!F$2)
</f>
        <v>0</v>
      </c>
      <c r="N536" s="45">
        <f>+L536*TARIFAS!$K$2</f>
        <v>0</v>
      </c>
      <c r="O536" s="45">
        <f t="shared" si="1"/>
        <v>0</v>
      </c>
      <c r="P536" s="45">
        <f>+M536+O536+K536+(+I536-(I536*TARIFAS!$K$2))</f>
        <v>0</v>
      </c>
      <c r="Q536" s="42" t="str">
        <f>CONFERENCIAS!T536</f>
        <v/>
      </c>
      <c r="R536" s="45" t="str">
        <f>CONFERENCIAS!U536</f>
        <v/>
      </c>
      <c r="S536" s="45" t="str">
        <f>CONFERENCIAS!W536</f>
        <v/>
      </c>
      <c r="T536" s="48">
        <f>IF(Q536="",0,
   IF(E536=1,
      IF(H536="Presencial",
         VLOOKUP(D536,TARIFAS!A:K,3,FALSE) + IF(I536="Sí",VLOOKUP(D536,TARIFAS!A:K,5,FALSE),0),
         VLOOKUP(D536,TARIFAS!A:K,4,FALSE) + IF(I536="Sí",VLOOKUP(D536,TARIFAS!A:K,5,FALSE),0)
      ),
      IF(H536="Presencial",
         VLOOKUP(D536,TARIFAS!A:K,9,FALSE) + IF(I536="Sí",VLOOKUP(D536,TARIFAS!A:K,11,FALSE),0),
         VLOOKUP(D536,TARIFAS!A:K,10,FALSE) + IF(I536="Sí",VLOOKUP(D536,TARIFAS!A:K,11,FALSE),0)
      )
   )
)
</f>
        <v>0</v>
      </c>
      <c r="U536" s="45">
        <f>IF(R536="",0,MAX(0,R536 - TARIFAS!G$2) * TARIFAS!F$2)
</f>
        <v>0</v>
      </c>
      <c r="V536" s="45">
        <f>+T536*TARIFAS!$K$2</f>
        <v>0</v>
      </c>
      <c r="W536" s="45">
        <f t="shared" si="2"/>
        <v>0</v>
      </c>
      <c r="X536" s="45">
        <f t="shared" si="3"/>
        <v>0</v>
      </c>
      <c r="Y536" s="45">
        <f t="shared" si="4"/>
        <v>0</v>
      </c>
      <c r="Z536" s="42" t="str">
        <f>CONFERENCIAS!AB536</f>
        <v/>
      </c>
      <c r="AA536" s="42" t="str">
        <f>CONFERENCIAS!AC536</f>
        <v/>
      </c>
      <c r="AB536" s="47" t="str">
        <f t="shared" si="5"/>
        <v/>
      </c>
      <c r="AC536" s="9" t="str">
        <f t="shared" si="6"/>
        <v/>
      </c>
    </row>
    <row r="537">
      <c r="A537" s="42" t="str">
        <f>CONFERENCIAS!A537</f>
        <v/>
      </c>
      <c r="D537" s="42" t="str">
        <f>CONFERENCIAS!C537</f>
        <v/>
      </c>
      <c r="E537" s="42" t="str">
        <f>CONFERENCIAS!K537</f>
        <v/>
      </c>
      <c r="F537" s="49" t="str">
        <f>CONFERENCIAS!J537</f>
        <v/>
      </c>
      <c r="G537" s="42" t="str">
        <f>CONFERENCIAS!O537</f>
        <v/>
      </c>
      <c r="H537" s="42" t="str">
        <f>CONFERENCIAS!X537</f>
        <v/>
      </c>
      <c r="I537" s="42" t="str">
        <f>CONFERENCIAS!AA537</f>
        <v/>
      </c>
      <c r="J537" s="44" t="str">
        <f>CONFERENCIAS!P537</f>
        <v/>
      </c>
      <c r="K537" s="45" t="str">
        <f>CONFERENCIAS!R537</f>
        <v/>
      </c>
      <c r="L537" s="45">
        <f>IF(D537="",0,
 IF(E537=1,
   IF(H537="Presencial",
      VLOOKUP(D537,TARIFAS!A:K,3,FALSE) + IF(I537="Sí",VLOOKUP(D537,TARIFAS!A:K,5,FALSE),0),
      VLOOKUP(D537,TARIFAS!A:K,4,FALSE) + IF(I537="Sí",VLOOKUP(D537,TARIFAS!A:K,5,FALSE),0)
   ),
   IF(H537="Presencial",
      VLOOKUP(D537,TARIFAS!A:K,9,FALSE) + IF(I537="Sí",VLOOKUP(D537,TARIFAS!A:K,11,FALSE),0),
      VLOOKUP(D537,TARIFAS!A:K,10,FALSE) + IF(I537="Sí",VLOOKUP(D537,TARIFAS!A:K,11,FALSE),0)
   )
 )
)
</f>
        <v>0</v>
      </c>
      <c r="M537" s="45">
        <f>IF(J537="",0,MAX(0,J537 - TARIFAS!G$2) * TARIFAS!F$2)
</f>
        <v>0</v>
      </c>
      <c r="N537" s="45">
        <f>+L537*TARIFAS!$K$2</f>
        <v>0</v>
      </c>
      <c r="O537" s="45">
        <f t="shared" si="1"/>
        <v>0</v>
      </c>
      <c r="P537" s="45">
        <f>+M537+O537+K537+(+I537-(I537*TARIFAS!$K$2))</f>
        <v>0</v>
      </c>
      <c r="Q537" s="42" t="str">
        <f>CONFERENCIAS!T537</f>
        <v/>
      </c>
      <c r="R537" s="45" t="str">
        <f>CONFERENCIAS!U537</f>
        <v/>
      </c>
      <c r="S537" s="45" t="str">
        <f>CONFERENCIAS!W537</f>
        <v/>
      </c>
      <c r="T537" s="48">
        <f>IF(Q537="",0,
   IF(E537=1,
      IF(H537="Presencial",
         VLOOKUP(D537,TARIFAS!A:K,3,FALSE) + IF(I537="Sí",VLOOKUP(D537,TARIFAS!A:K,5,FALSE),0),
         VLOOKUP(D537,TARIFAS!A:K,4,FALSE) + IF(I537="Sí",VLOOKUP(D537,TARIFAS!A:K,5,FALSE),0)
      ),
      IF(H537="Presencial",
         VLOOKUP(D537,TARIFAS!A:K,9,FALSE) + IF(I537="Sí",VLOOKUP(D537,TARIFAS!A:K,11,FALSE),0),
         VLOOKUP(D537,TARIFAS!A:K,10,FALSE) + IF(I537="Sí",VLOOKUP(D537,TARIFAS!A:K,11,FALSE),0)
      )
   )
)
</f>
        <v>0</v>
      </c>
      <c r="U537" s="45">
        <f>IF(R537="",0,MAX(0,R537 - TARIFAS!G$2) * TARIFAS!F$2)
</f>
        <v>0</v>
      </c>
      <c r="V537" s="45">
        <f>+T537*TARIFAS!$K$2</f>
        <v>0</v>
      </c>
      <c r="W537" s="45">
        <f t="shared" si="2"/>
        <v>0</v>
      </c>
      <c r="X537" s="45">
        <f t="shared" si="3"/>
        <v>0</v>
      </c>
      <c r="Y537" s="45">
        <f t="shared" si="4"/>
        <v>0</v>
      </c>
      <c r="Z537" s="42" t="str">
        <f>CONFERENCIAS!AB537</f>
        <v/>
      </c>
      <c r="AA537" s="42" t="str">
        <f>CONFERENCIAS!AC537</f>
        <v/>
      </c>
      <c r="AB537" s="47" t="str">
        <f t="shared" si="5"/>
        <v/>
      </c>
      <c r="AC537" s="9" t="str">
        <f t="shared" si="6"/>
        <v/>
      </c>
    </row>
    <row r="538">
      <c r="A538" s="42" t="str">
        <f>CONFERENCIAS!A538</f>
        <v/>
      </c>
      <c r="D538" s="42" t="str">
        <f>CONFERENCIAS!C538</f>
        <v/>
      </c>
      <c r="E538" s="42" t="str">
        <f>CONFERENCIAS!K538</f>
        <v/>
      </c>
      <c r="F538" s="49" t="str">
        <f>CONFERENCIAS!J538</f>
        <v/>
      </c>
      <c r="G538" s="42" t="str">
        <f>CONFERENCIAS!O538</f>
        <v/>
      </c>
      <c r="H538" s="42" t="str">
        <f>CONFERENCIAS!X538</f>
        <v/>
      </c>
      <c r="I538" s="42" t="str">
        <f>CONFERENCIAS!AA538</f>
        <v/>
      </c>
      <c r="J538" s="44" t="str">
        <f>CONFERENCIAS!P538</f>
        <v/>
      </c>
      <c r="K538" s="45" t="str">
        <f>CONFERENCIAS!R538</f>
        <v/>
      </c>
      <c r="L538" s="45">
        <f>IF(D538="",0,
 IF(E538=1,
   IF(H538="Presencial",
      VLOOKUP(D538,TARIFAS!A:K,3,FALSE) + IF(I538="Sí",VLOOKUP(D538,TARIFAS!A:K,5,FALSE),0),
      VLOOKUP(D538,TARIFAS!A:K,4,FALSE) + IF(I538="Sí",VLOOKUP(D538,TARIFAS!A:K,5,FALSE),0)
   ),
   IF(H538="Presencial",
      VLOOKUP(D538,TARIFAS!A:K,9,FALSE) + IF(I538="Sí",VLOOKUP(D538,TARIFAS!A:K,11,FALSE),0),
      VLOOKUP(D538,TARIFAS!A:K,10,FALSE) + IF(I538="Sí",VLOOKUP(D538,TARIFAS!A:K,11,FALSE),0)
   )
 )
)
</f>
        <v>0</v>
      </c>
      <c r="M538" s="45">
        <f>IF(J538="",0,MAX(0,J538 - TARIFAS!G$2) * TARIFAS!F$2)
</f>
        <v>0</v>
      </c>
      <c r="N538" s="45">
        <f>+L538*TARIFAS!$K$2</f>
        <v>0</v>
      </c>
      <c r="O538" s="45">
        <f t="shared" si="1"/>
        <v>0</v>
      </c>
      <c r="P538" s="45">
        <f>+M538+O538+K538+(+I538-(I538*TARIFAS!$K$2))</f>
        <v>0</v>
      </c>
      <c r="Q538" s="42" t="str">
        <f>CONFERENCIAS!T538</f>
        <v/>
      </c>
      <c r="R538" s="45" t="str">
        <f>CONFERENCIAS!U538</f>
        <v/>
      </c>
      <c r="S538" s="45" t="str">
        <f>CONFERENCIAS!W538</f>
        <v/>
      </c>
      <c r="T538" s="48">
        <f>IF(Q538="",0,
   IF(E538=1,
      IF(H538="Presencial",
         VLOOKUP(D538,TARIFAS!A:K,3,FALSE) + IF(I538="Sí",VLOOKUP(D538,TARIFAS!A:K,5,FALSE),0),
         VLOOKUP(D538,TARIFAS!A:K,4,FALSE) + IF(I538="Sí",VLOOKUP(D538,TARIFAS!A:K,5,FALSE),0)
      ),
      IF(H538="Presencial",
         VLOOKUP(D538,TARIFAS!A:K,9,FALSE) + IF(I538="Sí",VLOOKUP(D538,TARIFAS!A:K,11,FALSE),0),
         VLOOKUP(D538,TARIFAS!A:K,10,FALSE) + IF(I538="Sí",VLOOKUP(D538,TARIFAS!A:K,11,FALSE),0)
      )
   )
)
</f>
        <v>0</v>
      </c>
      <c r="U538" s="45">
        <f>IF(R538="",0,MAX(0,R538 - TARIFAS!G$2) * TARIFAS!F$2)
</f>
        <v>0</v>
      </c>
      <c r="V538" s="45">
        <f>+T538*TARIFAS!$K$2</f>
        <v>0</v>
      </c>
      <c r="W538" s="45">
        <f t="shared" si="2"/>
        <v>0</v>
      </c>
      <c r="X538" s="45">
        <f t="shared" si="3"/>
        <v>0</v>
      </c>
      <c r="Y538" s="45">
        <f t="shared" si="4"/>
        <v>0</v>
      </c>
      <c r="Z538" s="42" t="str">
        <f>CONFERENCIAS!AB538</f>
        <v/>
      </c>
      <c r="AA538" s="42" t="str">
        <f>CONFERENCIAS!AC538</f>
        <v/>
      </c>
      <c r="AB538" s="47" t="str">
        <f t="shared" si="5"/>
        <v/>
      </c>
      <c r="AC538" s="9" t="str">
        <f t="shared" si="6"/>
        <v/>
      </c>
    </row>
    <row r="539">
      <c r="A539" s="42" t="str">
        <f>CONFERENCIAS!A539</f>
        <v/>
      </c>
      <c r="D539" s="42" t="str">
        <f>CONFERENCIAS!C539</f>
        <v/>
      </c>
      <c r="E539" s="42" t="str">
        <f>CONFERENCIAS!K539</f>
        <v/>
      </c>
      <c r="F539" s="49" t="str">
        <f>CONFERENCIAS!J539</f>
        <v/>
      </c>
      <c r="G539" s="42" t="str">
        <f>CONFERENCIAS!O539</f>
        <v/>
      </c>
      <c r="H539" s="42" t="str">
        <f>CONFERENCIAS!X539</f>
        <v/>
      </c>
      <c r="I539" s="42" t="str">
        <f>CONFERENCIAS!AA539</f>
        <v/>
      </c>
      <c r="J539" s="44" t="str">
        <f>CONFERENCIAS!P539</f>
        <v/>
      </c>
      <c r="K539" s="45" t="str">
        <f>CONFERENCIAS!R539</f>
        <v/>
      </c>
      <c r="L539" s="45">
        <f>IF(D539="",0,
 IF(E539=1,
   IF(H539="Presencial",
      VLOOKUP(D539,TARIFAS!A:K,3,FALSE) + IF(I539="Sí",VLOOKUP(D539,TARIFAS!A:K,5,FALSE),0),
      VLOOKUP(D539,TARIFAS!A:K,4,FALSE) + IF(I539="Sí",VLOOKUP(D539,TARIFAS!A:K,5,FALSE),0)
   ),
   IF(H539="Presencial",
      VLOOKUP(D539,TARIFAS!A:K,9,FALSE) + IF(I539="Sí",VLOOKUP(D539,TARIFAS!A:K,11,FALSE),0),
      VLOOKUP(D539,TARIFAS!A:K,10,FALSE) + IF(I539="Sí",VLOOKUP(D539,TARIFAS!A:K,11,FALSE),0)
   )
 )
)
</f>
        <v>0</v>
      </c>
      <c r="M539" s="45">
        <f>IF(J539="",0,MAX(0,J539 - TARIFAS!G$2) * TARIFAS!F$2)
</f>
        <v>0</v>
      </c>
      <c r="N539" s="45">
        <f>+L539*TARIFAS!$K$2</f>
        <v>0</v>
      </c>
      <c r="O539" s="45">
        <f t="shared" si="1"/>
        <v>0</v>
      </c>
      <c r="P539" s="45">
        <f>+M539+O539+K539+(+I539-(I539*TARIFAS!$K$2))</f>
        <v>0</v>
      </c>
      <c r="Q539" s="42" t="str">
        <f>CONFERENCIAS!T539</f>
        <v/>
      </c>
      <c r="R539" s="45" t="str">
        <f>CONFERENCIAS!U539</f>
        <v/>
      </c>
      <c r="S539" s="45" t="str">
        <f>CONFERENCIAS!W539</f>
        <v/>
      </c>
      <c r="T539" s="48">
        <f>IF(Q539="",0,
   IF(E539=1,
      IF(H539="Presencial",
         VLOOKUP(D539,TARIFAS!A:K,3,FALSE) + IF(I539="Sí",VLOOKUP(D539,TARIFAS!A:K,5,FALSE),0),
         VLOOKUP(D539,TARIFAS!A:K,4,FALSE) + IF(I539="Sí",VLOOKUP(D539,TARIFAS!A:K,5,FALSE),0)
      ),
      IF(H539="Presencial",
         VLOOKUP(D539,TARIFAS!A:K,9,FALSE) + IF(I539="Sí",VLOOKUP(D539,TARIFAS!A:K,11,FALSE),0),
         VLOOKUP(D539,TARIFAS!A:K,10,FALSE) + IF(I539="Sí",VLOOKUP(D539,TARIFAS!A:K,11,FALSE),0)
      )
   )
)
</f>
        <v>0</v>
      </c>
      <c r="U539" s="45">
        <f>IF(R539="",0,MAX(0,R539 - TARIFAS!G$2) * TARIFAS!F$2)
</f>
        <v>0</v>
      </c>
      <c r="V539" s="45">
        <f>+T539*TARIFAS!$K$2</f>
        <v>0</v>
      </c>
      <c r="W539" s="45">
        <f t="shared" si="2"/>
        <v>0</v>
      </c>
      <c r="X539" s="45">
        <f t="shared" si="3"/>
        <v>0</v>
      </c>
      <c r="Y539" s="45">
        <f t="shared" si="4"/>
        <v>0</v>
      </c>
      <c r="Z539" s="42" t="str">
        <f>CONFERENCIAS!AB539</f>
        <v/>
      </c>
      <c r="AA539" s="42" t="str">
        <f>CONFERENCIAS!AC539</f>
        <v/>
      </c>
      <c r="AB539" s="47" t="str">
        <f t="shared" si="5"/>
        <v/>
      </c>
      <c r="AC539" s="9" t="str">
        <f t="shared" si="6"/>
        <v/>
      </c>
    </row>
    <row r="540">
      <c r="A540" s="42" t="str">
        <f>CONFERENCIAS!A540</f>
        <v/>
      </c>
      <c r="D540" s="42" t="str">
        <f>CONFERENCIAS!C540</f>
        <v/>
      </c>
      <c r="E540" s="42" t="str">
        <f>CONFERENCIAS!K540</f>
        <v/>
      </c>
      <c r="F540" s="49" t="str">
        <f>CONFERENCIAS!J540</f>
        <v/>
      </c>
      <c r="G540" s="42" t="str">
        <f>CONFERENCIAS!O540</f>
        <v/>
      </c>
      <c r="H540" s="42" t="str">
        <f>CONFERENCIAS!X540</f>
        <v/>
      </c>
      <c r="I540" s="42" t="str">
        <f>CONFERENCIAS!AA540</f>
        <v/>
      </c>
      <c r="J540" s="44" t="str">
        <f>CONFERENCIAS!P540</f>
        <v/>
      </c>
      <c r="K540" s="45" t="str">
        <f>CONFERENCIAS!R540</f>
        <v/>
      </c>
      <c r="L540" s="45">
        <f>IF(D540="",0,
 IF(E540=1,
   IF(H540="Presencial",
      VLOOKUP(D540,TARIFAS!A:K,3,FALSE) + IF(I540="Sí",VLOOKUP(D540,TARIFAS!A:K,5,FALSE),0),
      VLOOKUP(D540,TARIFAS!A:K,4,FALSE) + IF(I540="Sí",VLOOKUP(D540,TARIFAS!A:K,5,FALSE),0)
   ),
   IF(H540="Presencial",
      VLOOKUP(D540,TARIFAS!A:K,9,FALSE) + IF(I540="Sí",VLOOKUP(D540,TARIFAS!A:K,11,FALSE),0),
      VLOOKUP(D540,TARIFAS!A:K,10,FALSE) + IF(I540="Sí",VLOOKUP(D540,TARIFAS!A:K,11,FALSE),0)
   )
 )
)
</f>
        <v>0</v>
      </c>
      <c r="M540" s="45">
        <f>IF(J540="",0,MAX(0,J540 - TARIFAS!G$2) * TARIFAS!F$2)
</f>
        <v>0</v>
      </c>
      <c r="N540" s="45">
        <f>+L540*TARIFAS!$K$2</f>
        <v>0</v>
      </c>
      <c r="O540" s="45">
        <f t="shared" si="1"/>
        <v>0</v>
      </c>
      <c r="P540" s="45">
        <f>+M540+O540+K540+(+I540-(I540*TARIFAS!$K$2))</f>
        <v>0</v>
      </c>
      <c r="Q540" s="42" t="str">
        <f>CONFERENCIAS!T540</f>
        <v/>
      </c>
      <c r="R540" s="45" t="str">
        <f>CONFERENCIAS!U540</f>
        <v/>
      </c>
      <c r="S540" s="45" t="str">
        <f>CONFERENCIAS!W540</f>
        <v/>
      </c>
      <c r="T540" s="48">
        <f>IF(Q540="",0,
   IF(E540=1,
      IF(H540="Presencial",
         VLOOKUP(D540,TARIFAS!A:K,3,FALSE) + IF(I540="Sí",VLOOKUP(D540,TARIFAS!A:K,5,FALSE),0),
         VLOOKUP(D540,TARIFAS!A:K,4,FALSE) + IF(I540="Sí",VLOOKUP(D540,TARIFAS!A:K,5,FALSE),0)
      ),
      IF(H540="Presencial",
         VLOOKUP(D540,TARIFAS!A:K,9,FALSE) + IF(I540="Sí",VLOOKUP(D540,TARIFAS!A:K,11,FALSE),0),
         VLOOKUP(D540,TARIFAS!A:K,10,FALSE) + IF(I540="Sí",VLOOKUP(D540,TARIFAS!A:K,11,FALSE),0)
      )
   )
)
</f>
        <v>0</v>
      </c>
      <c r="U540" s="45">
        <f>IF(R540="",0,MAX(0,R540 - TARIFAS!G$2) * TARIFAS!F$2)
</f>
        <v>0</v>
      </c>
      <c r="V540" s="45">
        <f>+T540*TARIFAS!$K$2</f>
        <v>0</v>
      </c>
      <c r="W540" s="45">
        <f t="shared" si="2"/>
        <v>0</v>
      </c>
      <c r="X540" s="45">
        <f t="shared" si="3"/>
        <v>0</v>
      </c>
      <c r="Y540" s="45">
        <f t="shared" si="4"/>
        <v>0</v>
      </c>
      <c r="Z540" s="42" t="str">
        <f>CONFERENCIAS!AB540</f>
        <v/>
      </c>
      <c r="AA540" s="42" t="str">
        <f>CONFERENCIAS!AC540</f>
        <v/>
      </c>
      <c r="AB540" s="47" t="str">
        <f t="shared" si="5"/>
        <v/>
      </c>
      <c r="AC540" s="9" t="str">
        <f t="shared" si="6"/>
        <v/>
      </c>
    </row>
    <row r="541">
      <c r="A541" s="42" t="str">
        <f>CONFERENCIAS!A541</f>
        <v/>
      </c>
      <c r="D541" s="42" t="str">
        <f>CONFERENCIAS!C541</f>
        <v/>
      </c>
      <c r="E541" s="42" t="str">
        <f>CONFERENCIAS!K541</f>
        <v/>
      </c>
      <c r="F541" s="49" t="str">
        <f>CONFERENCIAS!J541</f>
        <v/>
      </c>
      <c r="G541" s="42" t="str">
        <f>CONFERENCIAS!O541</f>
        <v/>
      </c>
      <c r="H541" s="42" t="str">
        <f>CONFERENCIAS!X541</f>
        <v/>
      </c>
      <c r="I541" s="42" t="str">
        <f>CONFERENCIAS!AA541</f>
        <v/>
      </c>
      <c r="J541" s="44" t="str">
        <f>CONFERENCIAS!P541</f>
        <v/>
      </c>
      <c r="K541" s="45" t="str">
        <f>CONFERENCIAS!R541</f>
        <v/>
      </c>
      <c r="L541" s="45">
        <f>IF(D541="",0,
 IF(E541=1,
   IF(H541="Presencial",
      VLOOKUP(D541,TARIFAS!A:K,3,FALSE) + IF(I541="Sí",VLOOKUP(D541,TARIFAS!A:K,5,FALSE),0),
      VLOOKUP(D541,TARIFAS!A:K,4,FALSE) + IF(I541="Sí",VLOOKUP(D541,TARIFAS!A:K,5,FALSE),0)
   ),
   IF(H541="Presencial",
      VLOOKUP(D541,TARIFAS!A:K,9,FALSE) + IF(I541="Sí",VLOOKUP(D541,TARIFAS!A:K,11,FALSE),0),
      VLOOKUP(D541,TARIFAS!A:K,10,FALSE) + IF(I541="Sí",VLOOKUP(D541,TARIFAS!A:K,11,FALSE),0)
   )
 )
)
</f>
        <v>0</v>
      </c>
      <c r="M541" s="45">
        <f>IF(J541="",0,MAX(0,J541 - TARIFAS!G$2) * TARIFAS!F$2)
</f>
        <v>0</v>
      </c>
      <c r="N541" s="45">
        <f>+L541*TARIFAS!$K$2</f>
        <v>0</v>
      </c>
      <c r="O541" s="45">
        <f t="shared" si="1"/>
        <v>0</v>
      </c>
      <c r="P541" s="45">
        <f>+M541+O541+K541+(+I541-(I541*TARIFAS!$K$2))</f>
        <v>0</v>
      </c>
      <c r="Q541" s="42" t="str">
        <f>CONFERENCIAS!T541</f>
        <v/>
      </c>
      <c r="R541" s="45" t="str">
        <f>CONFERENCIAS!U541</f>
        <v/>
      </c>
      <c r="S541" s="45" t="str">
        <f>CONFERENCIAS!W541</f>
        <v/>
      </c>
      <c r="T541" s="48">
        <f>IF(Q541="",0,
   IF(E541=1,
      IF(H541="Presencial",
         VLOOKUP(D541,TARIFAS!A:K,3,FALSE) + IF(I541="Sí",VLOOKUP(D541,TARIFAS!A:K,5,FALSE),0),
         VLOOKUP(D541,TARIFAS!A:K,4,FALSE) + IF(I541="Sí",VLOOKUP(D541,TARIFAS!A:K,5,FALSE),0)
      ),
      IF(H541="Presencial",
         VLOOKUP(D541,TARIFAS!A:K,9,FALSE) + IF(I541="Sí",VLOOKUP(D541,TARIFAS!A:K,11,FALSE),0),
         VLOOKUP(D541,TARIFAS!A:K,10,FALSE) + IF(I541="Sí",VLOOKUP(D541,TARIFAS!A:K,11,FALSE),0)
      )
   )
)
</f>
        <v>0</v>
      </c>
      <c r="U541" s="45">
        <f>IF(R541="",0,MAX(0,R541 - TARIFAS!G$2) * TARIFAS!F$2)
</f>
        <v>0</v>
      </c>
      <c r="V541" s="45">
        <f>+T541*TARIFAS!$K$2</f>
        <v>0</v>
      </c>
      <c r="W541" s="45">
        <f t="shared" si="2"/>
        <v>0</v>
      </c>
      <c r="X541" s="45">
        <f t="shared" si="3"/>
        <v>0</v>
      </c>
      <c r="Y541" s="45">
        <f t="shared" si="4"/>
        <v>0</v>
      </c>
      <c r="Z541" s="42" t="str">
        <f>CONFERENCIAS!AB541</f>
        <v/>
      </c>
      <c r="AA541" s="42" t="str">
        <f>CONFERENCIAS!AC541</f>
        <v/>
      </c>
      <c r="AB541" s="47" t="str">
        <f t="shared" si="5"/>
        <v/>
      </c>
      <c r="AC541" s="9" t="str">
        <f t="shared" si="6"/>
        <v/>
      </c>
    </row>
    <row r="542">
      <c r="A542" s="42" t="str">
        <f>CONFERENCIAS!A542</f>
        <v/>
      </c>
      <c r="D542" s="42" t="str">
        <f>CONFERENCIAS!C542</f>
        <v/>
      </c>
      <c r="E542" s="42" t="str">
        <f>CONFERENCIAS!K542</f>
        <v/>
      </c>
      <c r="F542" s="49" t="str">
        <f>CONFERENCIAS!J542</f>
        <v/>
      </c>
      <c r="G542" s="42" t="str">
        <f>CONFERENCIAS!O542</f>
        <v/>
      </c>
      <c r="H542" s="42" t="str">
        <f>CONFERENCIAS!X542</f>
        <v/>
      </c>
      <c r="I542" s="42" t="str">
        <f>CONFERENCIAS!AA542</f>
        <v/>
      </c>
      <c r="J542" s="44" t="str">
        <f>CONFERENCIAS!P542</f>
        <v/>
      </c>
      <c r="K542" s="45" t="str">
        <f>CONFERENCIAS!R542</f>
        <v/>
      </c>
      <c r="L542" s="45">
        <f>IF(D542="",0,
 IF(E542=1,
   IF(H542="Presencial",
      VLOOKUP(D542,TARIFAS!A:K,3,FALSE) + IF(I542="Sí",VLOOKUP(D542,TARIFAS!A:K,5,FALSE),0),
      VLOOKUP(D542,TARIFAS!A:K,4,FALSE) + IF(I542="Sí",VLOOKUP(D542,TARIFAS!A:K,5,FALSE),0)
   ),
   IF(H542="Presencial",
      VLOOKUP(D542,TARIFAS!A:K,9,FALSE) + IF(I542="Sí",VLOOKUP(D542,TARIFAS!A:K,11,FALSE),0),
      VLOOKUP(D542,TARIFAS!A:K,10,FALSE) + IF(I542="Sí",VLOOKUP(D542,TARIFAS!A:K,11,FALSE),0)
   )
 )
)
</f>
        <v>0</v>
      </c>
      <c r="M542" s="45">
        <f>IF(J542="",0,MAX(0,J542 - TARIFAS!G$2) * TARIFAS!F$2)
</f>
        <v>0</v>
      </c>
      <c r="N542" s="45">
        <f>+L542*TARIFAS!$K$2</f>
        <v>0</v>
      </c>
      <c r="O542" s="45">
        <f t="shared" si="1"/>
        <v>0</v>
      </c>
      <c r="P542" s="45">
        <f>+M542+O542+K542+(+I542-(I542*TARIFAS!$K$2))</f>
        <v>0</v>
      </c>
      <c r="Q542" s="42" t="str">
        <f>CONFERENCIAS!T542</f>
        <v/>
      </c>
      <c r="R542" s="45" t="str">
        <f>CONFERENCIAS!U542</f>
        <v/>
      </c>
      <c r="S542" s="45" t="str">
        <f>CONFERENCIAS!W542</f>
        <v/>
      </c>
      <c r="T542" s="48">
        <f>IF(Q542="",0,
   IF(E542=1,
      IF(H542="Presencial",
         VLOOKUP(D542,TARIFAS!A:K,3,FALSE) + IF(I542="Sí",VLOOKUP(D542,TARIFAS!A:K,5,FALSE),0),
         VLOOKUP(D542,TARIFAS!A:K,4,FALSE) + IF(I542="Sí",VLOOKUP(D542,TARIFAS!A:K,5,FALSE),0)
      ),
      IF(H542="Presencial",
         VLOOKUP(D542,TARIFAS!A:K,9,FALSE) + IF(I542="Sí",VLOOKUP(D542,TARIFAS!A:K,11,FALSE),0),
         VLOOKUP(D542,TARIFAS!A:K,10,FALSE) + IF(I542="Sí",VLOOKUP(D542,TARIFAS!A:K,11,FALSE),0)
      )
   )
)
</f>
        <v>0</v>
      </c>
      <c r="U542" s="45">
        <f>IF(R542="",0,MAX(0,R542 - TARIFAS!G$2) * TARIFAS!F$2)
</f>
        <v>0</v>
      </c>
      <c r="V542" s="45">
        <f>+T542*TARIFAS!$K$2</f>
        <v>0</v>
      </c>
      <c r="W542" s="45">
        <f t="shared" si="2"/>
        <v>0</v>
      </c>
      <c r="X542" s="45">
        <f t="shared" si="3"/>
        <v>0</v>
      </c>
      <c r="Y542" s="45">
        <f t="shared" si="4"/>
        <v>0</v>
      </c>
      <c r="Z542" s="42" t="str">
        <f>CONFERENCIAS!AB542</f>
        <v/>
      </c>
      <c r="AA542" s="42" t="str">
        <f>CONFERENCIAS!AC542</f>
        <v/>
      </c>
      <c r="AB542" s="47" t="str">
        <f t="shared" si="5"/>
        <v/>
      </c>
      <c r="AC542" s="9" t="str">
        <f t="shared" si="6"/>
        <v/>
      </c>
    </row>
    <row r="543">
      <c r="A543" s="42" t="str">
        <f>CONFERENCIAS!A543</f>
        <v/>
      </c>
      <c r="D543" s="42" t="str">
        <f>CONFERENCIAS!C543</f>
        <v/>
      </c>
      <c r="E543" s="42" t="str">
        <f>CONFERENCIAS!K543</f>
        <v/>
      </c>
      <c r="F543" s="49" t="str">
        <f>CONFERENCIAS!J543</f>
        <v/>
      </c>
      <c r="G543" s="42" t="str">
        <f>CONFERENCIAS!O543</f>
        <v/>
      </c>
      <c r="H543" s="42" t="str">
        <f>CONFERENCIAS!X543</f>
        <v/>
      </c>
      <c r="I543" s="42" t="str">
        <f>CONFERENCIAS!AA543</f>
        <v/>
      </c>
      <c r="J543" s="44" t="str">
        <f>CONFERENCIAS!P543</f>
        <v/>
      </c>
      <c r="K543" s="45" t="str">
        <f>CONFERENCIAS!R543</f>
        <v/>
      </c>
      <c r="L543" s="45">
        <f>IF(D543="",0,
 IF(E543=1,
   IF(H543="Presencial",
      VLOOKUP(D543,TARIFAS!A:K,3,FALSE) + IF(I543="Sí",VLOOKUP(D543,TARIFAS!A:K,5,FALSE),0),
      VLOOKUP(D543,TARIFAS!A:K,4,FALSE) + IF(I543="Sí",VLOOKUP(D543,TARIFAS!A:K,5,FALSE),0)
   ),
   IF(H543="Presencial",
      VLOOKUP(D543,TARIFAS!A:K,9,FALSE) + IF(I543="Sí",VLOOKUP(D543,TARIFAS!A:K,11,FALSE),0),
      VLOOKUP(D543,TARIFAS!A:K,10,FALSE) + IF(I543="Sí",VLOOKUP(D543,TARIFAS!A:K,11,FALSE),0)
   )
 )
)
</f>
        <v>0</v>
      </c>
      <c r="M543" s="45">
        <f>IF(J543="",0,MAX(0,J543 - TARIFAS!G$2) * TARIFAS!F$2)
</f>
        <v>0</v>
      </c>
      <c r="N543" s="45">
        <f>+L543*TARIFAS!$K$2</f>
        <v>0</v>
      </c>
      <c r="O543" s="45">
        <f t="shared" si="1"/>
        <v>0</v>
      </c>
      <c r="P543" s="45">
        <f>+M543+O543+K543+(+I543-(I543*TARIFAS!$K$2))</f>
        <v>0</v>
      </c>
      <c r="Q543" s="42" t="str">
        <f>CONFERENCIAS!T543</f>
        <v/>
      </c>
      <c r="R543" s="45" t="str">
        <f>CONFERENCIAS!U543</f>
        <v/>
      </c>
      <c r="S543" s="45" t="str">
        <f>CONFERENCIAS!W543</f>
        <v/>
      </c>
      <c r="T543" s="48">
        <f>IF(Q543="",0,
   IF(E543=1,
      IF(H543="Presencial",
         VLOOKUP(D543,TARIFAS!A:K,3,FALSE) + IF(I543="Sí",VLOOKUP(D543,TARIFAS!A:K,5,FALSE),0),
         VLOOKUP(D543,TARIFAS!A:K,4,FALSE) + IF(I543="Sí",VLOOKUP(D543,TARIFAS!A:K,5,FALSE),0)
      ),
      IF(H543="Presencial",
         VLOOKUP(D543,TARIFAS!A:K,9,FALSE) + IF(I543="Sí",VLOOKUP(D543,TARIFAS!A:K,11,FALSE),0),
         VLOOKUP(D543,TARIFAS!A:K,10,FALSE) + IF(I543="Sí",VLOOKUP(D543,TARIFAS!A:K,11,FALSE),0)
      )
   )
)
</f>
        <v>0</v>
      </c>
      <c r="U543" s="45">
        <f>IF(R543="",0,MAX(0,R543 - TARIFAS!G$2) * TARIFAS!F$2)
</f>
        <v>0</v>
      </c>
      <c r="V543" s="45">
        <f>+T543*TARIFAS!$K$2</f>
        <v>0</v>
      </c>
      <c r="W543" s="45">
        <f t="shared" si="2"/>
        <v>0</v>
      </c>
      <c r="X543" s="45">
        <f t="shared" si="3"/>
        <v>0</v>
      </c>
      <c r="Y543" s="45">
        <f t="shared" si="4"/>
        <v>0</v>
      </c>
      <c r="Z543" s="42" t="str">
        <f>CONFERENCIAS!AB543</f>
        <v/>
      </c>
      <c r="AA543" s="42" t="str">
        <f>CONFERENCIAS!AC543</f>
        <v/>
      </c>
      <c r="AB543" s="47" t="str">
        <f t="shared" si="5"/>
        <v/>
      </c>
      <c r="AC543" s="9" t="str">
        <f t="shared" si="6"/>
        <v/>
      </c>
    </row>
    <row r="544">
      <c r="A544" s="42" t="str">
        <f>CONFERENCIAS!A544</f>
        <v/>
      </c>
      <c r="D544" s="42" t="str">
        <f>CONFERENCIAS!C544</f>
        <v/>
      </c>
      <c r="E544" s="42" t="str">
        <f>CONFERENCIAS!K544</f>
        <v/>
      </c>
      <c r="F544" s="49" t="str">
        <f>CONFERENCIAS!J544</f>
        <v/>
      </c>
      <c r="G544" s="42" t="str">
        <f>CONFERENCIAS!O544</f>
        <v/>
      </c>
      <c r="H544" s="42" t="str">
        <f>CONFERENCIAS!X544</f>
        <v/>
      </c>
      <c r="I544" s="42" t="str">
        <f>CONFERENCIAS!AA544</f>
        <v/>
      </c>
      <c r="J544" s="44" t="str">
        <f>CONFERENCIAS!P544</f>
        <v/>
      </c>
      <c r="K544" s="45" t="str">
        <f>CONFERENCIAS!R544</f>
        <v/>
      </c>
      <c r="L544" s="45">
        <f>IF(D544="",0,
 IF(E544=1,
   IF(H544="Presencial",
      VLOOKUP(D544,TARIFAS!A:K,3,FALSE) + IF(I544="Sí",VLOOKUP(D544,TARIFAS!A:K,5,FALSE),0),
      VLOOKUP(D544,TARIFAS!A:K,4,FALSE) + IF(I544="Sí",VLOOKUP(D544,TARIFAS!A:K,5,FALSE),0)
   ),
   IF(H544="Presencial",
      VLOOKUP(D544,TARIFAS!A:K,9,FALSE) + IF(I544="Sí",VLOOKUP(D544,TARIFAS!A:K,11,FALSE),0),
      VLOOKUP(D544,TARIFAS!A:K,10,FALSE) + IF(I544="Sí",VLOOKUP(D544,TARIFAS!A:K,11,FALSE),0)
   )
 )
)
</f>
        <v>0</v>
      </c>
      <c r="M544" s="45">
        <f>IF(J544="",0,MAX(0,J544 - TARIFAS!G$2) * TARIFAS!F$2)
</f>
        <v>0</v>
      </c>
      <c r="N544" s="45">
        <f>+L544*TARIFAS!$K$2</f>
        <v>0</v>
      </c>
      <c r="O544" s="45">
        <f t="shared" si="1"/>
        <v>0</v>
      </c>
      <c r="P544" s="45">
        <f>+M544+O544+K544+(+I544-(I544*TARIFAS!$K$2))</f>
        <v>0</v>
      </c>
      <c r="Q544" s="42" t="str">
        <f>CONFERENCIAS!T544</f>
        <v/>
      </c>
      <c r="R544" s="45" t="str">
        <f>CONFERENCIAS!U544</f>
        <v/>
      </c>
      <c r="S544" s="45" t="str">
        <f>CONFERENCIAS!W544</f>
        <v/>
      </c>
      <c r="T544" s="48">
        <f>IF(Q544="",0,
   IF(E544=1,
      IF(H544="Presencial",
         VLOOKUP(D544,TARIFAS!A:K,3,FALSE) + IF(I544="Sí",VLOOKUP(D544,TARIFAS!A:K,5,FALSE),0),
         VLOOKUP(D544,TARIFAS!A:K,4,FALSE) + IF(I544="Sí",VLOOKUP(D544,TARIFAS!A:K,5,FALSE),0)
      ),
      IF(H544="Presencial",
         VLOOKUP(D544,TARIFAS!A:K,9,FALSE) + IF(I544="Sí",VLOOKUP(D544,TARIFAS!A:K,11,FALSE),0),
         VLOOKUP(D544,TARIFAS!A:K,10,FALSE) + IF(I544="Sí",VLOOKUP(D544,TARIFAS!A:K,11,FALSE),0)
      )
   )
)
</f>
        <v>0</v>
      </c>
      <c r="U544" s="45">
        <f>IF(R544="",0,MAX(0,R544 - TARIFAS!G$2) * TARIFAS!F$2)
</f>
        <v>0</v>
      </c>
      <c r="V544" s="45">
        <f>+T544*TARIFAS!$K$2</f>
        <v>0</v>
      </c>
      <c r="W544" s="45">
        <f t="shared" si="2"/>
        <v>0</v>
      </c>
      <c r="X544" s="45">
        <f t="shared" si="3"/>
        <v>0</v>
      </c>
      <c r="Y544" s="45">
        <f t="shared" si="4"/>
        <v>0</v>
      </c>
      <c r="Z544" s="42" t="str">
        <f>CONFERENCIAS!AB544</f>
        <v/>
      </c>
      <c r="AA544" s="42" t="str">
        <f>CONFERENCIAS!AC544</f>
        <v/>
      </c>
      <c r="AB544" s="47" t="str">
        <f t="shared" si="5"/>
        <v/>
      </c>
      <c r="AC544" s="9" t="str">
        <f t="shared" si="6"/>
        <v/>
      </c>
    </row>
    <row r="545">
      <c r="A545" s="42" t="str">
        <f>CONFERENCIAS!A545</f>
        <v/>
      </c>
      <c r="D545" s="42" t="str">
        <f>CONFERENCIAS!C545</f>
        <v/>
      </c>
      <c r="E545" s="42" t="str">
        <f>CONFERENCIAS!K545</f>
        <v/>
      </c>
      <c r="F545" s="49" t="str">
        <f>CONFERENCIAS!J545</f>
        <v/>
      </c>
      <c r="G545" s="42" t="str">
        <f>CONFERENCIAS!O545</f>
        <v/>
      </c>
      <c r="H545" s="42" t="str">
        <f>CONFERENCIAS!X545</f>
        <v/>
      </c>
      <c r="I545" s="42" t="str">
        <f>CONFERENCIAS!AA545</f>
        <v/>
      </c>
      <c r="J545" s="44" t="str">
        <f>CONFERENCIAS!P545</f>
        <v/>
      </c>
      <c r="K545" s="45" t="str">
        <f>CONFERENCIAS!R545</f>
        <v/>
      </c>
      <c r="L545" s="45">
        <f>IF(D545="",0,
 IF(E545=1,
   IF(H545="Presencial",
      VLOOKUP(D545,TARIFAS!A:K,3,FALSE) + IF(I545="Sí",VLOOKUP(D545,TARIFAS!A:K,5,FALSE),0),
      VLOOKUP(D545,TARIFAS!A:K,4,FALSE) + IF(I545="Sí",VLOOKUP(D545,TARIFAS!A:K,5,FALSE),0)
   ),
   IF(H545="Presencial",
      VLOOKUP(D545,TARIFAS!A:K,9,FALSE) + IF(I545="Sí",VLOOKUP(D545,TARIFAS!A:K,11,FALSE),0),
      VLOOKUP(D545,TARIFAS!A:K,10,FALSE) + IF(I545="Sí",VLOOKUP(D545,TARIFAS!A:K,11,FALSE),0)
   )
 )
)
</f>
        <v>0</v>
      </c>
      <c r="M545" s="45">
        <f>IF(J545="",0,MAX(0,J545 - TARIFAS!G$2) * TARIFAS!F$2)
</f>
        <v>0</v>
      </c>
      <c r="N545" s="45">
        <f>+L545*TARIFAS!$K$2</f>
        <v>0</v>
      </c>
      <c r="O545" s="45">
        <f t="shared" si="1"/>
        <v>0</v>
      </c>
      <c r="P545" s="45">
        <f>+M545+O545+K545+(+I545-(I545*TARIFAS!$K$2))</f>
        <v>0</v>
      </c>
      <c r="Q545" s="42" t="str">
        <f>CONFERENCIAS!T545</f>
        <v/>
      </c>
      <c r="R545" s="45" t="str">
        <f>CONFERENCIAS!U545</f>
        <v/>
      </c>
      <c r="S545" s="45" t="str">
        <f>CONFERENCIAS!W545</f>
        <v/>
      </c>
      <c r="T545" s="48">
        <f>IF(Q545="",0,
   IF(E545=1,
      IF(H545="Presencial",
         VLOOKUP(D545,TARIFAS!A:K,3,FALSE) + IF(I545="Sí",VLOOKUP(D545,TARIFAS!A:K,5,FALSE),0),
         VLOOKUP(D545,TARIFAS!A:K,4,FALSE) + IF(I545="Sí",VLOOKUP(D545,TARIFAS!A:K,5,FALSE),0)
      ),
      IF(H545="Presencial",
         VLOOKUP(D545,TARIFAS!A:K,9,FALSE) + IF(I545="Sí",VLOOKUP(D545,TARIFAS!A:K,11,FALSE),0),
         VLOOKUP(D545,TARIFAS!A:K,10,FALSE) + IF(I545="Sí",VLOOKUP(D545,TARIFAS!A:K,11,FALSE),0)
      )
   )
)
</f>
        <v>0</v>
      </c>
      <c r="U545" s="45">
        <f>IF(R545="",0,MAX(0,R545 - TARIFAS!G$2) * TARIFAS!F$2)
</f>
        <v>0</v>
      </c>
      <c r="V545" s="45">
        <f>+T545*TARIFAS!$K$2</f>
        <v>0</v>
      </c>
      <c r="W545" s="45">
        <f t="shared" si="2"/>
        <v>0</v>
      </c>
      <c r="X545" s="45">
        <f t="shared" si="3"/>
        <v>0</v>
      </c>
      <c r="Y545" s="45">
        <f t="shared" si="4"/>
        <v>0</v>
      </c>
      <c r="Z545" s="42" t="str">
        <f>CONFERENCIAS!AB545</f>
        <v/>
      </c>
      <c r="AA545" s="42" t="str">
        <f>CONFERENCIAS!AC545</f>
        <v/>
      </c>
      <c r="AB545" s="47" t="str">
        <f t="shared" si="5"/>
        <v/>
      </c>
      <c r="AC545" s="9" t="str">
        <f t="shared" si="6"/>
        <v/>
      </c>
    </row>
    <row r="546">
      <c r="A546" s="42" t="str">
        <f>CONFERENCIAS!A546</f>
        <v/>
      </c>
      <c r="D546" s="42" t="str">
        <f>CONFERENCIAS!C546</f>
        <v/>
      </c>
      <c r="E546" s="42" t="str">
        <f>CONFERENCIAS!K546</f>
        <v/>
      </c>
      <c r="F546" s="49" t="str">
        <f>CONFERENCIAS!J546</f>
        <v/>
      </c>
      <c r="G546" s="42" t="str">
        <f>CONFERENCIAS!O546</f>
        <v/>
      </c>
      <c r="H546" s="42" t="str">
        <f>CONFERENCIAS!X546</f>
        <v/>
      </c>
      <c r="I546" s="42" t="str">
        <f>CONFERENCIAS!AA546</f>
        <v/>
      </c>
      <c r="J546" s="44" t="str">
        <f>CONFERENCIAS!P546</f>
        <v/>
      </c>
      <c r="K546" s="45" t="str">
        <f>CONFERENCIAS!R546</f>
        <v/>
      </c>
      <c r="L546" s="45">
        <f>IF(D546="",0,
 IF(E546=1,
   IF(H546="Presencial",
      VLOOKUP(D546,TARIFAS!A:K,3,FALSE) + IF(I546="Sí",VLOOKUP(D546,TARIFAS!A:K,5,FALSE),0),
      VLOOKUP(D546,TARIFAS!A:K,4,FALSE) + IF(I546="Sí",VLOOKUP(D546,TARIFAS!A:K,5,FALSE),0)
   ),
   IF(H546="Presencial",
      VLOOKUP(D546,TARIFAS!A:K,9,FALSE) + IF(I546="Sí",VLOOKUP(D546,TARIFAS!A:K,11,FALSE),0),
      VLOOKUP(D546,TARIFAS!A:K,10,FALSE) + IF(I546="Sí",VLOOKUP(D546,TARIFAS!A:K,11,FALSE),0)
   )
 )
)
</f>
        <v>0</v>
      </c>
      <c r="M546" s="45">
        <f>IF(J546="",0,MAX(0,J546 - TARIFAS!G$2) * TARIFAS!F$2)
</f>
        <v>0</v>
      </c>
      <c r="N546" s="45">
        <f>+L546*TARIFAS!$K$2</f>
        <v>0</v>
      </c>
      <c r="O546" s="45">
        <f t="shared" si="1"/>
        <v>0</v>
      </c>
      <c r="P546" s="45">
        <f>+M546+O546+K546+(+I546-(I546*TARIFAS!$K$2))</f>
        <v>0</v>
      </c>
      <c r="Q546" s="42" t="str">
        <f>CONFERENCIAS!T546</f>
        <v/>
      </c>
      <c r="R546" s="45" t="str">
        <f>CONFERENCIAS!U546</f>
        <v/>
      </c>
      <c r="S546" s="45" t="str">
        <f>CONFERENCIAS!W546</f>
        <v/>
      </c>
      <c r="T546" s="48">
        <f>IF(Q546="",0,
   IF(E546=1,
      IF(H546="Presencial",
         VLOOKUP(D546,TARIFAS!A:K,3,FALSE) + IF(I546="Sí",VLOOKUP(D546,TARIFAS!A:K,5,FALSE),0),
         VLOOKUP(D546,TARIFAS!A:K,4,FALSE) + IF(I546="Sí",VLOOKUP(D546,TARIFAS!A:K,5,FALSE),0)
      ),
      IF(H546="Presencial",
         VLOOKUP(D546,TARIFAS!A:K,9,FALSE) + IF(I546="Sí",VLOOKUP(D546,TARIFAS!A:K,11,FALSE),0),
         VLOOKUP(D546,TARIFAS!A:K,10,FALSE) + IF(I546="Sí",VLOOKUP(D546,TARIFAS!A:K,11,FALSE),0)
      )
   )
)
</f>
        <v>0</v>
      </c>
      <c r="U546" s="45">
        <f>IF(R546="",0,MAX(0,R546 - TARIFAS!G$2) * TARIFAS!F$2)
</f>
        <v>0</v>
      </c>
      <c r="V546" s="45">
        <f>+T546*TARIFAS!$K$2</f>
        <v>0</v>
      </c>
      <c r="W546" s="45">
        <f t="shared" si="2"/>
        <v>0</v>
      </c>
      <c r="X546" s="45">
        <f t="shared" si="3"/>
        <v>0</v>
      </c>
      <c r="Y546" s="45">
        <f t="shared" si="4"/>
        <v>0</v>
      </c>
      <c r="Z546" s="42" t="str">
        <f>CONFERENCIAS!AB546</f>
        <v/>
      </c>
      <c r="AA546" s="42" t="str">
        <f>CONFERENCIAS!AC546</f>
        <v/>
      </c>
      <c r="AB546" s="47" t="str">
        <f t="shared" si="5"/>
        <v/>
      </c>
      <c r="AC546" s="9" t="str">
        <f t="shared" si="6"/>
        <v/>
      </c>
    </row>
    <row r="547">
      <c r="A547" s="42" t="str">
        <f>CONFERENCIAS!A547</f>
        <v/>
      </c>
      <c r="D547" s="42" t="str">
        <f>CONFERENCIAS!C547</f>
        <v/>
      </c>
      <c r="E547" s="42" t="str">
        <f>CONFERENCIAS!K547</f>
        <v/>
      </c>
      <c r="F547" s="49" t="str">
        <f>CONFERENCIAS!J547</f>
        <v/>
      </c>
      <c r="G547" s="42" t="str">
        <f>CONFERENCIAS!O547</f>
        <v/>
      </c>
      <c r="H547" s="42" t="str">
        <f>CONFERENCIAS!X547</f>
        <v/>
      </c>
      <c r="I547" s="42" t="str">
        <f>CONFERENCIAS!AA547</f>
        <v/>
      </c>
      <c r="J547" s="44" t="str">
        <f>CONFERENCIAS!P547</f>
        <v/>
      </c>
      <c r="K547" s="45" t="str">
        <f>CONFERENCIAS!R547</f>
        <v/>
      </c>
      <c r="L547" s="45">
        <f>IF(D547="",0,
 IF(E547=1,
   IF(H547="Presencial",
      VLOOKUP(D547,TARIFAS!A:K,3,FALSE) + IF(I547="Sí",VLOOKUP(D547,TARIFAS!A:K,5,FALSE),0),
      VLOOKUP(D547,TARIFAS!A:K,4,FALSE) + IF(I547="Sí",VLOOKUP(D547,TARIFAS!A:K,5,FALSE),0)
   ),
   IF(H547="Presencial",
      VLOOKUP(D547,TARIFAS!A:K,9,FALSE) + IF(I547="Sí",VLOOKUP(D547,TARIFAS!A:K,11,FALSE),0),
      VLOOKUP(D547,TARIFAS!A:K,10,FALSE) + IF(I547="Sí",VLOOKUP(D547,TARIFAS!A:K,11,FALSE),0)
   )
 )
)
</f>
        <v>0</v>
      </c>
      <c r="M547" s="45">
        <f>IF(J547="",0,MAX(0,J547 - TARIFAS!G$2) * TARIFAS!F$2)
</f>
        <v>0</v>
      </c>
      <c r="N547" s="45">
        <f>+L547*TARIFAS!$K$2</f>
        <v>0</v>
      </c>
      <c r="O547" s="45">
        <f t="shared" si="1"/>
        <v>0</v>
      </c>
      <c r="P547" s="45">
        <f>+M547+O547+K547+(+I547-(I547*TARIFAS!$K$2))</f>
        <v>0</v>
      </c>
      <c r="Q547" s="42" t="str">
        <f>CONFERENCIAS!T547</f>
        <v/>
      </c>
      <c r="R547" s="45" t="str">
        <f>CONFERENCIAS!U547</f>
        <v/>
      </c>
      <c r="S547" s="45" t="str">
        <f>CONFERENCIAS!W547</f>
        <v/>
      </c>
      <c r="T547" s="48">
        <f>IF(Q547="",0,
   IF(E547=1,
      IF(H547="Presencial",
         VLOOKUP(D547,TARIFAS!A:K,3,FALSE) + IF(I547="Sí",VLOOKUP(D547,TARIFAS!A:K,5,FALSE),0),
         VLOOKUP(D547,TARIFAS!A:K,4,FALSE) + IF(I547="Sí",VLOOKUP(D547,TARIFAS!A:K,5,FALSE),0)
      ),
      IF(H547="Presencial",
         VLOOKUP(D547,TARIFAS!A:K,9,FALSE) + IF(I547="Sí",VLOOKUP(D547,TARIFAS!A:K,11,FALSE),0),
         VLOOKUP(D547,TARIFAS!A:K,10,FALSE) + IF(I547="Sí",VLOOKUP(D547,TARIFAS!A:K,11,FALSE),0)
      )
   )
)
</f>
        <v>0</v>
      </c>
      <c r="U547" s="45">
        <f>IF(R547="",0,MAX(0,R547 - TARIFAS!G$2) * TARIFAS!F$2)
</f>
        <v>0</v>
      </c>
      <c r="V547" s="45">
        <f>+T547*TARIFAS!$K$2</f>
        <v>0</v>
      </c>
      <c r="W547" s="45">
        <f t="shared" si="2"/>
        <v>0</v>
      </c>
      <c r="X547" s="45">
        <f t="shared" si="3"/>
        <v>0</v>
      </c>
      <c r="Y547" s="45">
        <f t="shared" si="4"/>
        <v>0</v>
      </c>
      <c r="Z547" s="42" t="str">
        <f>CONFERENCIAS!AB547</f>
        <v/>
      </c>
      <c r="AA547" s="42" t="str">
        <f>CONFERENCIAS!AC547</f>
        <v/>
      </c>
      <c r="AB547" s="47" t="str">
        <f t="shared" si="5"/>
        <v/>
      </c>
      <c r="AC547" s="9" t="str">
        <f t="shared" si="6"/>
        <v/>
      </c>
    </row>
    <row r="548">
      <c r="A548" s="42" t="str">
        <f>CONFERENCIAS!A548</f>
        <v/>
      </c>
      <c r="D548" s="42" t="str">
        <f>CONFERENCIAS!C548</f>
        <v/>
      </c>
      <c r="E548" s="42" t="str">
        <f>CONFERENCIAS!K548</f>
        <v/>
      </c>
      <c r="F548" s="49" t="str">
        <f>CONFERENCIAS!J548</f>
        <v/>
      </c>
      <c r="G548" s="42" t="str">
        <f>CONFERENCIAS!O548</f>
        <v/>
      </c>
      <c r="H548" s="42" t="str">
        <f>CONFERENCIAS!X548</f>
        <v/>
      </c>
      <c r="I548" s="42" t="str">
        <f>CONFERENCIAS!AA548</f>
        <v/>
      </c>
      <c r="J548" s="44" t="str">
        <f>CONFERENCIAS!P548</f>
        <v/>
      </c>
      <c r="K548" s="45" t="str">
        <f>CONFERENCIAS!R548</f>
        <v/>
      </c>
      <c r="L548" s="45">
        <f>IF(D548="",0,
 IF(E548=1,
   IF(H548="Presencial",
      VLOOKUP(D548,TARIFAS!A:K,3,FALSE) + IF(I548="Sí",VLOOKUP(D548,TARIFAS!A:K,5,FALSE),0),
      VLOOKUP(D548,TARIFAS!A:K,4,FALSE) + IF(I548="Sí",VLOOKUP(D548,TARIFAS!A:K,5,FALSE),0)
   ),
   IF(H548="Presencial",
      VLOOKUP(D548,TARIFAS!A:K,9,FALSE) + IF(I548="Sí",VLOOKUP(D548,TARIFAS!A:K,11,FALSE),0),
      VLOOKUP(D548,TARIFAS!A:K,10,FALSE) + IF(I548="Sí",VLOOKUP(D548,TARIFAS!A:K,11,FALSE),0)
   )
 )
)
</f>
        <v>0</v>
      </c>
      <c r="M548" s="45">
        <f>IF(J548="",0,MAX(0,J548 - TARIFAS!G$2) * TARIFAS!F$2)
</f>
        <v>0</v>
      </c>
      <c r="N548" s="45">
        <f>+L548*TARIFAS!$K$2</f>
        <v>0</v>
      </c>
      <c r="O548" s="45">
        <f t="shared" si="1"/>
        <v>0</v>
      </c>
      <c r="P548" s="45">
        <f>+M548+O548+K548+(+I548-(I548*TARIFAS!$K$2))</f>
        <v>0</v>
      </c>
      <c r="Q548" s="42" t="str">
        <f>CONFERENCIAS!T548</f>
        <v/>
      </c>
      <c r="R548" s="45" t="str">
        <f>CONFERENCIAS!U548</f>
        <v/>
      </c>
      <c r="S548" s="45" t="str">
        <f>CONFERENCIAS!W548</f>
        <v/>
      </c>
      <c r="T548" s="48">
        <f>IF(Q548="",0,
   IF(E548=1,
      IF(H548="Presencial",
         VLOOKUP(D548,TARIFAS!A:K,3,FALSE) + IF(I548="Sí",VLOOKUP(D548,TARIFAS!A:K,5,FALSE),0),
         VLOOKUP(D548,TARIFAS!A:K,4,FALSE) + IF(I548="Sí",VLOOKUP(D548,TARIFAS!A:K,5,FALSE),0)
      ),
      IF(H548="Presencial",
         VLOOKUP(D548,TARIFAS!A:K,9,FALSE) + IF(I548="Sí",VLOOKUP(D548,TARIFAS!A:K,11,FALSE),0),
         VLOOKUP(D548,TARIFAS!A:K,10,FALSE) + IF(I548="Sí",VLOOKUP(D548,TARIFAS!A:K,11,FALSE),0)
      )
   )
)
</f>
        <v>0</v>
      </c>
      <c r="U548" s="45">
        <f>IF(R548="",0,MAX(0,R548 - TARIFAS!G$2) * TARIFAS!F$2)
</f>
        <v>0</v>
      </c>
      <c r="V548" s="45">
        <f>+T548*TARIFAS!$K$2</f>
        <v>0</v>
      </c>
      <c r="W548" s="45">
        <f t="shared" si="2"/>
        <v>0</v>
      </c>
      <c r="X548" s="45">
        <f t="shared" si="3"/>
        <v>0</v>
      </c>
      <c r="Y548" s="45">
        <f t="shared" si="4"/>
        <v>0</v>
      </c>
      <c r="Z548" s="42" t="str">
        <f>CONFERENCIAS!AB548</f>
        <v/>
      </c>
      <c r="AA548" s="42" t="str">
        <f>CONFERENCIAS!AC548</f>
        <v/>
      </c>
      <c r="AB548" s="47" t="str">
        <f t="shared" si="5"/>
        <v/>
      </c>
      <c r="AC548" s="9" t="str">
        <f t="shared" si="6"/>
        <v/>
      </c>
    </row>
    <row r="549">
      <c r="A549" s="42" t="str">
        <f>CONFERENCIAS!A549</f>
        <v/>
      </c>
      <c r="D549" s="42" t="str">
        <f>CONFERENCIAS!C549</f>
        <v/>
      </c>
      <c r="E549" s="42" t="str">
        <f>CONFERENCIAS!K549</f>
        <v/>
      </c>
      <c r="F549" s="49" t="str">
        <f>CONFERENCIAS!J549</f>
        <v/>
      </c>
      <c r="G549" s="42" t="str">
        <f>CONFERENCIAS!O549</f>
        <v/>
      </c>
      <c r="H549" s="42" t="str">
        <f>CONFERENCIAS!X549</f>
        <v/>
      </c>
      <c r="I549" s="42" t="str">
        <f>CONFERENCIAS!AA549</f>
        <v/>
      </c>
      <c r="J549" s="44" t="str">
        <f>CONFERENCIAS!P549</f>
        <v/>
      </c>
      <c r="K549" s="45" t="str">
        <f>CONFERENCIAS!R549</f>
        <v/>
      </c>
      <c r="L549" s="45">
        <f>IF(D549="",0,
 IF(E549=1,
   IF(H549="Presencial",
      VLOOKUP(D549,TARIFAS!A:K,3,FALSE) + IF(I549="Sí",VLOOKUP(D549,TARIFAS!A:K,5,FALSE),0),
      VLOOKUP(D549,TARIFAS!A:K,4,FALSE) + IF(I549="Sí",VLOOKUP(D549,TARIFAS!A:K,5,FALSE),0)
   ),
   IF(H549="Presencial",
      VLOOKUP(D549,TARIFAS!A:K,9,FALSE) + IF(I549="Sí",VLOOKUP(D549,TARIFAS!A:K,11,FALSE),0),
      VLOOKUP(D549,TARIFAS!A:K,10,FALSE) + IF(I549="Sí",VLOOKUP(D549,TARIFAS!A:K,11,FALSE),0)
   )
 )
)
</f>
        <v>0</v>
      </c>
      <c r="M549" s="45">
        <f>IF(J549="",0,MAX(0,J549 - TARIFAS!G$2) * TARIFAS!F$2)
</f>
        <v>0</v>
      </c>
      <c r="N549" s="45">
        <f>+L549*TARIFAS!$K$2</f>
        <v>0</v>
      </c>
      <c r="O549" s="45">
        <f t="shared" si="1"/>
        <v>0</v>
      </c>
      <c r="P549" s="45">
        <f>+M549+O549+K549+(+I549-(I549*TARIFAS!$K$2))</f>
        <v>0</v>
      </c>
      <c r="Q549" s="42" t="str">
        <f>CONFERENCIAS!T549</f>
        <v/>
      </c>
      <c r="R549" s="45" t="str">
        <f>CONFERENCIAS!U549</f>
        <v/>
      </c>
      <c r="S549" s="45" t="str">
        <f>CONFERENCIAS!W549</f>
        <v/>
      </c>
      <c r="T549" s="48">
        <f>IF(Q549="",0,
   IF(E549=1,
      IF(H549="Presencial",
         VLOOKUP(D549,TARIFAS!A:K,3,FALSE) + IF(I549="Sí",VLOOKUP(D549,TARIFAS!A:K,5,FALSE),0),
         VLOOKUP(D549,TARIFAS!A:K,4,FALSE) + IF(I549="Sí",VLOOKUP(D549,TARIFAS!A:K,5,FALSE),0)
      ),
      IF(H549="Presencial",
         VLOOKUP(D549,TARIFAS!A:K,9,FALSE) + IF(I549="Sí",VLOOKUP(D549,TARIFAS!A:K,11,FALSE),0),
         VLOOKUP(D549,TARIFAS!A:K,10,FALSE) + IF(I549="Sí",VLOOKUP(D549,TARIFAS!A:K,11,FALSE),0)
      )
   )
)
</f>
        <v>0</v>
      </c>
      <c r="U549" s="45">
        <f>IF(R549="",0,MAX(0,R549 - TARIFAS!G$2) * TARIFAS!F$2)
</f>
        <v>0</v>
      </c>
      <c r="V549" s="45">
        <f>+T549*TARIFAS!$K$2</f>
        <v>0</v>
      </c>
      <c r="W549" s="45">
        <f t="shared" si="2"/>
        <v>0</v>
      </c>
      <c r="X549" s="45">
        <f t="shared" si="3"/>
        <v>0</v>
      </c>
      <c r="Y549" s="45">
        <f t="shared" si="4"/>
        <v>0</v>
      </c>
      <c r="Z549" s="42" t="str">
        <f>CONFERENCIAS!AB549</f>
        <v/>
      </c>
      <c r="AA549" s="42" t="str">
        <f>CONFERENCIAS!AC549</f>
        <v/>
      </c>
      <c r="AB549" s="47" t="str">
        <f t="shared" si="5"/>
        <v/>
      </c>
      <c r="AC549" s="9" t="str">
        <f t="shared" si="6"/>
        <v/>
      </c>
    </row>
    <row r="550">
      <c r="A550" s="42" t="str">
        <f>CONFERENCIAS!A550</f>
        <v/>
      </c>
      <c r="D550" s="42" t="str">
        <f>CONFERENCIAS!C550</f>
        <v/>
      </c>
      <c r="E550" s="42" t="str">
        <f>CONFERENCIAS!K550</f>
        <v/>
      </c>
      <c r="F550" s="49" t="str">
        <f>CONFERENCIAS!J550</f>
        <v/>
      </c>
      <c r="G550" s="42" t="str">
        <f>CONFERENCIAS!O550</f>
        <v/>
      </c>
      <c r="H550" s="42" t="str">
        <f>CONFERENCIAS!X550</f>
        <v/>
      </c>
      <c r="I550" s="42" t="str">
        <f>CONFERENCIAS!AA550</f>
        <v/>
      </c>
      <c r="J550" s="44" t="str">
        <f>CONFERENCIAS!P550</f>
        <v/>
      </c>
      <c r="K550" s="45" t="str">
        <f>CONFERENCIAS!R550</f>
        <v/>
      </c>
      <c r="L550" s="45">
        <f>IF(D550="",0,
 IF(E550=1,
   IF(H550="Presencial",
      VLOOKUP(D550,TARIFAS!A:K,3,FALSE) + IF(I550="Sí",VLOOKUP(D550,TARIFAS!A:K,5,FALSE),0),
      VLOOKUP(D550,TARIFAS!A:K,4,FALSE) + IF(I550="Sí",VLOOKUP(D550,TARIFAS!A:K,5,FALSE),0)
   ),
   IF(H550="Presencial",
      VLOOKUP(D550,TARIFAS!A:K,9,FALSE) + IF(I550="Sí",VLOOKUP(D550,TARIFAS!A:K,11,FALSE),0),
      VLOOKUP(D550,TARIFAS!A:K,10,FALSE) + IF(I550="Sí",VLOOKUP(D550,TARIFAS!A:K,11,FALSE),0)
   )
 )
)
</f>
        <v>0</v>
      </c>
      <c r="M550" s="45">
        <f>IF(J550="",0,MAX(0,J550 - TARIFAS!G$2) * TARIFAS!F$2)
</f>
        <v>0</v>
      </c>
      <c r="N550" s="45">
        <f>+L550*TARIFAS!$K$2</f>
        <v>0</v>
      </c>
      <c r="O550" s="45">
        <f t="shared" si="1"/>
        <v>0</v>
      </c>
      <c r="P550" s="45">
        <f>+M550+O550+K550+(+I550-(I550*TARIFAS!$K$2))</f>
        <v>0</v>
      </c>
      <c r="Q550" s="42" t="str">
        <f>CONFERENCIAS!T550</f>
        <v/>
      </c>
      <c r="R550" s="45" t="str">
        <f>CONFERENCIAS!U550</f>
        <v/>
      </c>
      <c r="S550" s="45" t="str">
        <f>CONFERENCIAS!W550</f>
        <v/>
      </c>
      <c r="T550" s="48">
        <f>IF(Q550="",0,
   IF(E550=1,
      IF(H550="Presencial",
         VLOOKUP(D550,TARIFAS!A:K,3,FALSE) + IF(I550="Sí",VLOOKUP(D550,TARIFAS!A:K,5,FALSE),0),
         VLOOKUP(D550,TARIFAS!A:K,4,FALSE) + IF(I550="Sí",VLOOKUP(D550,TARIFAS!A:K,5,FALSE),0)
      ),
      IF(H550="Presencial",
         VLOOKUP(D550,TARIFAS!A:K,9,FALSE) + IF(I550="Sí",VLOOKUP(D550,TARIFAS!A:K,11,FALSE),0),
         VLOOKUP(D550,TARIFAS!A:K,10,FALSE) + IF(I550="Sí",VLOOKUP(D550,TARIFAS!A:K,11,FALSE),0)
      )
   )
)
</f>
        <v>0</v>
      </c>
      <c r="U550" s="45">
        <f>IF(R550="",0,MAX(0,R550 - TARIFAS!G$2) * TARIFAS!F$2)
</f>
        <v>0</v>
      </c>
      <c r="V550" s="45">
        <f>+T550*TARIFAS!$K$2</f>
        <v>0</v>
      </c>
      <c r="W550" s="45">
        <f t="shared" si="2"/>
        <v>0</v>
      </c>
      <c r="X550" s="45">
        <f t="shared" si="3"/>
        <v>0</v>
      </c>
      <c r="Y550" s="45">
        <f t="shared" si="4"/>
        <v>0</v>
      </c>
      <c r="Z550" s="42" t="str">
        <f>CONFERENCIAS!AB550</f>
        <v/>
      </c>
      <c r="AA550" s="42" t="str">
        <f>CONFERENCIAS!AC550</f>
        <v/>
      </c>
      <c r="AB550" s="47" t="str">
        <f t="shared" si="5"/>
        <v/>
      </c>
      <c r="AC550" s="9" t="str">
        <f t="shared" si="6"/>
        <v/>
      </c>
    </row>
    <row r="551">
      <c r="A551" s="42" t="str">
        <f>CONFERENCIAS!A551</f>
        <v/>
      </c>
      <c r="D551" s="42" t="str">
        <f>CONFERENCIAS!C551</f>
        <v/>
      </c>
      <c r="E551" s="42" t="str">
        <f>CONFERENCIAS!K551</f>
        <v/>
      </c>
      <c r="F551" s="49" t="str">
        <f>CONFERENCIAS!J551</f>
        <v/>
      </c>
      <c r="G551" s="42" t="str">
        <f>CONFERENCIAS!O551</f>
        <v/>
      </c>
      <c r="H551" s="42" t="str">
        <f>CONFERENCIAS!X551</f>
        <v/>
      </c>
      <c r="I551" s="42" t="str">
        <f>CONFERENCIAS!AA551</f>
        <v/>
      </c>
      <c r="J551" s="44" t="str">
        <f>CONFERENCIAS!P551</f>
        <v/>
      </c>
      <c r="K551" s="45" t="str">
        <f>CONFERENCIAS!R551</f>
        <v/>
      </c>
      <c r="L551" s="45">
        <f>IF(D551="",0,
 IF(E551=1,
   IF(H551="Presencial",
      VLOOKUP(D551,TARIFAS!A:K,3,FALSE) + IF(I551="Sí",VLOOKUP(D551,TARIFAS!A:K,5,FALSE),0),
      VLOOKUP(D551,TARIFAS!A:K,4,FALSE) + IF(I551="Sí",VLOOKUP(D551,TARIFAS!A:K,5,FALSE),0)
   ),
   IF(H551="Presencial",
      VLOOKUP(D551,TARIFAS!A:K,9,FALSE) + IF(I551="Sí",VLOOKUP(D551,TARIFAS!A:K,11,FALSE),0),
      VLOOKUP(D551,TARIFAS!A:K,10,FALSE) + IF(I551="Sí",VLOOKUP(D551,TARIFAS!A:K,11,FALSE),0)
   )
 )
)
</f>
        <v>0</v>
      </c>
      <c r="M551" s="45">
        <f>IF(J551="",0,MAX(0,J551 - TARIFAS!G$2) * TARIFAS!F$2)
</f>
        <v>0</v>
      </c>
      <c r="N551" s="45">
        <f>+L551*TARIFAS!$K$2</f>
        <v>0</v>
      </c>
      <c r="O551" s="45">
        <f t="shared" si="1"/>
        <v>0</v>
      </c>
      <c r="P551" s="45">
        <f>+M551+O551+K551+(+I551-(I551*TARIFAS!$K$2))</f>
        <v>0</v>
      </c>
      <c r="Q551" s="42" t="str">
        <f>CONFERENCIAS!T551</f>
        <v/>
      </c>
      <c r="R551" s="45" t="str">
        <f>CONFERENCIAS!U551</f>
        <v/>
      </c>
      <c r="S551" s="45" t="str">
        <f>CONFERENCIAS!W551</f>
        <v/>
      </c>
      <c r="T551" s="48">
        <f>IF(Q551="",0,
   IF(E551=1,
      IF(H551="Presencial",
         VLOOKUP(D551,TARIFAS!A:K,3,FALSE) + IF(I551="Sí",VLOOKUP(D551,TARIFAS!A:K,5,FALSE),0),
         VLOOKUP(D551,TARIFAS!A:K,4,FALSE) + IF(I551="Sí",VLOOKUP(D551,TARIFAS!A:K,5,FALSE),0)
      ),
      IF(H551="Presencial",
         VLOOKUP(D551,TARIFAS!A:K,9,FALSE) + IF(I551="Sí",VLOOKUP(D551,TARIFAS!A:K,11,FALSE),0),
         VLOOKUP(D551,TARIFAS!A:K,10,FALSE) + IF(I551="Sí",VLOOKUP(D551,TARIFAS!A:K,11,FALSE),0)
      )
   )
)
</f>
        <v>0</v>
      </c>
      <c r="U551" s="45">
        <f>IF(R551="",0,MAX(0,R551 - TARIFAS!G$2) * TARIFAS!F$2)
</f>
        <v>0</v>
      </c>
      <c r="V551" s="45">
        <f>+T551*TARIFAS!$K$2</f>
        <v>0</v>
      </c>
      <c r="W551" s="45">
        <f t="shared" si="2"/>
        <v>0</v>
      </c>
      <c r="X551" s="45">
        <f t="shared" si="3"/>
        <v>0</v>
      </c>
      <c r="Y551" s="45">
        <f t="shared" si="4"/>
        <v>0</v>
      </c>
      <c r="Z551" s="42" t="str">
        <f>CONFERENCIAS!AB551</f>
        <v/>
      </c>
      <c r="AA551" s="42" t="str">
        <f>CONFERENCIAS!AC551</f>
        <v/>
      </c>
      <c r="AB551" s="47" t="str">
        <f t="shared" si="5"/>
        <v/>
      </c>
      <c r="AC551" s="9" t="str">
        <f t="shared" si="6"/>
        <v/>
      </c>
    </row>
    <row r="552">
      <c r="A552" s="42" t="str">
        <f>CONFERENCIAS!A552</f>
        <v/>
      </c>
      <c r="D552" s="42" t="str">
        <f>CONFERENCIAS!C552</f>
        <v/>
      </c>
      <c r="E552" s="42" t="str">
        <f>CONFERENCIAS!K552</f>
        <v/>
      </c>
      <c r="F552" s="49" t="str">
        <f>CONFERENCIAS!J552</f>
        <v/>
      </c>
      <c r="G552" s="42" t="str">
        <f>CONFERENCIAS!O552</f>
        <v/>
      </c>
      <c r="H552" s="42" t="str">
        <f>CONFERENCIAS!X552</f>
        <v/>
      </c>
      <c r="I552" s="42" t="str">
        <f>CONFERENCIAS!AA552</f>
        <v/>
      </c>
      <c r="J552" s="44" t="str">
        <f>CONFERENCIAS!P552</f>
        <v/>
      </c>
      <c r="K552" s="45" t="str">
        <f>CONFERENCIAS!R552</f>
        <v/>
      </c>
      <c r="L552" s="45">
        <f>IF(D552="",0,
 IF(E552=1,
   IF(H552="Presencial",
      VLOOKUP(D552,TARIFAS!A:K,3,FALSE) + IF(I552="Sí",VLOOKUP(D552,TARIFAS!A:K,5,FALSE),0),
      VLOOKUP(D552,TARIFAS!A:K,4,FALSE) + IF(I552="Sí",VLOOKUP(D552,TARIFAS!A:K,5,FALSE),0)
   ),
   IF(H552="Presencial",
      VLOOKUP(D552,TARIFAS!A:K,9,FALSE) + IF(I552="Sí",VLOOKUP(D552,TARIFAS!A:K,11,FALSE),0),
      VLOOKUP(D552,TARIFAS!A:K,10,FALSE) + IF(I552="Sí",VLOOKUP(D552,TARIFAS!A:K,11,FALSE),0)
   )
 )
)
</f>
        <v>0</v>
      </c>
      <c r="M552" s="45">
        <f>IF(J552="",0,MAX(0,J552 - TARIFAS!G$2) * TARIFAS!F$2)
</f>
        <v>0</v>
      </c>
      <c r="N552" s="45">
        <f>+L552*TARIFAS!$K$2</f>
        <v>0</v>
      </c>
      <c r="O552" s="45">
        <f t="shared" si="1"/>
        <v>0</v>
      </c>
      <c r="P552" s="45">
        <f>+M552+O552+K552+(+I552-(I552*TARIFAS!$K$2))</f>
        <v>0</v>
      </c>
      <c r="Q552" s="42" t="str">
        <f>CONFERENCIAS!T552</f>
        <v/>
      </c>
      <c r="R552" s="45" t="str">
        <f>CONFERENCIAS!U552</f>
        <v/>
      </c>
      <c r="S552" s="45" t="str">
        <f>CONFERENCIAS!W552</f>
        <v/>
      </c>
      <c r="T552" s="48">
        <f>IF(Q552="",0,
   IF(E552=1,
      IF(H552="Presencial",
         VLOOKUP(D552,TARIFAS!A:K,3,FALSE) + IF(I552="Sí",VLOOKUP(D552,TARIFAS!A:K,5,FALSE),0),
         VLOOKUP(D552,TARIFAS!A:K,4,FALSE) + IF(I552="Sí",VLOOKUP(D552,TARIFAS!A:K,5,FALSE),0)
      ),
      IF(H552="Presencial",
         VLOOKUP(D552,TARIFAS!A:K,9,FALSE) + IF(I552="Sí",VLOOKUP(D552,TARIFAS!A:K,11,FALSE),0),
         VLOOKUP(D552,TARIFAS!A:K,10,FALSE) + IF(I552="Sí",VLOOKUP(D552,TARIFAS!A:K,11,FALSE),0)
      )
   )
)
</f>
        <v>0</v>
      </c>
      <c r="U552" s="45">
        <f>IF(R552="",0,MAX(0,R552 - TARIFAS!G$2) * TARIFAS!F$2)
</f>
        <v>0</v>
      </c>
      <c r="V552" s="45">
        <f>+T552*TARIFAS!$K$2</f>
        <v>0</v>
      </c>
      <c r="W552" s="45">
        <f t="shared" si="2"/>
        <v>0</v>
      </c>
      <c r="X552" s="45">
        <f t="shared" si="3"/>
        <v>0</v>
      </c>
      <c r="Y552" s="45">
        <f t="shared" si="4"/>
        <v>0</v>
      </c>
      <c r="Z552" s="42" t="str">
        <f>CONFERENCIAS!AB552</f>
        <v/>
      </c>
      <c r="AA552" s="42" t="str">
        <f>CONFERENCIAS!AC552</f>
        <v/>
      </c>
      <c r="AB552" s="47" t="str">
        <f t="shared" si="5"/>
        <v/>
      </c>
      <c r="AC552" s="9" t="str">
        <f t="shared" si="6"/>
        <v/>
      </c>
    </row>
    <row r="553">
      <c r="A553" s="42" t="str">
        <f>CONFERENCIAS!A553</f>
        <v/>
      </c>
      <c r="D553" s="42" t="str">
        <f>CONFERENCIAS!C553</f>
        <v/>
      </c>
      <c r="E553" s="42" t="str">
        <f>CONFERENCIAS!K553</f>
        <v/>
      </c>
      <c r="F553" s="49" t="str">
        <f>CONFERENCIAS!J553</f>
        <v/>
      </c>
      <c r="G553" s="42" t="str">
        <f>CONFERENCIAS!O553</f>
        <v/>
      </c>
      <c r="H553" s="42" t="str">
        <f>CONFERENCIAS!X553</f>
        <v/>
      </c>
      <c r="I553" s="42" t="str">
        <f>CONFERENCIAS!AA553</f>
        <v/>
      </c>
      <c r="J553" s="44" t="str">
        <f>CONFERENCIAS!P553</f>
        <v/>
      </c>
      <c r="K553" s="45" t="str">
        <f>CONFERENCIAS!R553</f>
        <v/>
      </c>
      <c r="L553" s="45">
        <f>IF(D553="",0,
 IF(E553=1,
   IF(H553="Presencial",
      VLOOKUP(D553,TARIFAS!A:K,3,FALSE) + IF(I553="Sí",VLOOKUP(D553,TARIFAS!A:K,5,FALSE),0),
      VLOOKUP(D553,TARIFAS!A:K,4,FALSE) + IF(I553="Sí",VLOOKUP(D553,TARIFAS!A:K,5,FALSE),0)
   ),
   IF(H553="Presencial",
      VLOOKUP(D553,TARIFAS!A:K,9,FALSE) + IF(I553="Sí",VLOOKUP(D553,TARIFAS!A:K,11,FALSE),0),
      VLOOKUP(D553,TARIFAS!A:K,10,FALSE) + IF(I553="Sí",VLOOKUP(D553,TARIFAS!A:K,11,FALSE),0)
   )
 )
)
</f>
        <v>0</v>
      </c>
      <c r="M553" s="45">
        <f>IF(J553="",0,MAX(0,J553 - TARIFAS!G$2) * TARIFAS!F$2)
</f>
        <v>0</v>
      </c>
      <c r="N553" s="45">
        <f>+L553*TARIFAS!$K$2</f>
        <v>0</v>
      </c>
      <c r="O553" s="45">
        <f t="shared" si="1"/>
        <v>0</v>
      </c>
      <c r="P553" s="45">
        <f>+M553+O553+K553+(+I553-(I553*TARIFAS!$K$2))</f>
        <v>0</v>
      </c>
      <c r="Q553" s="42" t="str">
        <f>CONFERENCIAS!T553</f>
        <v/>
      </c>
      <c r="R553" s="45" t="str">
        <f>CONFERENCIAS!U553</f>
        <v/>
      </c>
      <c r="S553" s="45" t="str">
        <f>CONFERENCIAS!W553</f>
        <v/>
      </c>
      <c r="T553" s="48">
        <f>IF(Q553="",0,
   IF(E553=1,
      IF(H553="Presencial",
         VLOOKUP(D553,TARIFAS!A:K,3,FALSE) + IF(I553="Sí",VLOOKUP(D553,TARIFAS!A:K,5,FALSE),0),
         VLOOKUP(D553,TARIFAS!A:K,4,FALSE) + IF(I553="Sí",VLOOKUP(D553,TARIFAS!A:K,5,FALSE),0)
      ),
      IF(H553="Presencial",
         VLOOKUP(D553,TARIFAS!A:K,9,FALSE) + IF(I553="Sí",VLOOKUP(D553,TARIFAS!A:K,11,FALSE),0),
         VLOOKUP(D553,TARIFAS!A:K,10,FALSE) + IF(I553="Sí",VLOOKUP(D553,TARIFAS!A:K,11,FALSE),0)
      )
   )
)
</f>
        <v>0</v>
      </c>
      <c r="U553" s="45">
        <f>IF(R553="",0,MAX(0,R553 - TARIFAS!G$2) * TARIFAS!F$2)
</f>
        <v>0</v>
      </c>
      <c r="V553" s="45">
        <f>+T553*TARIFAS!$K$2</f>
        <v>0</v>
      </c>
      <c r="W553" s="45">
        <f t="shared" si="2"/>
        <v>0</v>
      </c>
      <c r="X553" s="45">
        <f t="shared" si="3"/>
        <v>0</v>
      </c>
      <c r="Y553" s="45">
        <f t="shared" si="4"/>
        <v>0</v>
      </c>
      <c r="Z553" s="42" t="str">
        <f>CONFERENCIAS!AB553</f>
        <v/>
      </c>
      <c r="AA553" s="42" t="str">
        <f>CONFERENCIAS!AC553</f>
        <v/>
      </c>
      <c r="AB553" s="47" t="str">
        <f t="shared" si="5"/>
        <v/>
      </c>
      <c r="AC553" s="9" t="str">
        <f t="shared" si="6"/>
        <v/>
      </c>
    </row>
    <row r="554">
      <c r="A554" s="42" t="str">
        <f>CONFERENCIAS!A554</f>
        <v/>
      </c>
      <c r="D554" s="42" t="str">
        <f>CONFERENCIAS!C554</f>
        <v/>
      </c>
      <c r="E554" s="42" t="str">
        <f>CONFERENCIAS!K554</f>
        <v/>
      </c>
      <c r="F554" s="49" t="str">
        <f>CONFERENCIAS!J554</f>
        <v/>
      </c>
      <c r="G554" s="42" t="str">
        <f>CONFERENCIAS!O554</f>
        <v/>
      </c>
      <c r="H554" s="42" t="str">
        <f>CONFERENCIAS!X554</f>
        <v/>
      </c>
      <c r="I554" s="42" t="str">
        <f>CONFERENCIAS!AA554</f>
        <v/>
      </c>
      <c r="J554" s="44" t="str">
        <f>CONFERENCIAS!P554</f>
        <v/>
      </c>
      <c r="K554" s="45" t="str">
        <f>CONFERENCIAS!R554</f>
        <v/>
      </c>
      <c r="L554" s="45">
        <f>IF(D554="",0,
 IF(E554=1,
   IF(H554="Presencial",
      VLOOKUP(D554,TARIFAS!A:K,3,FALSE) + IF(I554="Sí",VLOOKUP(D554,TARIFAS!A:K,5,FALSE),0),
      VLOOKUP(D554,TARIFAS!A:K,4,FALSE) + IF(I554="Sí",VLOOKUP(D554,TARIFAS!A:K,5,FALSE),0)
   ),
   IF(H554="Presencial",
      VLOOKUP(D554,TARIFAS!A:K,9,FALSE) + IF(I554="Sí",VLOOKUP(D554,TARIFAS!A:K,11,FALSE),0),
      VLOOKUP(D554,TARIFAS!A:K,10,FALSE) + IF(I554="Sí",VLOOKUP(D554,TARIFAS!A:K,11,FALSE),0)
   )
 )
)
</f>
        <v>0</v>
      </c>
      <c r="M554" s="45">
        <f>IF(J554="",0,MAX(0,J554 - TARIFAS!G$2) * TARIFAS!F$2)
</f>
        <v>0</v>
      </c>
      <c r="N554" s="45">
        <f>+L554*TARIFAS!$K$2</f>
        <v>0</v>
      </c>
      <c r="O554" s="45">
        <f t="shared" si="1"/>
        <v>0</v>
      </c>
      <c r="P554" s="45">
        <f>+M554+O554+K554+(+I554-(I554*TARIFAS!$K$2))</f>
        <v>0</v>
      </c>
      <c r="Q554" s="42" t="str">
        <f>CONFERENCIAS!T554</f>
        <v/>
      </c>
      <c r="R554" s="45" t="str">
        <f>CONFERENCIAS!U554</f>
        <v/>
      </c>
      <c r="S554" s="45" t="str">
        <f>CONFERENCIAS!W554</f>
        <v/>
      </c>
      <c r="T554" s="48">
        <f>IF(Q554="",0,
   IF(E554=1,
      IF(H554="Presencial",
         VLOOKUP(D554,TARIFAS!A:K,3,FALSE) + IF(I554="Sí",VLOOKUP(D554,TARIFAS!A:K,5,FALSE),0),
         VLOOKUP(D554,TARIFAS!A:K,4,FALSE) + IF(I554="Sí",VLOOKUP(D554,TARIFAS!A:K,5,FALSE),0)
      ),
      IF(H554="Presencial",
         VLOOKUP(D554,TARIFAS!A:K,9,FALSE) + IF(I554="Sí",VLOOKUP(D554,TARIFAS!A:K,11,FALSE),0),
         VLOOKUP(D554,TARIFAS!A:K,10,FALSE) + IF(I554="Sí",VLOOKUP(D554,TARIFAS!A:K,11,FALSE),0)
      )
   )
)
</f>
        <v>0</v>
      </c>
      <c r="U554" s="45">
        <f>IF(R554="",0,MAX(0,R554 - TARIFAS!G$2) * TARIFAS!F$2)
</f>
        <v>0</v>
      </c>
      <c r="V554" s="45">
        <f>+T554*TARIFAS!$K$2</f>
        <v>0</v>
      </c>
      <c r="W554" s="45">
        <f t="shared" si="2"/>
        <v>0</v>
      </c>
      <c r="X554" s="45">
        <f t="shared" si="3"/>
        <v>0</v>
      </c>
      <c r="Y554" s="45">
        <f t="shared" si="4"/>
        <v>0</v>
      </c>
      <c r="Z554" s="42" t="str">
        <f>CONFERENCIAS!AB554</f>
        <v/>
      </c>
      <c r="AA554" s="42" t="str">
        <f>CONFERENCIAS!AC554</f>
        <v/>
      </c>
      <c r="AB554" s="47" t="str">
        <f t="shared" si="5"/>
        <v/>
      </c>
      <c r="AC554" s="9" t="str">
        <f t="shared" si="6"/>
        <v/>
      </c>
    </row>
    <row r="555">
      <c r="A555" s="42" t="str">
        <f>CONFERENCIAS!A555</f>
        <v/>
      </c>
      <c r="D555" s="42" t="str">
        <f>CONFERENCIAS!C555</f>
        <v/>
      </c>
      <c r="E555" s="42" t="str">
        <f>CONFERENCIAS!K555</f>
        <v/>
      </c>
      <c r="F555" s="49" t="str">
        <f>CONFERENCIAS!J555</f>
        <v/>
      </c>
      <c r="G555" s="42" t="str">
        <f>CONFERENCIAS!O555</f>
        <v/>
      </c>
      <c r="H555" s="42" t="str">
        <f>CONFERENCIAS!X555</f>
        <v/>
      </c>
      <c r="I555" s="42" t="str">
        <f>CONFERENCIAS!AA555</f>
        <v/>
      </c>
      <c r="J555" s="44" t="str">
        <f>CONFERENCIAS!P555</f>
        <v/>
      </c>
      <c r="K555" s="45" t="str">
        <f>CONFERENCIAS!R555</f>
        <v/>
      </c>
      <c r="L555" s="45">
        <f>IF(D555="",0,
 IF(E555=1,
   IF(H555="Presencial",
      VLOOKUP(D555,TARIFAS!A:K,3,FALSE) + IF(I555="Sí",VLOOKUP(D555,TARIFAS!A:K,5,FALSE),0),
      VLOOKUP(D555,TARIFAS!A:K,4,FALSE) + IF(I555="Sí",VLOOKUP(D555,TARIFAS!A:K,5,FALSE),0)
   ),
   IF(H555="Presencial",
      VLOOKUP(D555,TARIFAS!A:K,9,FALSE) + IF(I555="Sí",VLOOKUP(D555,TARIFAS!A:K,11,FALSE),0),
      VLOOKUP(D555,TARIFAS!A:K,10,FALSE) + IF(I555="Sí",VLOOKUP(D555,TARIFAS!A:K,11,FALSE),0)
   )
 )
)
</f>
        <v>0</v>
      </c>
      <c r="M555" s="45">
        <f>IF(J555="",0,MAX(0,J555 - TARIFAS!G$2) * TARIFAS!F$2)
</f>
        <v>0</v>
      </c>
      <c r="N555" s="45">
        <f>+L555*TARIFAS!$K$2</f>
        <v>0</v>
      </c>
      <c r="O555" s="45">
        <f t="shared" si="1"/>
        <v>0</v>
      </c>
      <c r="P555" s="45">
        <f>+M555+O555+K555+(+I555-(I555*TARIFAS!$K$2))</f>
        <v>0</v>
      </c>
      <c r="Q555" s="42" t="str">
        <f>CONFERENCIAS!T555</f>
        <v/>
      </c>
      <c r="R555" s="45" t="str">
        <f>CONFERENCIAS!U555</f>
        <v/>
      </c>
      <c r="S555" s="45" t="str">
        <f>CONFERENCIAS!W555</f>
        <v/>
      </c>
      <c r="T555" s="48">
        <f>IF(Q555="",0,
   IF(E555=1,
      IF(H555="Presencial",
         VLOOKUP(D555,TARIFAS!A:K,3,FALSE) + IF(I555="Sí",VLOOKUP(D555,TARIFAS!A:K,5,FALSE),0),
         VLOOKUP(D555,TARIFAS!A:K,4,FALSE) + IF(I555="Sí",VLOOKUP(D555,TARIFAS!A:K,5,FALSE),0)
      ),
      IF(H555="Presencial",
         VLOOKUP(D555,TARIFAS!A:K,9,FALSE) + IF(I555="Sí",VLOOKUP(D555,TARIFAS!A:K,11,FALSE),0),
         VLOOKUP(D555,TARIFAS!A:K,10,FALSE) + IF(I555="Sí",VLOOKUP(D555,TARIFAS!A:K,11,FALSE),0)
      )
   )
)
</f>
        <v>0</v>
      </c>
      <c r="U555" s="45">
        <f>IF(R555="",0,MAX(0,R555 - TARIFAS!G$2) * TARIFAS!F$2)
</f>
        <v>0</v>
      </c>
      <c r="V555" s="45">
        <f>+T555*TARIFAS!$K$2</f>
        <v>0</v>
      </c>
      <c r="W555" s="45">
        <f t="shared" si="2"/>
        <v>0</v>
      </c>
      <c r="X555" s="45">
        <f t="shared" si="3"/>
        <v>0</v>
      </c>
      <c r="Y555" s="45">
        <f t="shared" si="4"/>
        <v>0</v>
      </c>
      <c r="Z555" s="42" t="str">
        <f>CONFERENCIAS!AB555</f>
        <v/>
      </c>
      <c r="AA555" s="42" t="str">
        <f>CONFERENCIAS!AC555</f>
        <v/>
      </c>
      <c r="AB555" s="47" t="str">
        <f t="shared" si="5"/>
        <v/>
      </c>
      <c r="AC555" s="9" t="str">
        <f t="shared" si="6"/>
        <v/>
      </c>
    </row>
    <row r="556">
      <c r="A556" s="42" t="str">
        <f>CONFERENCIAS!A556</f>
        <v/>
      </c>
      <c r="D556" s="42" t="str">
        <f>CONFERENCIAS!C556</f>
        <v/>
      </c>
      <c r="E556" s="42" t="str">
        <f>CONFERENCIAS!K556</f>
        <v/>
      </c>
      <c r="F556" s="49" t="str">
        <f>CONFERENCIAS!J556</f>
        <v/>
      </c>
      <c r="G556" s="42" t="str">
        <f>CONFERENCIAS!O556</f>
        <v/>
      </c>
      <c r="H556" s="42" t="str">
        <f>CONFERENCIAS!X556</f>
        <v/>
      </c>
      <c r="I556" s="42" t="str">
        <f>CONFERENCIAS!AA556</f>
        <v/>
      </c>
      <c r="J556" s="44" t="str">
        <f>CONFERENCIAS!P556</f>
        <v/>
      </c>
      <c r="K556" s="45" t="str">
        <f>CONFERENCIAS!R556</f>
        <v/>
      </c>
      <c r="L556" s="45">
        <f>IF(D556="",0,
 IF(E556=1,
   IF(H556="Presencial",
      VLOOKUP(D556,TARIFAS!A:K,3,FALSE) + IF(I556="Sí",VLOOKUP(D556,TARIFAS!A:K,5,FALSE),0),
      VLOOKUP(D556,TARIFAS!A:K,4,FALSE) + IF(I556="Sí",VLOOKUP(D556,TARIFAS!A:K,5,FALSE),0)
   ),
   IF(H556="Presencial",
      VLOOKUP(D556,TARIFAS!A:K,9,FALSE) + IF(I556="Sí",VLOOKUP(D556,TARIFAS!A:K,11,FALSE),0),
      VLOOKUP(D556,TARIFAS!A:K,10,FALSE) + IF(I556="Sí",VLOOKUP(D556,TARIFAS!A:K,11,FALSE),0)
   )
 )
)
</f>
        <v>0</v>
      </c>
      <c r="M556" s="45">
        <f>IF(J556="",0,MAX(0,J556 - TARIFAS!G$2) * TARIFAS!F$2)
</f>
        <v>0</v>
      </c>
      <c r="N556" s="45">
        <f>+L556*TARIFAS!$K$2</f>
        <v>0</v>
      </c>
      <c r="O556" s="45">
        <f t="shared" si="1"/>
        <v>0</v>
      </c>
      <c r="P556" s="45">
        <f>+M556+O556+K556+(+I556-(I556*TARIFAS!$K$2))</f>
        <v>0</v>
      </c>
      <c r="Q556" s="42" t="str">
        <f>CONFERENCIAS!T556</f>
        <v/>
      </c>
      <c r="R556" s="45" t="str">
        <f>CONFERENCIAS!U556</f>
        <v/>
      </c>
      <c r="S556" s="45" t="str">
        <f>CONFERENCIAS!W556</f>
        <v/>
      </c>
      <c r="T556" s="48">
        <f>IF(Q556="",0,
   IF(E556=1,
      IF(H556="Presencial",
         VLOOKUP(D556,TARIFAS!A:K,3,FALSE) + IF(I556="Sí",VLOOKUP(D556,TARIFAS!A:K,5,FALSE),0),
         VLOOKUP(D556,TARIFAS!A:K,4,FALSE) + IF(I556="Sí",VLOOKUP(D556,TARIFAS!A:K,5,FALSE),0)
      ),
      IF(H556="Presencial",
         VLOOKUP(D556,TARIFAS!A:K,9,FALSE) + IF(I556="Sí",VLOOKUP(D556,TARIFAS!A:K,11,FALSE),0),
         VLOOKUP(D556,TARIFAS!A:K,10,FALSE) + IF(I556="Sí",VLOOKUP(D556,TARIFAS!A:K,11,FALSE),0)
      )
   )
)
</f>
        <v>0</v>
      </c>
      <c r="U556" s="45">
        <f>IF(R556="",0,MAX(0,R556 - TARIFAS!G$2) * TARIFAS!F$2)
</f>
        <v>0</v>
      </c>
      <c r="V556" s="45">
        <f>+T556*TARIFAS!$K$2</f>
        <v>0</v>
      </c>
      <c r="W556" s="45">
        <f t="shared" si="2"/>
        <v>0</v>
      </c>
      <c r="X556" s="45">
        <f t="shared" si="3"/>
        <v>0</v>
      </c>
      <c r="Y556" s="45">
        <f t="shared" si="4"/>
        <v>0</v>
      </c>
      <c r="Z556" s="42" t="str">
        <f>CONFERENCIAS!AB556</f>
        <v/>
      </c>
      <c r="AA556" s="42" t="str">
        <f>CONFERENCIAS!AC556</f>
        <v/>
      </c>
      <c r="AB556" s="47" t="str">
        <f t="shared" si="5"/>
        <v/>
      </c>
      <c r="AC556" s="9" t="str">
        <f t="shared" si="6"/>
        <v/>
      </c>
    </row>
    <row r="557">
      <c r="A557" s="42" t="str">
        <f>CONFERENCIAS!A557</f>
        <v/>
      </c>
      <c r="D557" s="42" t="str">
        <f>CONFERENCIAS!C557</f>
        <v/>
      </c>
      <c r="E557" s="42" t="str">
        <f>CONFERENCIAS!K557</f>
        <v/>
      </c>
      <c r="F557" s="49" t="str">
        <f>CONFERENCIAS!J557</f>
        <v/>
      </c>
      <c r="G557" s="42" t="str">
        <f>CONFERENCIAS!O557</f>
        <v/>
      </c>
      <c r="H557" s="42" t="str">
        <f>CONFERENCIAS!X557</f>
        <v/>
      </c>
      <c r="I557" s="42" t="str">
        <f>CONFERENCIAS!AA557</f>
        <v/>
      </c>
      <c r="J557" s="44" t="str">
        <f>CONFERENCIAS!P557</f>
        <v/>
      </c>
      <c r="K557" s="45" t="str">
        <f>CONFERENCIAS!R557</f>
        <v/>
      </c>
      <c r="L557" s="45">
        <f>IF(D557="",0,
 IF(E557=1,
   IF(H557="Presencial",
      VLOOKUP(D557,TARIFAS!A:K,3,FALSE) + IF(I557="Sí",VLOOKUP(D557,TARIFAS!A:K,5,FALSE),0),
      VLOOKUP(D557,TARIFAS!A:K,4,FALSE) + IF(I557="Sí",VLOOKUP(D557,TARIFAS!A:K,5,FALSE),0)
   ),
   IF(H557="Presencial",
      VLOOKUP(D557,TARIFAS!A:K,9,FALSE) + IF(I557="Sí",VLOOKUP(D557,TARIFAS!A:K,11,FALSE),0),
      VLOOKUP(D557,TARIFAS!A:K,10,FALSE) + IF(I557="Sí",VLOOKUP(D557,TARIFAS!A:K,11,FALSE),0)
   )
 )
)
</f>
        <v>0</v>
      </c>
      <c r="M557" s="45">
        <f>IF(J557="",0,MAX(0,J557 - TARIFAS!G$2) * TARIFAS!F$2)
</f>
        <v>0</v>
      </c>
      <c r="N557" s="45">
        <f>+L557*TARIFAS!$K$2</f>
        <v>0</v>
      </c>
      <c r="O557" s="45">
        <f t="shared" si="1"/>
        <v>0</v>
      </c>
      <c r="P557" s="45">
        <f>+M557+O557+K557+(+I557-(I557*TARIFAS!$K$2))</f>
        <v>0</v>
      </c>
      <c r="Q557" s="42" t="str">
        <f>CONFERENCIAS!T557</f>
        <v/>
      </c>
      <c r="R557" s="45" t="str">
        <f>CONFERENCIAS!U557</f>
        <v/>
      </c>
      <c r="S557" s="45" t="str">
        <f>CONFERENCIAS!W557</f>
        <v/>
      </c>
      <c r="T557" s="48">
        <f>IF(Q557="",0,
   IF(E557=1,
      IF(H557="Presencial",
         VLOOKUP(D557,TARIFAS!A:K,3,FALSE) + IF(I557="Sí",VLOOKUP(D557,TARIFAS!A:K,5,FALSE),0),
         VLOOKUP(D557,TARIFAS!A:K,4,FALSE) + IF(I557="Sí",VLOOKUP(D557,TARIFAS!A:K,5,FALSE),0)
      ),
      IF(H557="Presencial",
         VLOOKUP(D557,TARIFAS!A:K,9,FALSE) + IF(I557="Sí",VLOOKUP(D557,TARIFAS!A:K,11,FALSE),0),
         VLOOKUP(D557,TARIFAS!A:K,10,FALSE) + IF(I557="Sí",VLOOKUP(D557,TARIFAS!A:K,11,FALSE),0)
      )
   )
)
</f>
        <v>0</v>
      </c>
      <c r="U557" s="45">
        <f>IF(R557="",0,MAX(0,R557 - TARIFAS!G$2) * TARIFAS!F$2)
</f>
        <v>0</v>
      </c>
      <c r="V557" s="45">
        <f>+T557*TARIFAS!$K$2</f>
        <v>0</v>
      </c>
      <c r="W557" s="45">
        <f t="shared" si="2"/>
        <v>0</v>
      </c>
      <c r="X557" s="45">
        <f t="shared" si="3"/>
        <v>0</v>
      </c>
      <c r="Y557" s="45">
        <f t="shared" si="4"/>
        <v>0</v>
      </c>
      <c r="Z557" s="42" t="str">
        <f>CONFERENCIAS!AB557</f>
        <v/>
      </c>
      <c r="AA557" s="42" t="str">
        <f>CONFERENCIAS!AC557</f>
        <v/>
      </c>
      <c r="AB557" s="47" t="str">
        <f t="shared" si="5"/>
        <v/>
      </c>
      <c r="AC557" s="9" t="str">
        <f t="shared" si="6"/>
        <v/>
      </c>
    </row>
    <row r="558">
      <c r="A558" s="42" t="str">
        <f>CONFERENCIAS!A558</f>
        <v/>
      </c>
      <c r="D558" s="42" t="str">
        <f>CONFERENCIAS!C558</f>
        <v/>
      </c>
      <c r="E558" s="42" t="str">
        <f>CONFERENCIAS!K558</f>
        <v/>
      </c>
      <c r="F558" s="49" t="str">
        <f>CONFERENCIAS!J558</f>
        <v/>
      </c>
      <c r="G558" s="42" t="str">
        <f>CONFERENCIAS!O558</f>
        <v/>
      </c>
      <c r="H558" s="42" t="str">
        <f>CONFERENCIAS!X558</f>
        <v/>
      </c>
      <c r="I558" s="42" t="str">
        <f>CONFERENCIAS!AA558</f>
        <v/>
      </c>
      <c r="J558" s="44" t="str">
        <f>CONFERENCIAS!P558</f>
        <v/>
      </c>
      <c r="K558" s="45" t="str">
        <f>CONFERENCIAS!R558</f>
        <v/>
      </c>
      <c r="L558" s="45">
        <f>IF(D558="",0,
 IF(E558=1,
   IF(H558="Presencial",
      VLOOKUP(D558,TARIFAS!A:K,3,FALSE) + IF(I558="Sí",VLOOKUP(D558,TARIFAS!A:K,5,FALSE),0),
      VLOOKUP(D558,TARIFAS!A:K,4,FALSE) + IF(I558="Sí",VLOOKUP(D558,TARIFAS!A:K,5,FALSE),0)
   ),
   IF(H558="Presencial",
      VLOOKUP(D558,TARIFAS!A:K,9,FALSE) + IF(I558="Sí",VLOOKUP(D558,TARIFAS!A:K,11,FALSE),0),
      VLOOKUP(D558,TARIFAS!A:K,10,FALSE) + IF(I558="Sí",VLOOKUP(D558,TARIFAS!A:K,11,FALSE),0)
   )
 )
)
</f>
        <v>0</v>
      </c>
      <c r="M558" s="45">
        <f>IF(J558="",0,MAX(0,J558 - TARIFAS!G$2) * TARIFAS!F$2)
</f>
        <v>0</v>
      </c>
      <c r="N558" s="45">
        <f>+L558*TARIFAS!$K$2</f>
        <v>0</v>
      </c>
      <c r="O558" s="45">
        <f t="shared" si="1"/>
        <v>0</v>
      </c>
      <c r="P558" s="45">
        <f>+M558+O558+K558+(+I558-(I558*TARIFAS!$K$2))</f>
        <v>0</v>
      </c>
      <c r="Q558" s="42" t="str">
        <f>CONFERENCIAS!T558</f>
        <v/>
      </c>
      <c r="R558" s="45" t="str">
        <f>CONFERENCIAS!U558</f>
        <v/>
      </c>
      <c r="S558" s="45" t="str">
        <f>CONFERENCIAS!W558</f>
        <v/>
      </c>
      <c r="T558" s="48">
        <f>IF(Q558="",0,
   IF(E558=1,
      IF(H558="Presencial",
         VLOOKUP(D558,TARIFAS!A:K,3,FALSE) + IF(I558="Sí",VLOOKUP(D558,TARIFAS!A:K,5,FALSE),0),
         VLOOKUP(D558,TARIFAS!A:K,4,FALSE) + IF(I558="Sí",VLOOKUP(D558,TARIFAS!A:K,5,FALSE),0)
      ),
      IF(H558="Presencial",
         VLOOKUP(D558,TARIFAS!A:K,9,FALSE) + IF(I558="Sí",VLOOKUP(D558,TARIFAS!A:K,11,FALSE),0),
         VLOOKUP(D558,TARIFAS!A:K,10,FALSE) + IF(I558="Sí",VLOOKUP(D558,TARIFAS!A:K,11,FALSE),0)
      )
   )
)
</f>
        <v>0</v>
      </c>
      <c r="U558" s="45">
        <f>IF(R558="",0,MAX(0,R558 - TARIFAS!G$2) * TARIFAS!F$2)
</f>
        <v>0</v>
      </c>
      <c r="V558" s="45">
        <f>+T558*TARIFAS!$K$2</f>
        <v>0</v>
      </c>
      <c r="W558" s="45">
        <f t="shared" si="2"/>
        <v>0</v>
      </c>
      <c r="X558" s="45">
        <f t="shared" si="3"/>
        <v>0</v>
      </c>
      <c r="Y558" s="45">
        <f t="shared" si="4"/>
        <v>0</v>
      </c>
      <c r="Z558" s="42" t="str">
        <f>CONFERENCIAS!AB558</f>
        <v/>
      </c>
      <c r="AA558" s="42" t="str">
        <f>CONFERENCIAS!AC558</f>
        <v/>
      </c>
      <c r="AB558" s="47" t="str">
        <f t="shared" si="5"/>
        <v/>
      </c>
      <c r="AC558" s="9" t="str">
        <f t="shared" si="6"/>
        <v/>
      </c>
    </row>
    <row r="559">
      <c r="A559" s="42" t="str">
        <f>CONFERENCIAS!A559</f>
        <v/>
      </c>
      <c r="D559" s="42" t="str">
        <f>CONFERENCIAS!C559</f>
        <v/>
      </c>
      <c r="E559" s="42" t="str">
        <f>CONFERENCIAS!K559</f>
        <v/>
      </c>
      <c r="F559" s="49" t="str">
        <f>CONFERENCIAS!J559</f>
        <v/>
      </c>
      <c r="G559" s="42" t="str">
        <f>CONFERENCIAS!O559</f>
        <v/>
      </c>
      <c r="H559" s="42" t="str">
        <f>CONFERENCIAS!X559</f>
        <v/>
      </c>
      <c r="I559" s="42" t="str">
        <f>CONFERENCIAS!AA559</f>
        <v/>
      </c>
      <c r="J559" s="44" t="str">
        <f>CONFERENCIAS!P559</f>
        <v/>
      </c>
      <c r="K559" s="45" t="str">
        <f>CONFERENCIAS!R559</f>
        <v/>
      </c>
      <c r="L559" s="45">
        <f>IF(D559="",0,
 IF(E559=1,
   IF(H559="Presencial",
      VLOOKUP(D559,TARIFAS!A:K,3,FALSE) + IF(I559="Sí",VLOOKUP(D559,TARIFAS!A:K,5,FALSE),0),
      VLOOKUP(D559,TARIFAS!A:K,4,FALSE) + IF(I559="Sí",VLOOKUP(D559,TARIFAS!A:K,5,FALSE),0)
   ),
   IF(H559="Presencial",
      VLOOKUP(D559,TARIFAS!A:K,9,FALSE) + IF(I559="Sí",VLOOKUP(D559,TARIFAS!A:K,11,FALSE),0),
      VLOOKUP(D559,TARIFAS!A:K,10,FALSE) + IF(I559="Sí",VLOOKUP(D559,TARIFAS!A:K,11,FALSE),0)
   )
 )
)
</f>
        <v>0</v>
      </c>
      <c r="M559" s="45">
        <f>IF(J559="",0,MAX(0,J559 - TARIFAS!G$2) * TARIFAS!F$2)
</f>
        <v>0</v>
      </c>
      <c r="N559" s="45">
        <f>+L559*TARIFAS!$K$2</f>
        <v>0</v>
      </c>
      <c r="O559" s="45">
        <f t="shared" si="1"/>
        <v>0</v>
      </c>
      <c r="P559" s="45">
        <f>+M559+O559+K559+(+I559-(I559*TARIFAS!$K$2))</f>
        <v>0</v>
      </c>
      <c r="Q559" s="42" t="str">
        <f>CONFERENCIAS!T559</f>
        <v/>
      </c>
      <c r="R559" s="45" t="str">
        <f>CONFERENCIAS!U559</f>
        <v/>
      </c>
      <c r="S559" s="45" t="str">
        <f>CONFERENCIAS!W559</f>
        <v/>
      </c>
      <c r="T559" s="48">
        <f>IF(Q559="",0,
   IF(E559=1,
      IF(H559="Presencial",
         VLOOKUP(D559,TARIFAS!A:K,3,FALSE) + IF(I559="Sí",VLOOKUP(D559,TARIFAS!A:K,5,FALSE),0),
         VLOOKUP(D559,TARIFAS!A:K,4,FALSE) + IF(I559="Sí",VLOOKUP(D559,TARIFAS!A:K,5,FALSE),0)
      ),
      IF(H559="Presencial",
         VLOOKUP(D559,TARIFAS!A:K,9,FALSE) + IF(I559="Sí",VLOOKUP(D559,TARIFAS!A:K,11,FALSE),0),
         VLOOKUP(D559,TARIFAS!A:K,10,FALSE) + IF(I559="Sí",VLOOKUP(D559,TARIFAS!A:K,11,FALSE),0)
      )
   )
)
</f>
        <v>0</v>
      </c>
      <c r="U559" s="45">
        <f>IF(R559="",0,MAX(0,R559 - TARIFAS!G$2) * TARIFAS!F$2)
</f>
        <v>0</v>
      </c>
      <c r="V559" s="45">
        <f>+T559*TARIFAS!$K$2</f>
        <v>0</v>
      </c>
      <c r="W559" s="45">
        <f t="shared" si="2"/>
        <v>0</v>
      </c>
      <c r="X559" s="45">
        <f t="shared" si="3"/>
        <v>0</v>
      </c>
      <c r="Y559" s="45">
        <f t="shared" si="4"/>
        <v>0</v>
      </c>
      <c r="Z559" s="42" t="str">
        <f>CONFERENCIAS!AB559</f>
        <v/>
      </c>
      <c r="AA559" s="42" t="str">
        <f>CONFERENCIAS!AC559</f>
        <v/>
      </c>
      <c r="AB559" s="47" t="str">
        <f t="shared" si="5"/>
        <v/>
      </c>
      <c r="AC559" s="9" t="str">
        <f t="shared" si="6"/>
        <v/>
      </c>
    </row>
    <row r="560">
      <c r="A560" s="42" t="str">
        <f>CONFERENCIAS!A560</f>
        <v/>
      </c>
      <c r="D560" s="42" t="str">
        <f>CONFERENCIAS!C560</f>
        <v/>
      </c>
      <c r="E560" s="42" t="str">
        <f>CONFERENCIAS!K560</f>
        <v/>
      </c>
      <c r="F560" s="49" t="str">
        <f>CONFERENCIAS!J560</f>
        <v/>
      </c>
      <c r="G560" s="42" t="str">
        <f>CONFERENCIAS!O560</f>
        <v/>
      </c>
      <c r="H560" s="42" t="str">
        <f>CONFERENCIAS!X560</f>
        <v/>
      </c>
      <c r="I560" s="42" t="str">
        <f>CONFERENCIAS!AA560</f>
        <v/>
      </c>
      <c r="J560" s="44" t="str">
        <f>CONFERENCIAS!P560</f>
        <v/>
      </c>
      <c r="K560" s="45" t="str">
        <f>CONFERENCIAS!R560</f>
        <v/>
      </c>
      <c r="L560" s="45">
        <f>IF(D560="",0,
 IF(E560=1,
   IF(H560="Presencial",
      VLOOKUP(D560,TARIFAS!A:K,3,FALSE) + IF(I560="Sí",VLOOKUP(D560,TARIFAS!A:K,5,FALSE),0),
      VLOOKUP(D560,TARIFAS!A:K,4,FALSE) + IF(I560="Sí",VLOOKUP(D560,TARIFAS!A:K,5,FALSE),0)
   ),
   IF(H560="Presencial",
      VLOOKUP(D560,TARIFAS!A:K,9,FALSE) + IF(I560="Sí",VLOOKUP(D560,TARIFAS!A:K,11,FALSE),0),
      VLOOKUP(D560,TARIFAS!A:K,10,FALSE) + IF(I560="Sí",VLOOKUP(D560,TARIFAS!A:K,11,FALSE),0)
   )
 )
)
</f>
        <v>0</v>
      </c>
      <c r="M560" s="45">
        <f>IF(J560="",0,MAX(0,J560 - TARIFAS!G$2) * TARIFAS!F$2)
</f>
        <v>0</v>
      </c>
      <c r="N560" s="45">
        <f>+L560*TARIFAS!$K$2</f>
        <v>0</v>
      </c>
      <c r="O560" s="45">
        <f t="shared" si="1"/>
        <v>0</v>
      </c>
      <c r="P560" s="45">
        <f>+M560+O560+K560+(+I560-(I560*TARIFAS!$K$2))</f>
        <v>0</v>
      </c>
      <c r="Q560" s="42" t="str">
        <f>CONFERENCIAS!T560</f>
        <v/>
      </c>
      <c r="R560" s="45" t="str">
        <f>CONFERENCIAS!U560</f>
        <v/>
      </c>
      <c r="S560" s="45" t="str">
        <f>CONFERENCIAS!W560</f>
        <v/>
      </c>
      <c r="T560" s="48">
        <f>IF(Q560="",0,
   IF(E560=1,
      IF(H560="Presencial",
         VLOOKUP(D560,TARIFAS!A:K,3,FALSE) + IF(I560="Sí",VLOOKUP(D560,TARIFAS!A:K,5,FALSE),0),
         VLOOKUP(D560,TARIFAS!A:K,4,FALSE) + IF(I560="Sí",VLOOKUP(D560,TARIFAS!A:K,5,FALSE),0)
      ),
      IF(H560="Presencial",
         VLOOKUP(D560,TARIFAS!A:K,9,FALSE) + IF(I560="Sí",VLOOKUP(D560,TARIFAS!A:K,11,FALSE),0),
         VLOOKUP(D560,TARIFAS!A:K,10,FALSE) + IF(I560="Sí",VLOOKUP(D560,TARIFAS!A:K,11,FALSE),0)
      )
   )
)
</f>
        <v>0</v>
      </c>
      <c r="U560" s="45">
        <f>IF(R560="",0,MAX(0,R560 - TARIFAS!G$2) * TARIFAS!F$2)
</f>
        <v>0</v>
      </c>
      <c r="V560" s="45">
        <f>+T560*TARIFAS!$K$2</f>
        <v>0</v>
      </c>
      <c r="W560" s="45">
        <f t="shared" si="2"/>
        <v>0</v>
      </c>
      <c r="X560" s="45">
        <f t="shared" si="3"/>
        <v>0</v>
      </c>
      <c r="Y560" s="45">
        <f t="shared" si="4"/>
        <v>0</v>
      </c>
      <c r="Z560" s="42" t="str">
        <f>CONFERENCIAS!AB560</f>
        <v/>
      </c>
      <c r="AA560" s="42" t="str">
        <f>CONFERENCIAS!AC560</f>
        <v/>
      </c>
      <c r="AB560" s="47" t="str">
        <f t="shared" si="5"/>
        <v/>
      </c>
      <c r="AC560" s="9" t="str">
        <f t="shared" si="6"/>
        <v/>
      </c>
    </row>
    <row r="561">
      <c r="A561" s="42" t="str">
        <f>CONFERENCIAS!A561</f>
        <v/>
      </c>
      <c r="D561" s="42" t="str">
        <f>CONFERENCIAS!C561</f>
        <v/>
      </c>
      <c r="E561" s="42" t="str">
        <f>CONFERENCIAS!K561</f>
        <v/>
      </c>
      <c r="F561" s="49" t="str">
        <f>CONFERENCIAS!J561</f>
        <v/>
      </c>
      <c r="G561" s="42" t="str">
        <f>CONFERENCIAS!O561</f>
        <v/>
      </c>
      <c r="H561" s="42" t="str">
        <f>CONFERENCIAS!X561</f>
        <v/>
      </c>
      <c r="I561" s="42" t="str">
        <f>CONFERENCIAS!AA561</f>
        <v/>
      </c>
      <c r="J561" s="44" t="str">
        <f>CONFERENCIAS!P561</f>
        <v/>
      </c>
      <c r="K561" s="45" t="str">
        <f>CONFERENCIAS!R561</f>
        <v/>
      </c>
      <c r="L561" s="45">
        <f>IF(D561="",0,
 IF(E561=1,
   IF(H561="Presencial",
      VLOOKUP(D561,TARIFAS!A:K,3,FALSE) + IF(I561="Sí",VLOOKUP(D561,TARIFAS!A:K,5,FALSE),0),
      VLOOKUP(D561,TARIFAS!A:K,4,FALSE) + IF(I561="Sí",VLOOKUP(D561,TARIFAS!A:K,5,FALSE),0)
   ),
   IF(H561="Presencial",
      VLOOKUP(D561,TARIFAS!A:K,9,FALSE) + IF(I561="Sí",VLOOKUP(D561,TARIFAS!A:K,11,FALSE),0),
      VLOOKUP(D561,TARIFAS!A:K,10,FALSE) + IF(I561="Sí",VLOOKUP(D561,TARIFAS!A:K,11,FALSE),0)
   )
 )
)
</f>
        <v>0</v>
      </c>
      <c r="M561" s="45">
        <f>IF(J561="",0,MAX(0,J561 - TARIFAS!G$2) * TARIFAS!F$2)
</f>
        <v>0</v>
      </c>
      <c r="N561" s="45">
        <f>+L561*TARIFAS!$K$2</f>
        <v>0</v>
      </c>
      <c r="O561" s="45">
        <f t="shared" si="1"/>
        <v>0</v>
      </c>
      <c r="P561" s="45">
        <f>+M561+O561+K561+(+I561-(I561*TARIFAS!$K$2))</f>
        <v>0</v>
      </c>
      <c r="Q561" s="42" t="str">
        <f>CONFERENCIAS!T561</f>
        <v/>
      </c>
      <c r="R561" s="45" t="str">
        <f>CONFERENCIAS!U561</f>
        <v/>
      </c>
      <c r="S561" s="45" t="str">
        <f>CONFERENCIAS!W561</f>
        <v/>
      </c>
      <c r="T561" s="48">
        <f>IF(Q561="",0,
   IF(E561=1,
      IF(H561="Presencial",
         VLOOKUP(D561,TARIFAS!A:K,3,FALSE) + IF(I561="Sí",VLOOKUP(D561,TARIFAS!A:K,5,FALSE),0),
         VLOOKUP(D561,TARIFAS!A:K,4,FALSE) + IF(I561="Sí",VLOOKUP(D561,TARIFAS!A:K,5,FALSE),0)
      ),
      IF(H561="Presencial",
         VLOOKUP(D561,TARIFAS!A:K,9,FALSE) + IF(I561="Sí",VLOOKUP(D561,TARIFAS!A:K,11,FALSE),0),
         VLOOKUP(D561,TARIFAS!A:K,10,FALSE) + IF(I561="Sí",VLOOKUP(D561,TARIFAS!A:K,11,FALSE),0)
      )
   )
)
</f>
        <v>0</v>
      </c>
      <c r="U561" s="45">
        <f>IF(R561="",0,MAX(0,R561 - TARIFAS!G$2) * TARIFAS!F$2)
</f>
        <v>0</v>
      </c>
      <c r="V561" s="45">
        <f>+T561*TARIFAS!$K$2</f>
        <v>0</v>
      </c>
      <c r="W561" s="45">
        <f t="shared" si="2"/>
        <v>0</v>
      </c>
      <c r="X561" s="45">
        <f t="shared" si="3"/>
        <v>0</v>
      </c>
      <c r="Y561" s="45">
        <f t="shared" si="4"/>
        <v>0</v>
      </c>
      <c r="Z561" s="42" t="str">
        <f>CONFERENCIAS!AB561</f>
        <v/>
      </c>
      <c r="AA561" s="42" t="str">
        <f>CONFERENCIAS!AC561</f>
        <v/>
      </c>
      <c r="AB561" s="47" t="str">
        <f t="shared" si="5"/>
        <v/>
      </c>
      <c r="AC561" s="9" t="str">
        <f t="shared" si="6"/>
        <v/>
      </c>
    </row>
    <row r="562">
      <c r="A562" s="42" t="str">
        <f>CONFERENCIAS!A562</f>
        <v/>
      </c>
      <c r="D562" s="42" t="str">
        <f>CONFERENCIAS!C562</f>
        <v/>
      </c>
      <c r="E562" s="42" t="str">
        <f>CONFERENCIAS!K562</f>
        <v/>
      </c>
      <c r="F562" s="49" t="str">
        <f>CONFERENCIAS!J562</f>
        <v/>
      </c>
      <c r="G562" s="42" t="str">
        <f>CONFERENCIAS!O562</f>
        <v/>
      </c>
      <c r="H562" s="42" t="str">
        <f>CONFERENCIAS!X562</f>
        <v/>
      </c>
      <c r="I562" s="42" t="str">
        <f>CONFERENCIAS!AA562</f>
        <v/>
      </c>
      <c r="J562" s="44" t="str">
        <f>CONFERENCIAS!P562</f>
        <v/>
      </c>
      <c r="K562" s="45" t="str">
        <f>CONFERENCIAS!R562</f>
        <v/>
      </c>
      <c r="L562" s="45">
        <f>IF(D562="",0,
 IF(E562=1,
   IF(H562="Presencial",
      VLOOKUP(D562,TARIFAS!A:K,3,FALSE) + IF(I562="Sí",VLOOKUP(D562,TARIFAS!A:K,5,FALSE),0),
      VLOOKUP(D562,TARIFAS!A:K,4,FALSE) + IF(I562="Sí",VLOOKUP(D562,TARIFAS!A:K,5,FALSE),0)
   ),
   IF(H562="Presencial",
      VLOOKUP(D562,TARIFAS!A:K,9,FALSE) + IF(I562="Sí",VLOOKUP(D562,TARIFAS!A:K,11,FALSE),0),
      VLOOKUP(D562,TARIFAS!A:K,10,FALSE) + IF(I562="Sí",VLOOKUP(D562,TARIFAS!A:K,11,FALSE),0)
   )
 )
)
</f>
        <v>0</v>
      </c>
      <c r="M562" s="45">
        <f>IF(J562="",0,MAX(0,J562 - TARIFAS!G$2) * TARIFAS!F$2)
</f>
        <v>0</v>
      </c>
      <c r="N562" s="45">
        <f>+L562*TARIFAS!$K$2</f>
        <v>0</v>
      </c>
      <c r="O562" s="45">
        <f t="shared" si="1"/>
        <v>0</v>
      </c>
      <c r="P562" s="45">
        <f>+M562+O562+K562+(+I562-(I562*TARIFAS!$K$2))</f>
        <v>0</v>
      </c>
      <c r="Q562" s="42" t="str">
        <f>CONFERENCIAS!T562</f>
        <v/>
      </c>
      <c r="R562" s="45" t="str">
        <f>CONFERENCIAS!U562</f>
        <v/>
      </c>
      <c r="S562" s="45" t="str">
        <f>CONFERENCIAS!W562</f>
        <v/>
      </c>
      <c r="T562" s="48">
        <f>IF(Q562="",0,
   IF(E562=1,
      IF(H562="Presencial",
         VLOOKUP(D562,TARIFAS!A:K,3,FALSE) + IF(I562="Sí",VLOOKUP(D562,TARIFAS!A:K,5,FALSE),0),
         VLOOKUP(D562,TARIFAS!A:K,4,FALSE) + IF(I562="Sí",VLOOKUP(D562,TARIFAS!A:K,5,FALSE),0)
      ),
      IF(H562="Presencial",
         VLOOKUP(D562,TARIFAS!A:K,9,FALSE) + IF(I562="Sí",VLOOKUP(D562,TARIFAS!A:K,11,FALSE),0),
         VLOOKUP(D562,TARIFAS!A:K,10,FALSE) + IF(I562="Sí",VLOOKUP(D562,TARIFAS!A:K,11,FALSE),0)
      )
   )
)
</f>
        <v>0</v>
      </c>
      <c r="U562" s="45">
        <f>IF(R562="",0,MAX(0,R562 - TARIFAS!G$2) * TARIFAS!F$2)
</f>
        <v>0</v>
      </c>
      <c r="V562" s="45">
        <f>+T562*TARIFAS!$K$2</f>
        <v>0</v>
      </c>
      <c r="W562" s="45">
        <f t="shared" si="2"/>
        <v>0</v>
      </c>
      <c r="X562" s="45">
        <f t="shared" si="3"/>
        <v>0</v>
      </c>
      <c r="Y562" s="45">
        <f t="shared" si="4"/>
        <v>0</v>
      </c>
      <c r="Z562" s="42" t="str">
        <f>CONFERENCIAS!AB562</f>
        <v/>
      </c>
      <c r="AA562" s="42" t="str">
        <f>CONFERENCIAS!AC562</f>
        <v/>
      </c>
      <c r="AB562" s="47" t="str">
        <f t="shared" si="5"/>
        <v/>
      </c>
      <c r="AC562" s="9" t="str">
        <f t="shared" si="6"/>
        <v/>
      </c>
    </row>
    <row r="563">
      <c r="A563" s="42" t="str">
        <f>CONFERENCIAS!A563</f>
        <v/>
      </c>
      <c r="D563" s="42" t="str">
        <f>CONFERENCIAS!C563</f>
        <v/>
      </c>
      <c r="E563" s="42" t="str">
        <f>CONFERENCIAS!K563</f>
        <v/>
      </c>
      <c r="F563" s="49" t="str">
        <f>CONFERENCIAS!J563</f>
        <v/>
      </c>
      <c r="G563" s="42" t="str">
        <f>CONFERENCIAS!O563</f>
        <v/>
      </c>
      <c r="H563" s="42" t="str">
        <f>CONFERENCIAS!X563</f>
        <v/>
      </c>
      <c r="I563" s="42" t="str">
        <f>CONFERENCIAS!AA563</f>
        <v/>
      </c>
      <c r="J563" s="44" t="str">
        <f>CONFERENCIAS!P563</f>
        <v/>
      </c>
      <c r="K563" s="45" t="str">
        <f>CONFERENCIAS!R563</f>
        <v/>
      </c>
      <c r="L563" s="45">
        <f>IF(D563="",0,
 IF(E563=1,
   IF(H563="Presencial",
      VLOOKUP(D563,TARIFAS!A:K,3,FALSE) + IF(I563="Sí",VLOOKUP(D563,TARIFAS!A:K,5,FALSE),0),
      VLOOKUP(D563,TARIFAS!A:K,4,FALSE) + IF(I563="Sí",VLOOKUP(D563,TARIFAS!A:K,5,FALSE),0)
   ),
   IF(H563="Presencial",
      VLOOKUP(D563,TARIFAS!A:K,9,FALSE) + IF(I563="Sí",VLOOKUP(D563,TARIFAS!A:K,11,FALSE),0),
      VLOOKUP(D563,TARIFAS!A:K,10,FALSE) + IF(I563="Sí",VLOOKUP(D563,TARIFAS!A:K,11,FALSE),0)
   )
 )
)
</f>
        <v>0</v>
      </c>
      <c r="M563" s="45">
        <f>IF(J563="",0,MAX(0,J563 - TARIFAS!G$2) * TARIFAS!F$2)
</f>
        <v>0</v>
      </c>
      <c r="N563" s="45">
        <f>+L563*TARIFAS!$K$2</f>
        <v>0</v>
      </c>
      <c r="O563" s="45">
        <f t="shared" si="1"/>
        <v>0</v>
      </c>
      <c r="P563" s="45">
        <f>+M563+O563+K563+(+I563-(I563*TARIFAS!$K$2))</f>
        <v>0</v>
      </c>
      <c r="Q563" s="42" t="str">
        <f>CONFERENCIAS!T563</f>
        <v/>
      </c>
      <c r="R563" s="45" t="str">
        <f>CONFERENCIAS!U563</f>
        <v/>
      </c>
      <c r="S563" s="45" t="str">
        <f>CONFERENCIAS!W563</f>
        <v/>
      </c>
      <c r="T563" s="48">
        <f>IF(Q563="",0,
   IF(E563=1,
      IF(H563="Presencial",
         VLOOKUP(D563,TARIFAS!A:K,3,FALSE) + IF(I563="Sí",VLOOKUP(D563,TARIFAS!A:K,5,FALSE),0),
         VLOOKUP(D563,TARIFAS!A:K,4,FALSE) + IF(I563="Sí",VLOOKUP(D563,TARIFAS!A:K,5,FALSE),0)
      ),
      IF(H563="Presencial",
         VLOOKUP(D563,TARIFAS!A:K,9,FALSE) + IF(I563="Sí",VLOOKUP(D563,TARIFAS!A:K,11,FALSE),0),
         VLOOKUP(D563,TARIFAS!A:K,10,FALSE) + IF(I563="Sí",VLOOKUP(D563,TARIFAS!A:K,11,FALSE),0)
      )
   )
)
</f>
        <v>0</v>
      </c>
      <c r="U563" s="45">
        <f>IF(R563="",0,MAX(0,R563 - TARIFAS!G$2) * TARIFAS!F$2)
</f>
        <v>0</v>
      </c>
      <c r="V563" s="45">
        <f>+T563*TARIFAS!$K$2</f>
        <v>0</v>
      </c>
      <c r="W563" s="45">
        <f t="shared" si="2"/>
        <v>0</v>
      </c>
      <c r="X563" s="45">
        <f t="shared" si="3"/>
        <v>0</v>
      </c>
      <c r="Y563" s="45">
        <f t="shared" si="4"/>
        <v>0</v>
      </c>
      <c r="Z563" s="42" t="str">
        <f>CONFERENCIAS!AB563</f>
        <v/>
      </c>
      <c r="AA563" s="42" t="str">
        <f>CONFERENCIAS!AC563</f>
        <v/>
      </c>
      <c r="AB563" s="47" t="str">
        <f t="shared" si="5"/>
        <v/>
      </c>
      <c r="AC563" s="9" t="str">
        <f t="shared" si="6"/>
        <v/>
      </c>
    </row>
    <row r="564">
      <c r="A564" s="42" t="str">
        <f>CONFERENCIAS!A564</f>
        <v/>
      </c>
      <c r="D564" s="42" t="str">
        <f>CONFERENCIAS!C564</f>
        <v/>
      </c>
      <c r="E564" s="42" t="str">
        <f>CONFERENCIAS!K564</f>
        <v/>
      </c>
      <c r="F564" s="49" t="str">
        <f>CONFERENCIAS!J564</f>
        <v/>
      </c>
      <c r="G564" s="42" t="str">
        <f>CONFERENCIAS!O564</f>
        <v/>
      </c>
      <c r="H564" s="42" t="str">
        <f>CONFERENCIAS!X564</f>
        <v/>
      </c>
      <c r="I564" s="42" t="str">
        <f>CONFERENCIAS!AA564</f>
        <v/>
      </c>
      <c r="J564" s="44" t="str">
        <f>CONFERENCIAS!P564</f>
        <v/>
      </c>
      <c r="K564" s="45" t="str">
        <f>CONFERENCIAS!R564</f>
        <v/>
      </c>
      <c r="L564" s="45">
        <f>IF(D564="",0,
 IF(E564=1,
   IF(H564="Presencial",
      VLOOKUP(D564,TARIFAS!A:K,3,FALSE) + IF(I564="Sí",VLOOKUP(D564,TARIFAS!A:K,5,FALSE),0),
      VLOOKUP(D564,TARIFAS!A:K,4,FALSE) + IF(I564="Sí",VLOOKUP(D564,TARIFAS!A:K,5,FALSE),0)
   ),
   IF(H564="Presencial",
      VLOOKUP(D564,TARIFAS!A:K,9,FALSE) + IF(I564="Sí",VLOOKUP(D564,TARIFAS!A:K,11,FALSE),0),
      VLOOKUP(D564,TARIFAS!A:K,10,FALSE) + IF(I564="Sí",VLOOKUP(D564,TARIFAS!A:K,11,FALSE),0)
   )
 )
)
</f>
        <v>0</v>
      </c>
      <c r="M564" s="45">
        <f>IF(J564="",0,MAX(0,J564 - TARIFAS!G$2) * TARIFAS!F$2)
</f>
        <v>0</v>
      </c>
      <c r="N564" s="45">
        <f>+L564*TARIFAS!$K$2</f>
        <v>0</v>
      </c>
      <c r="O564" s="45">
        <f t="shared" si="1"/>
        <v>0</v>
      </c>
      <c r="P564" s="45">
        <f>+M564+O564+K564+(+I564-(I564*TARIFAS!$K$2))</f>
        <v>0</v>
      </c>
      <c r="Q564" s="42" t="str">
        <f>CONFERENCIAS!T564</f>
        <v/>
      </c>
      <c r="R564" s="45" t="str">
        <f>CONFERENCIAS!U564</f>
        <v/>
      </c>
      <c r="S564" s="45" t="str">
        <f>CONFERENCIAS!W564</f>
        <v/>
      </c>
      <c r="T564" s="48">
        <f>IF(Q564="",0,
   IF(E564=1,
      IF(H564="Presencial",
         VLOOKUP(D564,TARIFAS!A:K,3,FALSE) + IF(I564="Sí",VLOOKUP(D564,TARIFAS!A:K,5,FALSE),0),
         VLOOKUP(D564,TARIFAS!A:K,4,FALSE) + IF(I564="Sí",VLOOKUP(D564,TARIFAS!A:K,5,FALSE),0)
      ),
      IF(H564="Presencial",
         VLOOKUP(D564,TARIFAS!A:K,9,FALSE) + IF(I564="Sí",VLOOKUP(D564,TARIFAS!A:K,11,FALSE),0),
         VLOOKUP(D564,TARIFAS!A:K,10,FALSE) + IF(I564="Sí",VLOOKUP(D564,TARIFAS!A:K,11,FALSE),0)
      )
   )
)
</f>
        <v>0</v>
      </c>
      <c r="U564" s="45">
        <f>IF(R564="",0,MAX(0,R564 - TARIFAS!G$2) * TARIFAS!F$2)
</f>
        <v>0</v>
      </c>
      <c r="V564" s="45">
        <f>+T564*TARIFAS!$K$2</f>
        <v>0</v>
      </c>
      <c r="W564" s="45">
        <f t="shared" si="2"/>
        <v>0</v>
      </c>
      <c r="X564" s="45">
        <f t="shared" si="3"/>
        <v>0</v>
      </c>
      <c r="Y564" s="45">
        <f t="shared" si="4"/>
        <v>0</v>
      </c>
      <c r="Z564" s="42" t="str">
        <f>CONFERENCIAS!AB564</f>
        <v/>
      </c>
      <c r="AA564" s="42" t="str">
        <f>CONFERENCIAS!AC564</f>
        <v/>
      </c>
      <c r="AB564" s="47" t="str">
        <f t="shared" si="5"/>
        <v/>
      </c>
      <c r="AC564" s="9" t="str">
        <f t="shared" si="6"/>
        <v/>
      </c>
    </row>
    <row r="565">
      <c r="A565" s="42" t="str">
        <f>CONFERENCIAS!A565</f>
        <v/>
      </c>
      <c r="D565" s="42" t="str">
        <f>CONFERENCIAS!C565</f>
        <v/>
      </c>
      <c r="E565" s="42" t="str">
        <f>CONFERENCIAS!K565</f>
        <v/>
      </c>
      <c r="F565" s="49" t="str">
        <f>CONFERENCIAS!J565</f>
        <v/>
      </c>
      <c r="G565" s="42" t="str">
        <f>CONFERENCIAS!O565</f>
        <v/>
      </c>
      <c r="H565" s="42" t="str">
        <f>CONFERENCIAS!X565</f>
        <v/>
      </c>
      <c r="I565" s="42" t="str">
        <f>CONFERENCIAS!AA565</f>
        <v/>
      </c>
      <c r="J565" s="44" t="str">
        <f>CONFERENCIAS!P565</f>
        <v/>
      </c>
      <c r="K565" s="45" t="str">
        <f>CONFERENCIAS!R565</f>
        <v/>
      </c>
      <c r="L565" s="45">
        <f>IF(D565="",0,
 IF(E565=1,
   IF(H565="Presencial",
      VLOOKUP(D565,TARIFAS!A:K,3,FALSE) + IF(I565="Sí",VLOOKUP(D565,TARIFAS!A:K,5,FALSE),0),
      VLOOKUP(D565,TARIFAS!A:K,4,FALSE) + IF(I565="Sí",VLOOKUP(D565,TARIFAS!A:K,5,FALSE),0)
   ),
   IF(H565="Presencial",
      VLOOKUP(D565,TARIFAS!A:K,9,FALSE) + IF(I565="Sí",VLOOKUP(D565,TARIFAS!A:K,11,FALSE),0),
      VLOOKUP(D565,TARIFAS!A:K,10,FALSE) + IF(I565="Sí",VLOOKUP(D565,TARIFAS!A:K,11,FALSE),0)
   )
 )
)
</f>
        <v>0</v>
      </c>
      <c r="M565" s="45">
        <f>IF(J565="",0,MAX(0,J565 - TARIFAS!G$2) * TARIFAS!F$2)
</f>
        <v>0</v>
      </c>
      <c r="N565" s="45">
        <f>+L565*TARIFAS!$K$2</f>
        <v>0</v>
      </c>
      <c r="O565" s="45">
        <f t="shared" si="1"/>
        <v>0</v>
      </c>
      <c r="P565" s="45">
        <f>+M565+O565+K565+(+I565-(I565*TARIFAS!$K$2))</f>
        <v>0</v>
      </c>
      <c r="Q565" s="42" t="str">
        <f>CONFERENCIAS!T565</f>
        <v/>
      </c>
      <c r="R565" s="45" t="str">
        <f>CONFERENCIAS!U565</f>
        <v/>
      </c>
      <c r="S565" s="45" t="str">
        <f>CONFERENCIAS!W565</f>
        <v/>
      </c>
      <c r="T565" s="48">
        <f>IF(Q565="",0,
   IF(E565=1,
      IF(H565="Presencial",
         VLOOKUP(D565,TARIFAS!A:K,3,FALSE) + IF(I565="Sí",VLOOKUP(D565,TARIFAS!A:K,5,FALSE),0),
         VLOOKUP(D565,TARIFAS!A:K,4,FALSE) + IF(I565="Sí",VLOOKUP(D565,TARIFAS!A:K,5,FALSE),0)
      ),
      IF(H565="Presencial",
         VLOOKUP(D565,TARIFAS!A:K,9,FALSE) + IF(I565="Sí",VLOOKUP(D565,TARIFAS!A:K,11,FALSE),0),
         VLOOKUP(D565,TARIFAS!A:K,10,FALSE) + IF(I565="Sí",VLOOKUP(D565,TARIFAS!A:K,11,FALSE),0)
      )
   )
)
</f>
        <v>0</v>
      </c>
      <c r="U565" s="45">
        <f>IF(R565="",0,MAX(0,R565 - TARIFAS!G$2) * TARIFAS!F$2)
</f>
        <v>0</v>
      </c>
      <c r="V565" s="45">
        <f>+T565*TARIFAS!$K$2</f>
        <v>0</v>
      </c>
      <c r="W565" s="45">
        <f t="shared" si="2"/>
        <v>0</v>
      </c>
      <c r="X565" s="45">
        <f t="shared" si="3"/>
        <v>0</v>
      </c>
      <c r="Y565" s="45">
        <f t="shared" si="4"/>
        <v>0</v>
      </c>
      <c r="Z565" s="42" t="str">
        <f>CONFERENCIAS!AB565</f>
        <v/>
      </c>
      <c r="AA565" s="42" t="str">
        <f>CONFERENCIAS!AC565</f>
        <v/>
      </c>
      <c r="AB565" s="47" t="str">
        <f t="shared" si="5"/>
        <v/>
      </c>
      <c r="AC565" s="9" t="str">
        <f t="shared" si="6"/>
        <v/>
      </c>
    </row>
    <row r="566">
      <c r="A566" s="42" t="str">
        <f>CONFERENCIAS!A566</f>
        <v/>
      </c>
      <c r="D566" s="42" t="str">
        <f>CONFERENCIAS!C566</f>
        <v/>
      </c>
      <c r="E566" s="42" t="str">
        <f>CONFERENCIAS!K566</f>
        <v/>
      </c>
      <c r="F566" s="49" t="str">
        <f>CONFERENCIAS!J566</f>
        <v/>
      </c>
      <c r="G566" s="42" t="str">
        <f>CONFERENCIAS!O566</f>
        <v/>
      </c>
      <c r="H566" s="42" t="str">
        <f>CONFERENCIAS!X566</f>
        <v/>
      </c>
      <c r="I566" s="42" t="str">
        <f>CONFERENCIAS!AA566</f>
        <v/>
      </c>
      <c r="J566" s="44" t="str">
        <f>CONFERENCIAS!P566</f>
        <v/>
      </c>
      <c r="K566" s="45" t="str">
        <f>CONFERENCIAS!R566</f>
        <v/>
      </c>
      <c r="L566" s="45">
        <f>IF(D566="",0,
 IF(E566=1,
   IF(H566="Presencial",
      VLOOKUP(D566,TARIFAS!A:K,3,FALSE) + IF(I566="Sí",VLOOKUP(D566,TARIFAS!A:K,5,FALSE),0),
      VLOOKUP(D566,TARIFAS!A:K,4,FALSE) + IF(I566="Sí",VLOOKUP(D566,TARIFAS!A:K,5,FALSE),0)
   ),
   IF(H566="Presencial",
      VLOOKUP(D566,TARIFAS!A:K,9,FALSE) + IF(I566="Sí",VLOOKUP(D566,TARIFAS!A:K,11,FALSE),0),
      VLOOKUP(D566,TARIFAS!A:K,10,FALSE) + IF(I566="Sí",VLOOKUP(D566,TARIFAS!A:K,11,FALSE),0)
   )
 )
)
</f>
        <v>0</v>
      </c>
      <c r="M566" s="45">
        <f>IF(J566="",0,MAX(0,J566 - TARIFAS!G$2) * TARIFAS!F$2)
</f>
        <v>0</v>
      </c>
      <c r="N566" s="45">
        <f>+L566*TARIFAS!$K$2</f>
        <v>0</v>
      </c>
      <c r="O566" s="45">
        <f t="shared" si="1"/>
        <v>0</v>
      </c>
      <c r="P566" s="45">
        <f>+M566+O566+K566+(+I566-(I566*TARIFAS!$K$2))</f>
        <v>0</v>
      </c>
      <c r="Q566" s="42" t="str">
        <f>CONFERENCIAS!T566</f>
        <v/>
      </c>
      <c r="R566" s="45" t="str">
        <f>CONFERENCIAS!U566</f>
        <v/>
      </c>
      <c r="S566" s="45" t="str">
        <f>CONFERENCIAS!W566</f>
        <v/>
      </c>
      <c r="T566" s="48">
        <f>IF(Q566="",0,
   IF(E566=1,
      IF(H566="Presencial",
         VLOOKUP(D566,TARIFAS!A:K,3,FALSE) + IF(I566="Sí",VLOOKUP(D566,TARIFAS!A:K,5,FALSE),0),
         VLOOKUP(D566,TARIFAS!A:K,4,FALSE) + IF(I566="Sí",VLOOKUP(D566,TARIFAS!A:K,5,FALSE),0)
      ),
      IF(H566="Presencial",
         VLOOKUP(D566,TARIFAS!A:K,9,FALSE) + IF(I566="Sí",VLOOKUP(D566,TARIFAS!A:K,11,FALSE),0),
         VLOOKUP(D566,TARIFAS!A:K,10,FALSE) + IF(I566="Sí",VLOOKUP(D566,TARIFAS!A:K,11,FALSE),0)
      )
   )
)
</f>
        <v>0</v>
      </c>
      <c r="U566" s="45">
        <f>IF(R566="",0,MAX(0,R566 - TARIFAS!G$2) * TARIFAS!F$2)
</f>
        <v>0</v>
      </c>
      <c r="V566" s="45">
        <f>+T566*TARIFAS!$K$2</f>
        <v>0</v>
      </c>
      <c r="W566" s="45">
        <f t="shared" si="2"/>
        <v>0</v>
      </c>
      <c r="X566" s="45">
        <f t="shared" si="3"/>
        <v>0</v>
      </c>
      <c r="Y566" s="45">
        <f t="shared" si="4"/>
        <v>0</v>
      </c>
      <c r="Z566" s="42" t="str">
        <f>CONFERENCIAS!AB566</f>
        <v/>
      </c>
      <c r="AA566" s="42" t="str">
        <f>CONFERENCIAS!AC566</f>
        <v/>
      </c>
      <c r="AB566" s="47" t="str">
        <f t="shared" si="5"/>
        <v/>
      </c>
      <c r="AC566" s="9" t="str">
        <f t="shared" si="6"/>
        <v/>
      </c>
    </row>
    <row r="567">
      <c r="A567" s="42" t="str">
        <f>CONFERENCIAS!A567</f>
        <v/>
      </c>
      <c r="D567" s="42" t="str">
        <f>CONFERENCIAS!C567</f>
        <v/>
      </c>
      <c r="E567" s="42" t="str">
        <f>CONFERENCIAS!K567</f>
        <v/>
      </c>
      <c r="F567" s="49" t="str">
        <f>CONFERENCIAS!J567</f>
        <v/>
      </c>
      <c r="G567" s="42" t="str">
        <f>CONFERENCIAS!O567</f>
        <v/>
      </c>
      <c r="H567" s="42" t="str">
        <f>CONFERENCIAS!X567</f>
        <v/>
      </c>
      <c r="I567" s="42" t="str">
        <f>CONFERENCIAS!AA567</f>
        <v/>
      </c>
      <c r="J567" s="44" t="str">
        <f>CONFERENCIAS!P567</f>
        <v/>
      </c>
      <c r="K567" s="45" t="str">
        <f>CONFERENCIAS!R567</f>
        <v/>
      </c>
      <c r="L567" s="45">
        <f>IF(D567="",0,
 IF(E567=1,
   IF(H567="Presencial",
      VLOOKUP(D567,TARIFAS!A:K,3,FALSE) + IF(I567="Sí",VLOOKUP(D567,TARIFAS!A:K,5,FALSE),0),
      VLOOKUP(D567,TARIFAS!A:K,4,FALSE) + IF(I567="Sí",VLOOKUP(D567,TARIFAS!A:K,5,FALSE),0)
   ),
   IF(H567="Presencial",
      VLOOKUP(D567,TARIFAS!A:K,9,FALSE) + IF(I567="Sí",VLOOKUP(D567,TARIFAS!A:K,11,FALSE),0),
      VLOOKUP(D567,TARIFAS!A:K,10,FALSE) + IF(I567="Sí",VLOOKUP(D567,TARIFAS!A:K,11,FALSE),0)
   )
 )
)
</f>
        <v>0</v>
      </c>
      <c r="M567" s="45">
        <f>IF(J567="",0,MAX(0,J567 - TARIFAS!G$2) * TARIFAS!F$2)
</f>
        <v>0</v>
      </c>
      <c r="N567" s="45">
        <f>+L567*TARIFAS!$K$2</f>
        <v>0</v>
      </c>
      <c r="O567" s="45">
        <f t="shared" si="1"/>
        <v>0</v>
      </c>
      <c r="P567" s="45">
        <f>+M567+O567+K567+(+I567-(I567*TARIFAS!$K$2))</f>
        <v>0</v>
      </c>
      <c r="Q567" s="42" t="str">
        <f>CONFERENCIAS!T567</f>
        <v/>
      </c>
      <c r="R567" s="45" t="str">
        <f>CONFERENCIAS!U567</f>
        <v/>
      </c>
      <c r="S567" s="45" t="str">
        <f>CONFERENCIAS!W567</f>
        <v/>
      </c>
      <c r="T567" s="48">
        <f>IF(Q567="",0,
   IF(E567=1,
      IF(H567="Presencial",
         VLOOKUP(D567,TARIFAS!A:K,3,FALSE) + IF(I567="Sí",VLOOKUP(D567,TARIFAS!A:K,5,FALSE),0),
         VLOOKUP(D567,TARIFAS!A:K,4,FALSE) + IF(I567="Sí",VLOOKUP(D567,TARIFAS!A:K,5,FALSE),0)
      ),
      IF(H567="Presencial",
         VLOOKUP(D567,TARIFAS!A:K,9,FALSE) + IF(I567="Sí",VLOOKUP(D567,TARIFAS!A:K,11,FALSE),0),
         VLOOKUP(D567,TARIFAS!A:K,10,FALSE) + IF(I567="Sí",VLOOKUP(D567,TARIFAS!A:K,11,FALSE),0)
      )
   )
)
</f>
        <v>0</v>
      </c>
      <c r="U567" s="45">
        <f>IF(R567="",0,MAX(0,R567 - TARIFAS!G$2) * TARIFAS!F$2)
</f>
        <v>0</v>
      </c>
      <c r="V567" s="45">
        <f>+T567*TARIFAS!$K$2</f>
        <v>0</v>
      </c>
      <c r="W567" s="45">
        <f t="shared" si="2"/>
        <v>0</v>
      </c>
      <c r="X567" s="45">
        <f t="shared" si="3"/>
        <v>0</v>
      </c>
      <c r="Y567" s="45">
        <f t="shared" si="4"/>
        <v>0</v>
      </c>
      <c r="Z567" s="42" t="str">
        <f>CONFERENCIAS!AB567</f>
        <v/>
      </c>
      <c r="AA567" s="42" t="str">
        <f>CONFERENCIAS!AC567</f>
        <v/>
      </c>
      <c r="AB567" s="47" t="str">
        <f t="shared" si="5"/>
        <v/>
      </c>
      <c r="AC567" s="9" t="str">
        <f t="shared" si="6"/>
        <v/>
      </c>
    </row>
    <row r="568">
      <c r="A568" s="42" t="str">
        <f>CONFERENCIAS!A568</f>
        <v/>
      </c>
      <c r="D568" s="42" t="str">
        <f>CONFERENCIAS!C568</f>
        <v/>
      </c>
      <c r="E568" s="42" t="str">
        <f>CONFERENCIAS!K568</f>
        <v/>
      </c>
      <c r="F568" s="49" t="str">
        <f>CONFERENCIAS!J568</f>
        <v/>
      </c>
      <c r="G568" s="42" t="str">
        <f>CONFERENCIAS!O568</f>
        <v/>
      </c>
      <c r="H568" s="42" t="str">
        <f>CONFERENCIAS!X568</f>
        <v/>
      </c>
      <c r="I568" s="42" t="str">
        <f>CONFERENCIAS!AA568</f>
        <v/>
      </c>
      <c r="J568" s="44" t="str">
        <f>CONFERENCIAS!P568</f>
        <v/>
      </c>
      <c r="K568" s="45" t="str">
        <f>CONFERENCIAS!R568</f>
        <v/>
      </c>
      <c r="L568" s="45">
        <f>IF(D568="",0,
 IF(E568=1,
   IF(H568="Presencial",
      VLOOKUP(D568,TARIFAS!A:K,3,FALSE) + IF(I568="Sí",VLOOKUP(D568,TARIFAS!A:K,5,FALSE),0),
      VLOOKUP(D568,TARIFAS!A:K,4,FALSE) + IF(I568="Sí",VLOOKUP(D568,TARIFAS!A:K,5,FALSE),0)
   ),
   IF(H568="Presencial",
      VLOOKUP(D568,TARIFAS!A:K,9,FALSE) + IF(I568="Sí",VLOOKUP(D568,TARIFAS!A:K,11,FALSE),0),
      VLOOKUP(D568,TARIFAS!A:K,10,FALSE) + IF(I568="Sí",VLOOKUP(D568,TARIFAS!A:K,11,FALSE),0)
   )
 )
)
</f>
        <v>0</v>
      </c>
      <c r="M568" s="45">
        <f>IF(J568="",0,MAX(0,J568 - TARIFAS!G$2) * TARIFAS!F$2)
</f>
        <v>0</v>
      </c>
      <c r="N568" s="45">
        <f>+L568*TARIFAS!$K$2</f>
        <v>0</v>
      </c>
      <c r="O568" s="45">
        <f t="shared" si="1"/>
        <v>0</v>
      </c>
      <c r="P568" s="45">
        <f>+M568+O568+K568+(+I568-(I568*TARIFAS!$K$2))</f>
        <v>0</v>
      </c>
      <c r="Q568" s="42" t="str">
        <f>CONFERENCIAS!T568</f>
        <v/>
      </c>
      <c r="R568" s="45" t="str">
        <f>CONFERENCIAS!U568</f>
        <v/>
      </c>
      <c r="S568" s="45" t="str">
        <f>CONFERENCIAS!W568</f>
        <v/>
      </c>
      <c r="T568" s="48">
        <f>IF(Q568="",0,
   IF(E568=1,
      IF(H568="Presencial",
         VLOOKUP(D568,TARIFAS!A:K,3,FALSE) + IF(I568="Sí",VLOOKUP(D568,TARIFAS!A:K,5,FALSE),0),
         VLOOKUP(D568,TARIFAS!A:K,4,FALSE) + IF(I568="Sí",VLOOKUP(D568,TARIFAS!A:K,5,FALSE),0)
      ),
      IF(H568="Presencial",
         VLOOKUP(D568,TARIFAS!A:K,9,FALSE) + IF(I568="Sí",VLOOKUP(D568,TARIFAS!A:K,11,FALSE),0),
         VLOOKUP(D568,TARIFAS!A:K,10,FALSE) + IF(I568="Sí",VLOOKUP(D568,TARIFAS!A:K,11,FALSE),0)
      )
   )
)
</f>
        <v>0</v>
      </c>
      <c r="U568" s="45">
        <f>IF(R568="",0,MAX(0,R568 - TARIFAS!G$2) * TARIFAS!F$2)
</f>
        <v>0</v>
      </c>
      <c r="V568" s="45">
        <f>+T568*TARIFAS!$K$2</f>
        <v>0</v>
      </c>
      <c r="W568" s="45">
        <f t="shared" si="2"/>
        <v>0</v>
      </c>
      <c r="X568" s="45">
        <f t="shared" si="3"/>
        <v>0</v>
      </c>
      <c r="Y568" s="45">
        <f t="shared" si="4"/>
        <v>0</v>
      </c>
      <c r="Z568" s="42" t="str">
        <f>CONFERENCIAS!AB568</f>
        <v/>
      </c>
      <c r="AA568" s="42" t="str">
        <f>CONFERENCIAS!AC568</f>
        <v/>
      </c>
      <c r="AB568" s="47" t="str">
        <f t="shared" si="5"/>
        <v/>
      </c>
      <c r="AC568" s="9" t="str">
        <f t="shared" si="6"/>
        <v/>
      </c>
    </row>
    <row r="569">
      <c r="A569" s="42" t="str">
        <f>CONFERENCIAS!A569</f>
        <v/>
      </c>
      <c r="D569" s="42" t="str">
        <f>CONFERENCIAS!C569</f>
        <v/>
      </c>
      <c r="E569" s="42" t="str">
        <f>CONFERENCIAS!K569</f>
        <v/>
      </c>
      <c r="F569" s="49" t="str">
        <f>CONFERENCIAS!J569</f>
        <v/>
      </c>
      <c r="G569" s="42" t="str">
        <f>CONFERENCIAS!O569</f>
        <v/>
      </c>
      <c r="H569" s="42" t="str">
        <f>CONFERENCIAS!X569</f>
        <v/>
      </c>
      <c r="I569" s="42" t="str">
        <f>CONFERENCIAS!AA569</f>
        <v/>
      </c>
      <c r="J569" s="44" t="str">
        <f>CONFERENCIAS!P569</f>
        <v/>
      </c>
      <c r="K569" s="45" t="str">
        <f>CONFERENCIAS!R569</f>
        <v/>
      </c>
      <c r="L569" s="45">
        <f>IF(D569="",0,
 IF(E569=1,
   IF(H569="Presencial",
      VLOOKUP(D569,TARIFAS!A:K,3,FALSE) + IF(I569="Sí",VLOOKUP(D569,TARIFAS!A:K,5,FALSE),0),
      VLOOKUP(D569,TARIFAS!A:K,4,FALSE) + IF(I569="Sí",VLOOKUP(D569,TARIFAS!A:K,5,FALSE),0)
   ),
   IF(H569="Presencial",
      VLOOKUP(D569,TARIFAS!A:K,9,FALSE) + IF(I569="Sí",VLOOKUP(D569,TARIFAS!A:K,11,FALSE),0),
      VLOOKUP(D569,TARIFAS!A:K,10,FALSE) + IF(I569="Sí",VLOOKUP(D569,TARIFAS!A:K,11,FALSE),0)
   )
 )
)
</f>
        <v>0</v>
      </c>
      <c r="M569" s="45">
        <f>IF(J569="",0,MAX(0,J569 - TARIFAS!G$2) * TARIFAS!F$2)
</f>
        <v>0</v>
      </c>
      <c r="N569" s="45">
        <f>+L569*TARIFAS!$K$2</f>
        <v>0</v>
      </c>
      <c r="O569" s="45">
        <f t="shared" si="1"/>
        <v>0</v>
      </c>
      <c r="P569" s="45">
        <f>+M569+O569+K569+(+I569-(I569*TARIFAS!$K$2))</f>
        <v>0</v>
      </c>
      <c r="Q569" s="42" t="str">
        <f>CONFERENCIAS!T569</f>
        <v/>
      </c>
      <c r="R569" s="45" t="str">
        <f>CONFERENCIAS!U569</f>
        <v/>
      </c>
      <c r="S569" s="45" t="str">
        <f>CONFERENCIAS!W569</f>
        <v/>
      </c>
      <c r="T569" s="48">
        <f>IF(Q569="",0,
   IF(E569=1,
      IF(H569="Presencial",
         VLOOKUP(D569,TARIFAS!A:K,3,FALSE) + IF(I569="Sí",VLOOKUP(D569,TARIFAS!A:K,5,FALSE),0),
         VLOOKUP(D569,TARIFAS!A:K,4,FALSE) + IF(I569="Sí",VLOOKUP(D569,TARIFAS!A:K,5,FALSE),0)
      ),
      IF(H569="Presencial",
         VLOOKUP(D569,TARIFAS!A:K,9,FALSE) + IF(I569="Sí",VLOOKUP(D569,TARIFAS!A:K,11,FALSE),0),
         VLOOKUP(D569,TARIFAS!A:K,10,FALSE) + IF(I569="Sí",VLOOKUP(D569,TARIFAS!A:K,11,FALSE),0)
      )
   )
)
</f>
        <v>0</v>
      </c>
      <c r="U569" s="45">
        <f>IF(R569="",0,MAX(0,R569 - TARIFAS!G$2) * TARIFAS!F$2)
</f>
        <v>0</v>
      </c>
      <c r="V569" s="45">
        <f>+T569*TARIFAS!$K$2</f>
        <v>0</v>
      </c>
      <c r="W569" s="45">
        <f t="shared" si="2"/>
        <v>0</v>
      </c>
      <c r="X569" s="45">
        <f t="shared" si="3"/>
        <v>0</v>
      </c>
      <c r="Y569" s="45">
        <f t="shared" si="4"/>
        <v>0</v>
      </c>
      <c r="Z569" s="42" t="str">
        <f>CONFERENCIAS!AB569</f>
        <v/>
      </c>
      <c r="AA569" s="42" t="str">
        <f>CONFERENCIAS!AC569</f>
        <v/>
      </c>
      <c r="AB569" s="47" t="str">
        <f t="shared" si="5"/>
        <v/>
      </c>
      <c r="AC569" s="9" t="str">
        <f t="shared" si="6"/>
        <v/>
      </c>
    </row>
    <row r="570">
      <c r="A570" s="42" t="str">
        <f>CONFERENCIAS!A570</f>
        <v/>
      </c>
      <c r="D570" s="42" t="str">
        <f>CONFERENCIAS!C570</f>
        <v/>
      </c>
      <c r="E570" s="42" t="str">
        <f>CONFERENCIAS!K570</f>
        <v/>
      </c>
      <c r="F570" s="49" t="str">
        <f>CONFERENCIAS!J570</f>
        <v/>
      </c>
      <c r="G570" s="42" t="str">
        <f>CONFERENCIAS!O570</f>
        <v/>
      </c>
      <c r="H570" s="42" t="str">
        <f>CONFERENCIAS!X570</f>
        <v/>
      </c>
      <c r="I570" s="42" t="str">
        <f>CONFERENCIAS!AA570</f>
        <v/>
      </c>
      <c r="J570" s="44" t="str">
        <f>CONFERENCIAS!P570</f>
        <v/>
      </c>
      <c r="K570" s="45" t="str">
        <f>CONFERENCIAS!R570</f>
        <v/>
      </c>
      <c r="L570" s="45">
        <f>IF(D570="",0,
 IF(E570=1,
   IF(H570="Presencial",
      VLOOKUP(D570,TARIFAS!A:K,3,FALSE) + IF(I570="Sí",VLOOKUP(D570,TARIFAS!A:K,5,FALSE),0),
      VLOOKUP(D570,TARIFAS!A:K,4,FALSE) + IF(I570="Sí",VLOOKUP(D570,TARIFAS!A:K,5,FALSE),0)
   ),
   IF(H570="Presencial",
      VLOOKUP(D570,TARIFAS!A:K,9,FALSE) + IF(I570="Sí",VLOOKUP(D570,TARIFAS!A:K,11,FALSE),0),
      VLOOKUP(D570,TARIFAS!A:K,10,FALSE) + IF(I570="Sí",VLOOKUP(D570,TARIFAS!A:K,11,FALSE),0)
   )
 )
)
</f>
        <v>0</v>
      </c>
      <c r="M570" s="45">
        <f>IF(J570="",0,MAX(0,J570 - TARIFAS!G$2) * TARIFAS!F$2)
</f>
        <v>0</v>
      </c>
      <c r="N570" s="45">
        <f>+L570*TARIFAS!$K$2</f>
        <v>0</v>
      </c>
      <c r="O570" s="45">
        <f t="shared" si="1"/>
        <v>0</v>
      </c>
      <c r="P570" s="45">
        <f>+M570+O570+K570+(+I570-(I570*TARIFAS!$K$2))</f>
        <v>0</v>
      </c>
      <c r="Q570" s="42" t="str">
        <f>CONFERENCIAS!T570</f>
        <v/>
      </c>
      <c r="R570" s="45" t="str">
        <f>CONFERENCIAS!U570</f>
        <v/>
      </c>
      <c r="S570" s="45" t="str">
        <f>CONFERENCIAS!W570</f>
        <v/>
      </c>
      <c r="T570" s="48">
        <f>IF(Q570="",0,
   IF(E570=1,
      IF(H570="Presencial",
         VLOOKUP(D570,TARIFAS!A:K,3,FALSE) + IF(I570="Sí",VLOOKUP(D570,TARIFAS!A:K,5,FALSE),0),
         VLOOKUP(D570,TARIFAS!A:K,4,FALSE) + IF(I570="Sí",VLOOKUP(D570,TARIFAS!A:K,5,FALSE),0)
      ),
      IF(H570="Presencial",
         VLOOKUP(D570,TARIFAS!A:K,9,FALSE) + IF(I570="Sí",VLOOKUP(D570,TARIFAS!A:K,11,FALSE),0),
         VLOOKUP(D570,TARIFAS!A:K,10,FALSE) + IF(I570="Sí",VLOOKUP(D570,TARIFAS!A:K,11,FALSE),0)
      )
   )
)
</f>
        <v>0</v>
      </c>
      <c r="U570" s="45">
        <f>IF(R570="",0,MAX(0,R570 - TARIFAS!G$2) * TARIFAS!F$2)
</f>
        <v>0</v>
      </c>
      <c r="V570" s="45">
        <f>+T570*TARIFAS!$K$2</f>
        <v>0</v>
      </c>
      <c r="W570" s="45">
        <f t="shared" si="2"/>
        <v>0</v>
      </c>
      <c r="X570" s="45">
        <f t="shared" si="3"/>
        <v>0</v>
      </c>
      <c r="Y570" s="45">
        <f t="shared" si="4"/>
        <v>0</v>
      </c>
      <c r="Z570" s="42" t="str">
        <f>CONFERENCIAS!AB570</f>
        <v/>
      </c>
      <c r="AA570" s="42" t="str">
        <f>CONFERENCIAS!AC570</f>
        <v/>
      </c>
      <c r="AB570" s="47" t="str">
        <f t="shared" si="5"/>
        <v/>
      </c>
      <c r="AC570" s="9" t="str">
        <f t="shared" si="6"/>
        <v/>
      </c>
    </row>
    <row r="571">
      <c r="A571" s="42" t="str">
        <f>CONFERENCIAS!A571</f>
        <v/>
      </c>
      <c r="D571" s="42" t="str">
        <f>CONFERENCIAS!C571</f>
        <v/>
      </c>
      <c r="E571" s="42" t="str">
        <f>CONFERENCIAS!K571</f>
        <v/>
      </c>
      <c r="F571" s="49" t="str">
        <f>CONFERENCIAS!J571</f>
        <v/>
      </c>
      <c r="G571" s="42" t="str">
        <f>CONFERENCIAS!O571</f>
        <v/>
      </c>
      <c r="H571" s="42" t="str">
        <f>CONFERENCIAS!X571</f>
        <v/>
      </c>
      <c r="I571" s="42" t="str">
        <f>CONFERENCIAS!AA571</f>
        <v/>
      </c>
      <c r="J571" s="44" t="str">
        <f>CONFERENCIAS!P571</f>
        <v/>
      </c>
      <c r="K571" s="45" t="str">
        <f>CONFERENCIAS!R571</f>
        <v/>
      </c>
      <c r="L571" s="45">
        <f>IF(D571="",0,
 IF(E571=1,
   IF(H571="Presencial",
      VLOOKUP(D571,TARIFAS!A:K,3,FALSE) + IF(I571="Sí",VLOOKUP(D571,TARIFAS!A:K,5,FALSE),0),
      VLOOKUP(D571,TARIFAS!A:K,4,FALSE) + IF(I571="Sí",VLOOKUP(D571,TARIFAS!A:K,5,FALSE),0)
   ),
   IF(H571="Presencial",
      VLOOKUP(D571,TARIFAS!A:K,9,FALSE) + IF(I571="Sí",VLOOKUP(D571,TARIFAS!A:K,11,FALSE),0),
      VLOOKUP(D571,TARIFAS!A:K,10,FALSE) + IF(I571="Sí",VLOOKUP(D571,TARIFAS!A:K,11,FALSE),0)
   )
 )
)
</f>
        <v>0</v>
      </c>
      <c r="M571" s="45">
        <f>IF(J571="",0,MAX(0,J571 - TARIFAS!G$2) * TARIFAS!F$2)
</f>
        <v>0</v>
      </c>
      <c r="N571" s="45">
        <f>+L571*TARIFAS!$K$2</f>
        <v>0</v>
      </c>
      <c r="O571" s="45">
        <f t="shared" si="1"/>
        <v>0</v>
      </c>
      <c r="P571" s="45">
        <f>+M571+O571+K571+(+I571-(I571*TARIFAS!$K$2))</f>
        <v>0</v>
      </c>
      <c r="Q571" s="42" t="str">
        <f>CONFERENCIAS!T571</f>
        <v/>
      </c>
      <c r="R571" s="45" t="str">
        <f>CONFERENCIAS!U571</f>
        <v/>
      </c>
      <c r="S571" s="45" t="str">
        <f>CONFERENCIAS!W571</f>
        <v/>
      </c>
      <c r="T571" s="48">
        <f>IF(Q571="",0,
   IF(E571=1,
      IF(H571="Presencial",
         VLOOKUP(D571,TARIFAS!A:K,3,FALSE) + IF(I571="Sí",VLOOKUP(D571,TARIFAS!A:K,5,FALSE),0),
         VLOOKUP(D571,TARIFAS!A:K,4,FALSE) + IF(I571="Sí",VLOOKUP(D571,TARIFAS!A:K,5,FALSE),0)
      ),
      IF(H571="Presencial",
         VLOOKUP(D571,TARIFAS!A:K,9,FALSE) + IF(I571="Sí",VLOOKUP(D571,TARIFAS!A:K,11,FALSE),0),
         VLOOKUP(D571,TARIFAS!A:K,10,FALSE) + IF(I571="Sí",VLOOKUP(D571,TARIFAS!A:K,11,FALSE),0)
      )
   )
)
</f>
        <v>0</v>
      </c>
      <c r="U571" s="45">
        <f>IF(R571="",0,MAX(0,R571 - TARIFAS!G$2) * TARIFAS!F$2)
</f>
        <v>0</v>
      </c>
      <c r="V571" s="45">
        <f>+T571*TARIFAS!$K$2</f>
        <v>0</v>
      </c>
      <c r="W571" s="45">
        <f t="shared" si="2"/>
        <v>0</v>
      </c>
      <c r="X571" s="45">
        <f t="shared" si="3"/>
        <v>0</v>
      </c>
      <c r="Y571" s="45">
        <f t="shared" si="4"/>
        <v>0</v>
      </c>
      <c r="Z571" s="42" t="str">
        <f>CONFERENCIAS!AB571</f>
        <v/>
      </c>
      <c r="AA571" s="42" t="str">
        <f>CONFERENCIAS!AC571</f>
        <v/>
      </c>
      <c r="AB571" s="47" t="str">
        <f t="shared" si="5"/>
        <v/>
      </c>
      <c r="AC571" s="9" t="str">
        <f t="shared" si="6"/>
        <v/>
      </c>
    </row>
    <row r="572">
      <c r="A572" s="42" t="str">
        <f>CONFERENCIAS!A572</f>
        <v/>
      </c>
      <c r="D572" s="42" t="str">
        <f>CONFERENCIAS!C572</f>
        <v/>
      </c>
      <c r="E572" s="42" t="str">
        <f>CONFERENCIAS!K572</f>
        <v/>
      </c>
      <c r="F572" s="49" t="str">
        <f>CONFERENCIAS!J572</f>
        <v/>
      </c>
      <c r="G572" s="42" t="str">
        <f>CONFERENCIAS!O572</f>
        <v/>
      </c>
      <c r="H572" s="42" t="str">
        <f>CONFERENCIAS!X572</f>
        <v/>
      </c>
      <c r="I572" s="42" t="str">
        <f>CONFERENCIAS!AA572</f>
        <v/>
      </c>
      <c r="J572" s="44" t="str">
        <f>CONFERENCIAS!P572</f>
        <v/>
      </c>
      <c r="K572" s="45" t="str">
        <f>CONFERENCIAS!R572</f>
        <v/>
      </c>
      <c r="L572" s="45">
        <f>IF(D572="",0,
 IF(E572=1,
   IF(H572="Presencial",
      VLOOKUP(D572,TARIFAS!A:K,3,FALSE) + IF(I572="Sí",VLOOKUP(D572,TARIFAS!A:K,5,FALSE),0),
      VLOOKUP(D572,TARIFAS!A:K,4,FALSE) + IF(I572="Sí",VLOOKUP(D572,TARIFAS!A:K,5,FALSE),0)
   ),
   IF(H572="Presencial",
      VLOOKUP(D572,TARIFAS!A:K,9,FALSE) + IF(I572="Sí",VLOOKUP(D572,TARIFAS!A:K,11,FALSE),0),
      VLOOKUP(D572,TARIFAS!A:K,10,FALSE) + IF(I572="Sí",VLOOKUP(D572,TARIFAS!A:K,11,FALSE),0)
   )
 )
)
</f>
        <v>0</v>
      </c>
      <c r="M572" s="45">
        <f>IF(J572="",0,MAX(0,J572 - TARIFAS!G$2) * TARIFAS!F$2)
</f>
        <v>0</v>
      </c>
      <c r="N572" s="45">
        <f>+L572*TARIFAS!$K$2</f>
        <v>0</v>
      </c>
      <c r="O572" s="45">
        <f t="shared" si="1"/>
        <v>0</v>
      </c>
      <c r="P572" s="45">
        <f>+M572+O572+K572+(+I572-(I572*TARIFAS!$K$2))</f>
        <v>0</v>
      </c>
      <c r="Q572" s="42" t="str">
        <f>CONFERENCIAS!T572</f>
        <v/>
      </c>
      <c r="R572" s="45" t="str">
        <f>CONFERENCIAS!U572</f>
        <v/>
      </c>
      <c r="S572" s="45" t="str">
        <f>CONFERENCIAS!W572</f>
        <v/>
      </c>
      <c r="T572" s="48">
        <f>IF(Q572="",0,
   IF(E572=1,
      IF(H572="Presencial",
         VLOOKUP(D572,TARIFAS!A:K,3,FALSE) + IF(I572="Sí",VLOOKUP(D572,TARIFAS!A:K,5,FALSE),0),
         VLOOKUP(D572,TARIFAS!A:K,4,FALSE) + IF(I572="Sí",VLOOKUP(D572,TARIFAS!A:K,5,FALSE),0)
      ),
      IF(H572="Presencial",
         VLOOKUP(D572,TARIFAS!A:K,9,FALSE) + IF(I572="Sí",VLOOKUP(D572,TARIFAS!A:K,11,FALSE),0),
         VLOOKUP(D572,TARIFAS!A:K,10,FALSE) + IF(I572="Sí",VLOOKUP(D572,TARIFAS!A:K,11,FALSE),0)
      )
   )
)
</f>
        <v>0</v>
      </c>
      <c r="U572" s="45">
        <f>IF(R572="",0,MAX(0,R572 - TARIFAS!G$2) * TARIFAS!F$2)
</f>
        <v>0</v>
      </c>
      <c r="V572" s="45">
        <f>+T572*TARIFAS!$K$2</f>
        <v>0</v>
      </c>
      <c r="W572" s="45">
        <f t="shared" si="2"/>
        <v>0</v>
      </c>
      <c r="X572" s="45">
        <f t="shared" si="3"/>
        <v>0</v>
      </c>
      <c r="Y572" s="45">
        <f t="shared" si="4"/>
        <v>0</v>
      </c>
      <c r="Z572" s="42" t="str">
        <f>CONFERENCIAS!AB572</f>
        <v/>
      </c>
      <c r="AA572" s="42" t="str">
        <f>CONFERENCIAS!AC572</f>
        <v/>
      </c>
      <c r="AB572" s="47" t="str">
        <f t="shared" si="5"/>
        <v/>
      </c>
      <c r="AC572" s="9" t="str">
        <f t="shared" si="6"/>
        <v/>
      </c>
    </row>
    <row r="573">
      <c r="A573" s="42" t="str">
        <f>CONFERENCIAS!A573</f>
        <v/>
      </c>
      <c r="D573" s="42" t="str">
        <f>CONFERENCIAS!C573</f>
        <v/>
      </c>
      <c r="E573" s="42" t="str">
        <f>CONFERENCIAS!K573</f>
        <v/>
      </c>
      <c r="F573" s="49" t="str">
        <f>CONFERENCIAS!J573</f>
        <v/>
      </c>
      <c r="G573" s="42" t="str">
        <f>CONFERENCIAS!O573</f>
        <v/>
      </c>
      <c r="H573" s="42" t="str">
        <f>CONFERENCIAS!X573</f>
        <v/>
      </c>
      <c r="I573" s="42" t="str">
        <f>CONFERENCIAS!AA573</f>
        <v/>
      </c>
      <c r="J573" s="44" t="str">
        <f>CONFERENCIAS!P573</f>
        <v/>
      </c>
      <c r="K573" s="45" t="str">
        <f>CONFERENCIAS!R573</f>
        <v/>
      </c>
      <c r="L573" s="45">
        <f>IF(D573="",0,
 IF(E573=1,
   IF(H573="Presencial",
      VLOOKUP(D573,TARIFAS!A:K,3,FALSE) + IF(I573="Sí",VLOOKUP(D573,TARIFAS!A:K,5,FALSE),0),
      VLOOKUP(D573,TARIFAS!A:K,4,FALSE) + IF(I573="Sí",VLOOKUP(D573,TARIFAS!A:K,5,FALSE),0)
   ),
   IF(H573="Presencial",
      VLOOKUP(D573,TARIFAS!A:K,9,FALSE) + IF(I573="Sí",VLOOKUP(D573,TARIFAS!A:K,11,FALSE),0),
      VLOOKUP(D573,TARIFAS!A:K,10,FALSE) + IF(I573="Sí",VLOOKUP(D573,TARIFAS!A:K,11,FALSE),0)
   )
 )
)
</f>
        <v>0</v>
      </c>
      <c r="M573" s="45">
        <f>IF(J573="",0,MAX(0,J573 - TARIFAS!G$2) * TARIFAS!F$2)
</f>
        <v>0</v>
      </c>
      <c r="N573" s="45">
        <f>+L573*TARIFAS!$K$2</f>
        <v>0</v>
      </c>
      <c r="O573" s="45">
        <f t="shared" si="1"/>
        <v>0</v>
      </c>
      <c r="P573" s="45">
        <f>+M573+O573+K573+(+I573-(I573*TARIFAS!$K$2))</f>
        <v>0</v>
      </c>
      <c r="Q573" s="42" t="str">
        <f>CONFERENCIAS!T573</f>
        <v/>
      </c>
      <c r="R573" s="45" t="str">
        <f>CONFERENCIAS!U573</f>
        <v/>
      </c>
      <c r="S573" s="45" t="str">
        <f>CONFERENCIAS!W573</f>
        <v/>
      </c>
      <c r="T573" s="48">
        <f>IF(Q573="",0,
   IF(E573=1,
      IF(H573="Presencial",
         VLOOKUP(D573,TARIFAS!A:K,3,FALSE) + IF(I573="Sí",VLOOKUP(D573,TARIFAS!A:K,5,FALSE),0),
         VLOOKUP(D573,TARIFAS!A:K,4,FALSE) + IF(I573="Sí",VLOOKUP(D573,TARIFAS!A:K,5,FALSE),0)
      ),
      IF(H573="Presencial",
         VLOOKUP(D573,TARIFAS!A:K,9,FALSE) + IF(I573="Sí",VLOOKUP(D573,TARIFAS!A:K,11,FALSE),0),
         VLOOKUP(D573,TARIFAS!A:K,10,FALSE) + IF(I573="Sí",VLOOKUP(D573,TARIFAS!A:K,11,FALSE),0)
      )
   )
)
</f>
        <v>0</v>
      </c>
      <c r="U573" s="45">
        <f>IF(R573="",0,MAX(0,R573 - TARIFAS!G$2) * TARIFAS!F$2)
</f>
        <v>0</v>
      </c>
      <c r="V573" s="45">
        <f>+T573*TARIFAS!$K$2</f>
        <v>0</v>
      </c>
      <c r="W573" s="45">
        <f t="shared" si="2"/>
        <v>0</v>
      </c>
      <c r="X573" s="45">
        <f t="shared" si="3"/>
        <v>0</v>
      </c>
      <c r="Y573" s="45">
        <f t="shared" si="4"/>
        <v>0</v>
      </c>
      <c r="Z573" s="42" t="str">
        <f>CONFERENCIAS!AB573</f>
        <v/>
      </c>
      <c r="AA573" s="42" t="str">
        <f>CONFERENCIAS!AC573</f>
        <v/>
      </c>
      <c r="AB573" s="47" t="str">
        <f t="shared" si="5"/>
        <v/>
      </c>
      <c r="AC573" s="9" t="str">
        <f t="shared" si="6"/>
        <v/>
      </c>
    </row>
    <row r="574">
      <c r="A574" s="42" t="str">
        <f>CONFERENCIAS!A574</f>
        <v/>
      </c>
      <c r="D574" s="42" t="str">
        <f>CONFERENCIAS!C574</f>
        <v/>
      </c>
      <c r="E574" s="42" t="str">
        <f>CONFERENCIAS!K574</f>
        <v/>
      </c>
      <c r="F574" s="49" t="str">
        <f>CONFERENCIAS!J574</f>
        <v/>
      </c>
      <c r="G574" s="42" t="str">
        <f>CONFERENCIAS!O574</f>
        <v/>
      </c>
      <c r="H574" s="42" t="str">
        <f>CONFERENCIAS!X574</f>
        <v/>
      </c>
      <c r="I574" s="42" t="str">
        <f>CONFERENCIAS!AA574</f>
        <v/>
      </c>
      <c r="J574" s="44" t="str">
        <f>CONFERENCIAS!P574</f>
        <v/>
      </c>
      <c r="K574" s="45" t="str">
        <f>CONFERENCIAS!R574</f>
        <v/>
      </c>
      <c r="L574" s="45">
        <f>IF(D574="",0,
 IF(E574=1,
   IF(H574="Presencial",
      VLOOKUP(D574,TARIFAS!A:K,3,FALSE) + IF(I574="Sí",VLOOKUP(D574,TARIFAS!A:K,5,FALSE),0),
      VLOOKUP(D574,TARIFAS!A:K,4,FALSE) + IF(I574="Sí",VLOOKUP(D574,TARIFAS!A:K,5,FALSE),0)
   ),
   IF(H574="Presencial",
      VLOOKUP(D574,TARIFAS!A:K,9,FALSE) + IF(I574="Sí",VLOOKUP(D574,TARIFAS!A:K,11,FALSE),0),
      VLOOKUP(D574,TARIFAS!A:K,10,FALSE) + IF(I574="Sí",VLOOKUP(D574,TARIFAS!A:K,11,FALSE),0)
   )
 )
)
</f>
        <v>0</v>
      </c>
      <c r="M574" s="45">
        <f>IF(J574="",0,MAX(0,J574 - TARIFAS!G$2) * TARIFAS!F$2)
</f>
        <v>0</v>
      </c>
      <c r="N574" s="45">
        <f>+L574*TARIFAS!$K$2</f>
        <v>0</v>
      </c>
      <c r="O574" s="45">
        <f t="shared" si="1"/>
        <v>0</v>
      </c>
      <c r="P574" s="45">
        <f>+M574+O574+K574+(+I574-(I574*TARIFAS!$K$2))</f>
        <v>0</v>
      </c>
      <c r="Q574" s="42" t="str">
        <f>CONFERENCIAS!T574</f>
        <v/>
      </c>
      <c r="R574" s="45" t="str">
        <f>CONFERENCIAS!U574</f>
        <v/>
      </c>
      <c r="S574" s="45" t="str">
        <f>CONFERENCIAS!W574</f>
        <v/>
      </c>
      <c r="T574" s="48">
        <f>IF(Q574="",0,
   IF(E574=1,
      IF(H574="Presencial",
         VLOOKUP(D574,TARIFAS!A:K,3,FALSE) + IF(I574="Sí",VLOOKUP(D574,TARIFAS!A:K,5,FALSE),0),
         VLOOKUP(D574,TARIFAS!A:K,4,FALSE) + IF(I574="Sí",VLOOKUP(D574,TARIFAS!A:K,5,FALSE),0)
      ),
      IF(H574="Presencial",
         VLOOKUP(D574,TARIFAS!A:K,9,FALSE) + IF(I574="Sí",VLOOKUP(D574,TARIFAS!A:K,11,FALSE),0),
         VLOOKUP(D574,TARIFAS!A:K,10,FALSE) + IF(I574="Sí",VLOOKUP(D574,TARIFAS!A:K,11,FALSE),0)
      )
   )
)
</f>
        <v>0</v>
      </c>
      <c r="U574" s="45">
        <f>IF(R574="",0,MAX(0,R574 - TARIFAS!G$2) * TARIFAS!F$2)
</f>
        <v>0</v>
      </c>
      <c r="V574" s="45">
        <f>+T574*TARIFAS!$K$2</f>
        <v>0</v>
      </c>
      <c r="W574" s="45">
        <f t="shared" si="2"/>
        <v>0</v>
      </c>
      <c r="X574" s="45">
        <f t="shared" si="3"/>
        <v>0</v>
      </c>
      <c r="Y574" s="45">
        <f t="shared" si="4"/>
        <v>0</v>
      </c>
      <c r="Z574" s="42" t="str">
        <f>CONFERENCIAS!AB574</f>
        <v/>
      </c>
      <c r="AA574" s="42" t="str">
        <f>CONFERENCIAS!AC574</f>
        <v/>
      </c>
      <c r="AB574" s="47" t="str">
        <f t="shared" si="5"/>
        <v/>
      </c>
      <c r="AC574" s="9" t="str">
        <f t="shared" si="6"/>
        <v/>
      </c>
    </row>
    <row r="575">
      <c r="A575" s="42" t="str">
        <f>CONFERENCIAS!A575</f>
        <v/>
      </c>
      <c r="D575" s="42" t="str">
        <f>CONFERENCIAS!C575</f>
        <v/>
      </c>
      <c r="E575" s="42" t="str">
        <f>CONFERENCIAS!K575</f>
        <v/>
      </c>
      <c r="F575" s="49" t="str">
        <f>CONFERENCIAS!J575</f>
        <v/>
      </c>
      <c r="G575" s="42" t="str">
        <f>CONFERENCIAS!O575</f>
        <v/>
      </c>
      <c r="H575" s="42" t="str">
        <f>CONFERENCIAS!X575</f>
        <v/>
      </c>
      <c r="I575" s="42" t="str">
        <f>CONFERENCIAS!AA575</f>
        <v/>
      </c>
      <c r="J575" s="44" t="str">
        <f>CONFERENCIAS!P575</f>
        <v/>
      </c>
      <c r="K575" s="45" t="str">
        <f>CONFERENCIAS!R575</f>
        <v/>
      </c>
      <c r="L575" s="45">
        <f>IF(D575="",0,
 IF(E575=1,
   IF(H575="Presencial",
      VLOOKUP(D575,TARIFAS!A:K,3,FALSE) + IF(I575="Sí",VLOOKUP(D575,TARIFAS!A:K,5,FALSE),0),
      VLOOKUP(D575,TARIFAS!A:K,4,FALSE) + IF(I575="Sí",VLOOKUP(D575,TARIFAS!A:K,5,FALSE),0)
   ),
   IF(H575="Presencial",
      VLOOKUP(D575,TARIFAS!A:K,9,FALSE) + IF(I575="Sí",VLOOKUP(D575,TARIFAS!A:K,11,FALSE),0),
      VLOOKUP(D575,TARIFAS!A:K,10,FALSE) + IF(I575="Sí",VLOOKUP(D575,TARIFAS!A:K,11,FALSE),0)
   )
 )
)
</f>
        <v>0</v>
      </c>
      <c r="M575" s="45">
        <f>IF(J575="",0,MAX(0,J575 - TARIFAS!G$2) * TARIFAS!F$2)
</f>
        <v>0</v>
      </c>
      <c r="N575" s="45">
        <f>+L575*TARIFAS!$K$2</f>
        <v>0</v>
      </c>
      <c r="O575" s="45">
        <f t="shared" si="1"/>
        <v>0</v>
      </c>
      <c r="P575" s="45">
        <f>+M575+O575+K575+(+I575-(I575*TARIFAS!$K$2))</f>
        <v>0</v>
      </c>
      <c r="Q575" s="42" t="str">
        <f>CONFERENCIAS!T575</f>
        <v/>
      </c>
      <c r="R575" s="45" t="str">
        <f>CONFERENCIAS!U575</f>
        <v/>
      </c>
      <c r="S575" s="45" t="str">
        <f>CONFERENCIAS!W575</f>
        <v/>
      </c>
      <c r="T575" s="48">
        <f>IF(Q575="",0,
   IF(E575=1,
      IF(H575="Presencial",
         VLOOKUP(D575,TARIFAS!A:K,3,FALSE) + IF(I575="Sí",VLOOKUP(D575,TARIFAS!A:K,5,FALSE),0),
         VLOOKUP(D575,TARIFAS!A:K,4,FALSE) + IF(I575="Sí",VLOOKUP(D575,TARIFAS!A:K,5,FALSE),0)
      ),
      IF(H575="Presencial",
         VLOOKUP(D575,TARIFAS!A:K,9,FALSE) + IF(I575="Sí",VLOOKUP(D575,TARIFAS!A:K,11,FALSE),0),
         VLOOKUP(D575,TARIFAS!A:K,10,FALSE) + IF(I575="Sí",VLOOKUP(D575,TARIFAS!A:K,11,FALSE),0)
      )
   )
)
</f>
        <v>0</v>
      </c>
      <c r="U575" s="45">
        <f>IF(R575="",0,MAX(0,R575 - TARIFAS!G$2) * TARIFAS!F$2)
</f>
        <v>0</v>
      </c>
      <c r="V575" s="45">
        <f>+T575*TARIFAS!$K$2</f>
        <v>0</v>
      </c>
      <c r="W575" s="45">
        <f t="shared" si="2"/>
        <v>0</v>
      </c>
      <c r="X575" s="45">
        <f t="shared" si="3"/>
        <v>0</v>
      </c>
      <c r="Y575" s="45">
        <f t="shared" si="4"/>
        <v>0</v>
      </c>
      <c r="Z575" s="42" t="str">
        <f>CONFERENCIAS!AB575</f>
        <v/>
      </c>
      <c r="AA575" s="42" t="str">
        <f>CONFERENCIAS!AC575</f>
        <v/>
      </c>
      <c r="AB575" s="47" t="str">
        <f t="shared" si="5"/>
        <v/>
      </c>
      <c r="AC575" s="9" t="str">
        <f t="shared" si="6"/>
        <v/>
      </c>
    </row>
    <row r="576">
      <c r="A576" s="42" t="str">
        <f>CONFERENCIAS!A576</f>
        <v/>
      </c>
      <c r="D576" s="42" t="str">
        <f>CONFERENCIAS!C576</f>
        <v/>
      </c>
      <c r="E576" s="42" t="str">
        <f>CONFERENCIAS!K576</f>
        <v/>
      </c>
      <c r="F576" s="49" t="str">
        <f>CONFERENCIAS!J576</f>
        <v/>
      </c>
      <c r="G576" s="42" t="str">
        <f>CONFERENCIAS!O576</f>
        <v/>
      </c>
      <c r="H576" s="42" t="str">
        <f>CONFERENCIAS!X576</f>
        <v/>
      </c>
      <c r="I576" s="42" t="str">
        <f>CONFERENCIAS!AA576</f>
        <v/>
      </c>
      <c r="J576" s="44" t="str">
        <f>CONFERENCIAS!P576</f>
        <v/>
      </c>
      <c r="K576" s="45" t="str">
        <f>CONFERENCIAS!R576</f>
        <v/>
      </c>
      <c r="L576" s="45">
        <f>IF(D576="",0,
 IF(E576=1,
   IF(H576="Presencial",
      VLOOKUP(D576,TARIFAS!A:K,3,FALSE) + IF(I576="Sí",VLOOKUP(D576,TARIFAS!A:K,5,FALSE),0),
      VLOOKUP(D576,TARIFAS!A:K,4,FALSE) + IF(I576="Sí",VLOOKUP(D576,TARIFAS!A:K,5,FALSE),0)
   ),
   IF(H576="Presencial",
      VLOOKUP(D576,TARIFAS!A:K,9,FALSE) + IF(I576="Sí",VLOOKUP(D576,TARIFAS!A:K,11,FALSE),0),
      VLOOKUP(D576,TARIFAS!A:K,10,FALSE) + IF(I576="Sí",VLOOKUP(D576,TARIFAS!A:K,11,FALSE),0)
   )
 )
)
</f>
        <v>0</v>
      </c>
      <c r="M576" s="45">
        <f>IF(J576="",0,MAX(0,J576 - TARIFAS!G$2) * TARIFAS!F$2)
</f>
        <v>0</v>
      </c>
      <c r="N576" s="45">
        <f>+L576*TARIFAS!$K$2</f>
        <v>0</v>
      </c>
      <c r="O576" s="45">
        <f t="shared" si="1"/>
        <v>0</v>
      </c>
      <c r="P576" s="45">
        <f>+M576+O576+K576+(+I576-(I576*TARIFAS!$K$2))</f>
        <v>0</v>
      </c>
      <c r="Q576" s="42" t="str">
        <f>CONFERENCIAS!T576</f>
        <v/>
      </c>
      <c r="R576" s="45" t="str">
        <f>CONFERENCIAS!U576</f>
        <v/>
      </c>
      <c r="S576" s="45" t="str">
        <f>CONFERENCIAS!W576</f>
        <v/>
      </c>
      <c r="T576" s="48">
        <f>IF(Q576="",0,
   IF(E576=1,
      IF(H576="Presencial",
         VLOOKUP(D576,TARIFAS!A:K,3,FALSE) + IF(I576="Sí",VLOOKUP(D576,TARIFAS!A:K,5,FALSE),0),
         VLOOKUP(D576,TARIFAS!A:K,4,FALSE) + IF(I576="Sí",VLOOKUP(D576,TARIFAS!A:K,5,FALSE),0)
      ),
      IF(H576="Presencial",
         VLOOKUP(D576,TARIFAS!A:K,9,FALSE) + IF(I576="Sí",VLOOKUP(D576,TARIFAS!A:K,11,FALSE),0),
         VLOOKUP(D576,TARIFAS!A:K,10,FALSE) + IF(I576="Sí",VLOOKUP(D576,TARIFAS!A:K,11,FALSE),0)
      )
   )
)
</f>
        <v>0</v>
      </c>
      <c r="U576" s="45">
        <f>IF(R576="",0,MAX(0,R576 - TARIFAS!G$2) * TARIFAS!F$2)
</f>
        <v>0</v>
      </c>
      <c r="V576" s="45">
        <f>+T576*TARIFAS!$K$2</f>
        <v>0</v>
      </c>
      <c r="W576" s="45">
        <f t="shared" si="2"/>
        <v>0</v>
      </c>
      <c r="X576" s="45">
        <f t="shared" si="3"/>
        <v>0</v>
      </c>
      <c r="Y576" s="45">
        <f t="shared" si="4"/>
        <v>0</v>
      </c>
      <c r="Z576" s="42" t="str">
        <f>CONFERENCIAS!AB576</f>
        <v/>
      </c>
      <c r="AA576" s="42" t="str">
        <f>CONFERENCIAS!AC576</f>
        <v/>
      </c>
      <c r="AB576" s="47" t="str">
        <f t="shared" si="5"/>
        <v/>
      </c>
      <c r="AC576" s="9" t="str">
        <f t="shared" si="6"/>
        <v/>
      </c>
    </row>
    <row r="577">
      <c r="A577" s="42" t="str">
        <f>CONFERENCIAS!A577</f>
        <v/>
      </c>
      <c r="D577" s="42" t="str">
        <f>CONFERENCIAS!C577</f>
        <v/>
      </c>
      <c r="E577" s="42" t="str">
        <f>CONFERENCIAS!K577</f>
        <v/>
      </c>
      <c r="F577" s="49" t="str">
        <f>CONFERENCIAS!J577</f>
        <v/>
      </c>
      <c r="G577" s="42" t="str">
        <f>CONFERENCIAS!O577</f>
        <v/>
      </c>
      <c r="H577" s="42" t="str">
        <f>CONFERENCIAS!X577</f>
        <v/>
      </c>
      <c r="I577" s="42" t="str">
        <f>CONFERENCIAS!AA577</f>
        <v/>
      </c>
      <c r="J577" s="44" t="str">
        <f>CONFERENCIAS!P577</f>
        <v/>
      </c>
      <c r="K577" s="45" t="str">
        <f>CONFERENCIAS!R577</f>
        <v/>
      </c>
      <c r="L577" s="45">
        <f>IF(D577="",0,
 IF(E577=1,
   IF(H577="Presencial",
      VLOOKUP(D577,TARIFAS!A:K,3,FALSE) + IF(I577="Sí",VLOOKUP(D577,TARIFAS!A:K,5,FALSE),0),
      VLOOKUP(D577,TARIFAS!A:K,4,FALSE) + IF(I577="Sí",VLOOKUP(D577,TARIFAS!A:K,5,FALSE),0)
   ),
   IF(H577="Presencial",
      VLOOKUP(D577,TARIFAS!A:K,9,FALSE) + IF(I577="Sí",VLOOKUP(D577,TARIFAS!A:K,11,FALSE),0),
      VLOOKUP(D577,TARIFAS!A:K,10,FALSE) + IF(I577="Sí",VLOOKUP(D577,TARIFAS!A:K,11,FALSE),0)
   )
 )
)
</f>
        <v>0</v>
      </c>
      <c r="M577" s="45">
        <f>IF(J577="",0,MAX(0,J577 - TARIFAS!G$2) * TARIFAS!F$2)
</f>
        <v>0</v>
      </c>
      <c r="N577" s="45">
        <f>+L577*TARIFAS!$K$2</f>
        <v>0</v>
      </c>
      <c r="O577" s="45">
        <f t="shared" si="1"/>
        <v>0</v>
      </c>
      <c r="P577" s="45">
        <f>+M577+O577+K577+(+I577-(I577*TARIFAS!$K$2))</f>
        <v>0</v>
      </c>
      <c r="Q577" s="42" t="str">
        <f>CONFERENCIAS!T577</f>
        <v/>
      </c>
      <c r="R577" s="45" t="str">
        <f>CONFERENCIAS!U577</f>
        <v/>
      </c>
      <c r="S577" s="45" t="str">
        <f>CONFERENCIAS!W577</f>
        <v/>
      </c>
      <c r="T577" s="48">
        <f>IF(Q577="",0,
   IF(E577=1,
      IF(H577="Presencial",
         VLOOKUP(D577,TARIFAS!A:K,3,FALSE) + IF(I577="Sí",VLOOKUP(D577,TARIFAS!A:K,5,FALSE),0),
         VLOOKUP(D577,TARIFAS!A:K,4,FALSE) + IF(I577="Sí",VLOOKUP(D577,TARIFAS!A:K,5,FALSE),0)
      ),
      IF(H577="Presencial",
         VLOOKUP(D577,TARIFAS!A:K,9,FALSE) + IF(I577="Sí",VLOOKUP(D577,TARIFAS!A:K,11,FALSE),0),
         VLOOKUP(D577,TARIFAS!A:K,10,FALSE) + IF(I577="Sí",VLOOKUP(D577,TARIFAS!A:K,11,FALSE),0)
      )
   )
)
</f>
        <v>0</v>
      </c>
      <c r="U577" s="45">
        <f>IF(R577="",0,MAX(0,R577 - TARIFAS!G$2) * TARIFAS!F$2)
</f>
        <v>0</v>
      </c>
      <c r="V577" s="45">
        <f>+T577*TARIFAS!$K$2</f>
        <v>0</v>
      </c>
      <c r="W577" s="45">
        <f t="shared" si="2"/>
        <v>0</v>
      </c>
      <c r="X577" s="45">
        <f t="shared" si="3"/>
        <v>0</v>
      </c>
      <c r="Y577" s="45">
        <f t="shared" si="4"/>
        <v>0</v>
      </c>
      <c r="Z577" s="42" t="str">
        <f>CONFERENCIAS!AB577</f>
        <v/>
      </c>
      <c r="AA577" s="42" t="str">
        <f>CONFERENCIAS!AC577</f>
        <v/>
      </c>
      <c r="AB577" s="47" t="str">
        <f t="shared" si="5"/>
        <v/>
      </c>
      <c r="AC577" s="9" t="str">
        <f t="shared" si="6"/>
        <v/>
      </c>
    </row>
    <row r="578">
      <c r="A578" s="42" t="str">
        <f>CONFERENCIAS!A578</f>
        <v/>
      </c>
      <c r="D578" s="42" t="str">
        <f>CONFERENCIAS!C578</f>
        <v/>
      </c>
      <c r="E578" s="42" t="str">
        <f>CONFERENCIAS!K578</f>
        <v/>
      </c>
      <c r="F578" s="49" t="str">
        <f>CONFERENCIAS!J578</f>
        <v/>
      </c>
      <c r="G578" s="42" t="str">
        <f>CONFERENCIAS!O578</f>
        <v/>
      </c>
      <c r="H578" s="42" t="str">
        <f>CONFERENCIAS!X578</f>
        <v/>
      </c>
      <c r="I578" s="42" t="str">
        <f>CONFERENCIAS!AA578</f>
        <v/>
      </c>
      <c r="J578" s="44" t="str">
        <f>CONFERENCIAS!P578</f>
        <v/>
      </c>
      <c r="K578" s="45" t="str">
        <f>CONFERENCIAS!R578</f>
        <v/>
      </c>
      <c r="L578" s="45">
        <f>IF(D578="",0,
 IF(E578=1,
   IF(H578="Presencial",
      VLOOKUP(D578,TARIFAS!A:K,3,FALSE) + IF(I578="Sí",VLOOKUP(D578,TARIFAS!A:K,5,FALSE),0),
      VLOOKUP(D578,TARIFAS!A:K,4,FALSE) + IF(I578="Sí",VLOOKUP(D578,TARIFAS!A:K,5,FALSE),0)
   ),
   IF(H578="Presencial",
      VLOOKUP(D578,TARIFAS!A:K,9,FALSE) + IF(I578="Sí",VLOOKUP(D578,TARIFAS!A:K,11,FALSE),0),
      VLOOKUP(D578,TARIFAS!A:K,10,FALSE) + IF(I578="Sí",VLOOKUP(D578,TARIFAS!A:K,11,FALSE),0)
   )
 )
)
</f>
        <v>0</v>
      </c>
      <c r="M578" s="45">
        <f>IF(J578="",0,MAX(0,J578 - TARIFAS!G$2) * TARIFAS!F$2)
</f>
        <v>0</v>
      </c>
      <c r="N578" s="45">
        <f>+L578*TARIFAS!$K$2</f>
        <v>0</v>
      </c>
      <c r="O578" s="45">
        <f t="shared" si="1"/>
        <v>0</v>
      </c>
      <c r="P578" s="45">
        <f>+M578+O578+K578+(+I578-(I578*TARIFAS!$K$2))</f>
        <v>0</v>
      </c>
      <c r="Q578" s="42" t="str">
        <f>CONFERENCIAS!T578</f>
        <v/>
      </c>
      <c r="R578" s="45" t="str">
        <f>CONFERENCIAS!U578</f>
        <v/>
      </c>
      <c r="S578" s="45" t="str">
        <f>CONFERENCIAS!W578</f>
        <v/>
      </c>
      <c r="T578" s="48">
        <f>IF(Q578="",0,
   IF(E578=1,
      IF(H578="Presencial",
         VLOOKUP(D578,TARIFAS!A:K,3,FALSE) + IF(I578="Sí",VLOOKUP(D578,TARIFAS!A:K,5,FALSE),0),
         VLOOKUP(D578,TARIFAS!A:K,4,FALSE) + IF(I578="Sí",VLOOKUP(D578,TARIFAS!A:K,5,FALSE),0)
      ),
      IF(H578="Presencial",
         VLOOKUP(D578,TARIFAS!A:K,9,FALSE) + IF(I578="Sí",VLOOKUP(D578,TARIFAS!A:K,11,FALSE),0),
         VLOOKUP(D578,TARIFAS!A:K,10,FALSE) + IF(I578="Sí",VLOOKUP(D578,TARIFAS!A:K,11,FALSE),0)
      )
   )
)
</f>
        <v>0</v>
      </c>
      <c r="U578" s="45">
        <f>IF(R578="",0,MAX(0,R578 - TARIFAS!G$2) * TARIFAS!F$2)
</f>
        <v>0</v>
      </c>
      <c r="V578" s="45">
        <f>+T578*TARIFAS!$K$2</f>
        <v>0</v>
      </c>
      <c r="W578" s="45">
        <f t="shared" si="2"/>
        <v>0</v>
      </c>
      <c r="X578" s="45">
        <f t="shared" si="3"/>
        <v>0</v>
      </c>
      <c r="Y578" s="45">
        <f t="shared" si="4"/>
        <v>0</v>
      </c>
      <c r="Z578" s="42" t="str">
        <f>CONFERENCIAS!AB578</f>
        <v/>
      </c>
      <c r="AA578" s="42" t="str">
        <f>CONFERENCIAS!AC578</f>
        <v/>
      </c>
      <c r="AB578" s="47" t="str">
        <f t="shared" si="5"/>
        <v/>
      </c>
      <c r="AC578" s="9" t="str">
        <f t="shared" si="6"/>
        <v/>
      </c>
    </row>
    <row r="579">
      <c r="A579" s="42" t="str">
        <f>CONFERENCIAS!A579</f>
        <v/>
      </c>
      <c r="D579" s="42" t="str">
        <f>CONFERENCIAS!C579</f>
        <v/>
      </c>
      <c r="E579" s="42" t="str">
        <f>CONFERENCIAS!K579</f>
        <v/>
      </c>
      <c r="F579" s="49" t="str">
        <f>CONFERENCIAS!J579</f>
        <v/>
      </c>
      <c r="G579" s="42" t="str">
        <f>CONFERENCIAS!O579</f>
        <v/>
      </c>
      <c r="H579" s="42" t="str">
        <f>CONFERENCIAS!X579</f>
        <v/>
      </c>
      <c r="I579" s="42" t="str">
        <f>CONFERENCIAS!AA579</f>
        <v/>
      </c>
      <c r="J579" s="44" t="str">
        <f>CONFERENCIAS!P579</f>
        <v/>
      </c>
      <c r="K579" s="45" t="str">
        <f>CONFERENCIAS!R579</f>
        <v/>
      </c>
      <c r="L579" s="45">
        <f>IF(D579="",0,
 IF(E579=1,
   IF(H579="Presencial",
      VLOOKUP(D579,TARIFAS!A:K,3,FALSE) + IF(I579="Sí",VLOOKUP(D579,TARIFAS!A:K,5,FALSE),0),
      VLOOKUP(D579,TARIFAS!A:K,4,FALSE) + IF(I579="Sí",VLOOKUP(D579,TARIFAS!A:K,5,FALSE),0)
   ),
   IF(H579="Presencial",
      VLOOKUP(D579,TARIFAS!A:K,9,FALSE) + IF(I579="Sí",VLOOKUP(D579,TARIFAS!A:K,11,FALSE),0),
      VLOOKUP(D579,TARIFAS!A:K,10,FALSE) + IF(I579="Sí",VLOOKUP(D579,TARIFAS!A:K,11,FALSE),0)
   )
 )
)
</f>
        <v>0</v>
      </c>
      <c r="M579" s="45">
        <f>IF(J579="",0,MAX(0,J579 - TARIFAS!G$2) * TARIFAS!F$2)
</f>
        <v>0</v>
      </c>
      <c r="N579" s="45">
        <f>+L579*TARIFAS!$K$2</f>
        <v>0</v>
      </c>
      <c r="O579" s="45">
        <f t="shared" si="1"/>
        <v>0</v>
      </c>
      <c r="P579" s="45">
        <f>+M579+O579+K579+(+I579-(I579*TARIFAS!$K$2))</f>
        <v>0</v>
      </c>
      <c r="Q579" s="42" t="str">
        <f>CONFERENCIAS!T579</f>
        <v/>
      </c>
      <c r="R579" s="45" t="str">
        <f>CONFERENCIAS!U579</f>
        <v/>
      </c>
      <c r="S579" s="45" t="str">
        <f>CONFERENCIAS!W579</f>
        <v/>
      </c>
      <c r="T579" s="48">
        <f>IF(Q579="",0,
   IF(E579=1,
      IF(H579="Presencial",
         VLOOKUP(D579,TARIFAS!A:K,3,FALSE) + IF(I579="Sí",VLOOKUP(D579,TARIFAS!A:K,5,FALSE),0),
         VLOOKUP(D579,TARIFAS!A:K,4,FALSE) + IF(I579="Sí",VLOOKUP(D579,TARIFAS!A:K,5,FALSE),0)
      ),
      IF(H579="Presencial",
         VLOOKUP(D579,TARIFAS!A:K,9,FALSE) + IF(I579="Sí",VLOOKUP(D579,TARIFAS!A:K,11,FALSE),0),
         VLOOKUP(D579,TARIFAS!A:K,10,FALSE) + IF(I579="Sí",VLOOKUP(D579,TARIFAS!A:K,11,FALSE),0)
      )
   )
)
</f>
        <v>0</v>
      </c>
      <c r="U579" s="45">
        <f>IF(R579="",0,MAX(0,R579 - TARIFAS!G$2) * TARIFAS!F$2)
</f>
        <v>0</v>
      </c>
      <c r="V579" s="45">
        <f>+T579*TARIFAS!$K$2</f>
        <v>0</v>
      </c>
      <c r="W579" s="45">
        <f t="shared" si="2"/>
        <v>0</v>
      </c>
      <c r="X579" s="45">
        <f t="shared" si="3"/>
        <v>0</v>
      </c>
      <c r="Y579" s="45">
        <f t="shared" si="4"/>
        <v>0</v>
      </c>
      <c r="Z579" s="42" t="str">
        <f>CONFERENCIAS!AB579</f>
        <v/>
      </c>
      <c r="AA579" s="42" t="str">
        <f>CONFERENCIAS!AC579</f>
        <v/>
      </c>
      <c r="AB579" s="47" t="str">
        <f t="shared" si="5"/>
        <v/>
      </c>
      <c r="AC579" s="9" t="str">
        <f t="shared" si="6"/>
        <v/>
      </c>
    </row>
    <row r="580">
      <c r="A580" s="42" t="str">
        <f>CONFERENCIAS!A580</f>
        <v/>
      </c>
      <c r="D580" s="42" t="str">
        <f>CONFERENCIAS!C580</f>
        <v/>
      </c>
      <c r="E580" s="42" t="str">
        <f>CONFERENCIAS!K580</f>
        <v/>
      </c>
      <c r="F580" s="49" t="str">
        <f>CONFERENCIAS!J580</f>
        <v/>
      </c>
      <c r="G580" s="42" t="str">
        <f>CONFERENCIAS!O580</f>
        <v/>
      </c>
      <c r="H580" s="42" t="str">
        <f>CONFERENCIAS!X580</f>
        <v/>
      </c>
      <c r="I580" s="42" t="str">
        <f>CONFERENCIAS!AA580</f>
        <v/>
      </c>
      <c r="J580" s="44" t="str">
        <f>CONFERENCIAS!P580</f>
        <v/>
      </c>
      <c r="K580" s="45" t="str">
        <f>CONFERENCIAS!R580</f>
        <v/>
      </c>
      <c r="L580" s="45">
        <f>IF(D580="",0,
 IF(E580=1,
   IF(H580="Presencial",
      VLOOKUP(D580,TARIFAS!A:K,3,FALSE) + IF(I580="Sí",VLOOKUP(D580,TARIFAS!A:K,5,FALSE),0),
      VLOOKUP(D580,TARIFAS!A:K,4,FALSE) + IF(I580="Sí",VLOOKUP(D580,TARIFAS!A:K,5,FALSE),0)
   ),
   IF(H580="Presencial",
      VLOOKUP(D580,TARIFAS!A:K,9,FALSE) + IF(I580="Sí",VLOOKUP(D580,TARIFAS!A:K,11,FALSE),0),
      VLOOKUP(D580,TARIFAS!A:K,10,FALSE) + IF(I580="Sí",VLOOKUP(D580,TARIFAS!A:K,11,FALSE),0)
   )
 )
)
</f>
        <v>0</v>
      </c>
      <c r="M580" s="45">
        <f>IF(J580="",0,MAX(0,J580 - TARIFAS!G$2) * TARIFAS!F$2)
</f>
        <v>0</v>
      </c>
      <c r="N580" s="45">
        <f>+L580*TARIFAS!$K$2</f>
        <v>0</v>
      </c>
      <c r="O580" s="45">
        <f t="shared" si="1"/>
        <v>0</v>
      </c>
      <c r="P580" s="45">
        <f>+M580+O580+K580+(+I580-(I580*TARIFAS!$K$2))</f>
        <v>0</v>
      </c>
      <c r="Q580" s="42" t="str">
        <f>CONFERENCIAS!T580</f>
        <v/>
      </c>
      <c r="R580" s="45" t="str">
        <f>CONFERENCIAS!U580</f>
        <v/>
      </c>
      <c r="S580" s="45" t="str">
        <f>CONFERENCIAS!W580</f>
        <v/>
      </c>
      <c r="T580" s="48">
        <f>IF(Q580="",0,
   IF(E580=1,
      IF(H580="Presencial",
         VLOOKUP(D580,TARIFAS!A:K,3,FALSE) + IF(I580="Sí",VLOOKUP(D580,TARIFAS!A:K,5,FALSE),0),
         VLOOKUP(D580,TARIFAS!A:K,4,FALSE) + IF(I580="Sí",VLOOKUP(D580,TARIFAS!A:K,5,FALSE),0)
      ),
      IF(H580="Presencial",
         VLOOKUP(D580,TARIFAS!A:K,9,FALSE) + IF(I580="Sí",VLOOKUP(D580,TARIFAS!A:K,11,FALSE),0),
         VLOOKUP(D580,TARIFAS!A:K,10,FALSE) + IF(I580="Sí",VLOOKUP(D580,TARIFAS!A:K,11,FALSE),0)
      )
   )
)
</f>
        <v>0</v>
      </c>
      <c r="U580" s="45">
        <f>IF(R580="",0,MAX(0,R580 - TARIFAS!G$2) * TARIFAS!F$2)
</f>
        <v>0</v>
      </c>
      <c r="V580" s="45">
        <f>+T580*TARIFAS!$K$2</f>
        <v>0</v>
      </c>
      <c r="W580" s="45">
        <f t="shared" si="2"/>
        <v>0</v>
      </c>
      <c r="X580" s="45">
        <f t="shared" si="3"/>
        <v>0</v>
      </c>
      <c r="Y580" s="45">
        <f t="shared" si="4"/>
        <v>0</v>
      </c>
      <c r="Z580" s="42" t="str">
        <f>CONFERENCIAS!AB580</f>
        <v/>
      </c>
      <c r="AA580" s="42" t="str">
        <f>CONFERENCIAS!AC580</f>
        <v/>
      </c>
      <c r="AB580" s="47" t="str">
        <f t="shared" si="5"/>
        <v/>
      </c>
      <c r="AC580" s="9" t="str">
        <f t="shared" si="6"/>
        <v/>
      </c>
    </row>
    <row r="581">
      <c r="A581" s="42" t="str">
        <f>CONFERENCIAS!A581</f>
        <v/>
      </c>
      <c r="D581" s="42" t="str">
        <f>CONFERENCIAS!C581</f>
        <v/>
      </c>
      <c r="E581" s="42" t="str">
        <f>CONFERENCIAS!K581</f>
        <v/>
      </c>
      <c r="F581" s="49" t="str">
        <f>CONFERENCIAS!J581</f>
        <v/>
      </c>
      <c r="G581" s="42" t="str">
        <f>CONFERENCIAS!O581</f>
        <v/>
      </c>
      <c r="H581" s="42" t="str">
        <f>CONFERENCIAS!X581</f>
        <v/>
      </c>
      <c r="I581" s="42" t="str">
        <f>CONFERENCIAS!AA581</f>
        <v/>
      </c>
      <c r="J581" s="44" t="str">
        <f>CONFERENCIAS!P581</f>
        <v/>
      </c>
      <c r="K581" s="45" t="str">
        <f>CONFERENCIAS!R581</f>
        <v/>
      </c>
      <c r="L581" s="45">
        <f>IF(D581="",0,
 IF(E581=1,
   IF(H581="Presencial",
      VLOOKUP(D581,TARIFAS!A:K,3,FALSE) + IF(I581="Sí",VLOOKUP(D581,TARIFAS!A:K,5,FALSE),0),
      VLOOKUP(D581,TARIFAS!A:K,4,FALSE) + IF(I581="Sí",VLOOKUP(D581,TARIFAS!A:K,5,FALSE),0)
   ),
   IF(H581="Presencial",
      VLOOKUP(D581,TARIFAS!A:K,9,FALSE) + IF(I581="Sí",VLOOKUP(D581,TARIFAS!A:K,11,FALSE),0),
      VLOOKUP(D581,TARIFAS!A:K,10,FALSE) + IF(I581="Sí",VLOOKUP(D581,TARIFAS!A:K,11,FALSE),0)
   )
 )
)
</f>
        <v>0</v>
      </c>
      <c r="M581" s="45">
        <f>IF(J581="",0,MAX(0,J581 - TARIFAS!G$2) * TARIFAS!F$2)
</f>
        <v>0</v>
      </c>
      <c r="N581" s="45">
        <f>+L581*TARIFAS!$K$2</f>
        <v>0</v>
      </c>
      <c r="O581" s="45">
        <f t="shared" si="1"/>
        <v>0</v>
      </c>
      <c r="P581" s="45">
        <f>+M581+O581+K581+(+I581-(I581*TARIFAS!$K$2))</f>
        <v>0</v>
      </c>
      <c r="Q581" s="42" t="str">
        <f>CONFERENCIAS!T581</f>
        <v/>
      </c>
      <c r="R581" s="45" t="str">
        <f>CONFERENCIAS!U581</f>
        <v/>
      </c>
      <c r="S581" s="45" t="str">
        <f>CONFERENCIAS!W581</f>
        <v/>
      </c>
      <c r="T581" s="48">
        <f>IF(Q581="",0,
   IF(E581=1,
      IF(H581="Presencial",
         VLOOKUP(D581,TARIFAS!A:K,3,FALSE) + IF(I581="Sí",VLOOKUP(D581,TARIFAS!A:K,5,FALSE),0),
         VLOOKUP(D581,TARIFAS!A:K,4,FALSE) + IF(I581="Sí",VLOOKUP(D581,TARIFAS!A:K,5,FALSE),0)
      ),
      IF(H581="Presencial",
         VLOOKUP(D581,TARIFAS!A:K,9,FALSE) + IF(I581="Sí",VLOOKUP(D581,TARIFAS!A:K,11,FALSE),0),
         VLOOKUP(D581,TARIFAS!A:K,10,FALSE) + IF(I581="Sí",VLOOKUP(D581,TARIFAS!A:K,11,FALSE),0)
      )
   )
)
</f>
        <v>0</v>
      </c>
      <c r="U581" s="45">
        <f>IF(R581="",0,MAX(0,R581 - TARIFAS!G$2) * TARIFAS!F$2)
</f>
        <v>0</v>
      </c>
      <c r="V581" s="45">
        <f>+T581*TARIFAS!$K$2</f>
        <v>0</v>
      </c>
      <c r="W581" s="45">
        <f t="shared" si="2"/>
        <v>0</v>
      </c>
      <c r="X581" s="45">
        <f t="shared" si="3"/>
        <v>0</v>
      </c>
      <c r="Y581" s="45">
        <f t="shared" si="4"/>
        <v>0</v>
      </c>
      <c r="Z581" s="42" t="str">
        <f>CONFERENCIAS!AB581</f>
        <v/>
      </c>
      <c r="AA581" s="42" t="str">
        <f>CONFERENCIAS!AC581</f>
        <v/>
      </c>
      <c r="AB581" s="47" t="str">
        <f t="shared" si="5"/>
        <v/>
      </c>
      <c r="AC581" s="9" t="str">
        <f t="shared" si="6"/>
        <v/>
      </c>
    </row>
    <row r="582">
      <c r="A582" s="42" t="str">
        <f>CONFERENCIAS!A582</f>
        <v/>
      </c>
      <c r="D582" s="42" t="str">
        <f>CONFERENCIAS!C582</f>
        <v/>
      </c>
      <c r="E582" s="42" t="str">
        <f>CONFERENCIAS!K582</f>
        <v/>
      </c>
      <c r="F582" s="49" t="str">
        <f>CONFERENCIAS!J582</f>
        <v/>
      </c>
      <c r="G582" s="42" t="str">
        <f>CONFERENCIAS!O582</f>
        <v/>
      </c>
      <c r="H582" s="42" t="str">
        <f>CONFERENCIAS!X582</f>
        <v/>
      </c>
      <c r="I582" s="42" t="str">
        <f>CONFERENCIAS!AA582</f>
        <v/>
      </c>
      <c r="J582" s="44" t="str">
        <f>CONFERENCIAS!P582</f>
        <v/>
      </c>
      <c r="K582" s="45" t="str">
        <f>CONFERENCIAS!R582</f>
        <v/>
      </c>
      <c r="L582" s="45">
        <f>IF(D582="",0,
 IF(E582=1,
   IF(H582="Presencial",
      VLOOKUP(D582,TARIFAS!A:K,3,FALSE) + IF(I582="Sí",VLOOKUP(D582,TARIFAS!A:K,5,FALSE),0),
      VLOOKUP(D582,TARIFAS!A:K,4,FALSE) + IF(I582="Sí",VLOOKUP(D582,TARIFAS!A:K,5,FALSE),0)
   ),
   IF(H582="Presencial",
      VLOOKUP(D582,TARIFAS!A:K,9,FALSE) + IF(I582="Sí",VLOOKUP(D582,TARIFAS!A:K,11,FALSE),0),
      VLOOKUP(D582,TARIFAS!A:K,10,FALSE) + IF(I582="Sí",VLOOKUP(D582,TARIFAS!A:K,11,FALSE),0)
   )
 )
)
</f>
        <v>0</v>
      </c>
      <c r="M582" s="45">
        <f>IF(J582="",0,MAX(0,J582 - TARIFAS!G$2) * TARIFAS!F$2)
</f>
        <v>0</v>
      </c>
      <c r="N582" s="45">
        <f>+L582*TARIFAS!$K$2</f>
        <v>0</v>
      </c>
      <c r="O582" s="45">
        <f t="shared" si="1"/>
        <v>0</v>
      </c>
      <c r="P582" s="45">
        <f>+M582+O582+K582+(+I582-(I582*TARIFAS!$K$2))</f>
        <v>0</v>
      </c>
      <c r="Q582" s="42" t="str">
        <f>CONFERENCIAS!T582</f>
        <v/>
      </c>
      <c r="R582" s="45" t="str">
        <f>CONFERENCIAS!U582</f>
        <v/>
      </c>
      <c r="S582" s="45" t="str">
        <f>CONFERENCIAS!W582</f>
        <v/>
      </c>
      <c r="T582" s="48">
        <f>IF(Q582="",0,
   IF(E582=1,
      IF(H582="Presencial",
         VLOOKUP(D582,TARIFAS!A:K,3,FALSE) + IF(I582="Sí",VLOOKUP(D582,TARIFAS!A:K,5,FALSE),0),
         VLOOKUP(D582,TARIFAS!A:K,4,FALSE) + IF(I582="Sí",VLOOKUP(D582,TARIFAS!A:K,5,FALSE),0)
      ),
      IF(H582="Presencial",
         VLOOKUP(D582,TARIFAS!A:K,9,FALSE) + IF(I582="Sí",VLOOKUP(D582,TARIFAS!A:K,11,FALSE),0),
         VLOOKUP(D582,TARIFAS!A:K,10,FALSE) + IF(I582="Sí",VLOOKUP(D582,TARIFAS!A:K,11,FALSE),0)
      )
   )
)
</f>
        <v>0</v>
      </c>
      <c r="U582" s="45">
        <f>IF(R582="",0,MAX(0,R582 - TARIFAS!G$2) * TARIFAS!F$2)
</f>
        <v>0</v>
      </c>
      <c r="V582" s="45">
        <f>+T582*TARIFAS!$K$2</f>
        <v>0</v>
      </c>
      <c r="W582" s="45">
        <f t="shared" si="2"/>
        <v>0</v>
      </c>
      <c r="X582" s="45">
        <f t="shared" si="3"/>
        <v>0</v>
      </c>
      <c r="Y582" s="45">
        <f t="shared" si="4"/>
        <v>0</v>
      </c>
      <c r="Z582" s="42" t="str">
        <f>CONFERENCIAS!AB582</f>
        <v/>
      </c>
      <c r="AA582" s="42" t="str">
        <f>CONFERENCIAS!AC582</f>
        <v/>
      </c>
      <c r="AB582" s="47" t="str">
        <f t="shared" si="5"/>
        <v/>
      </c>
      <c r="AC582" s="9" t="str">
        <f t="shared" si="6"/>
        <v/>
      </c>
    </row>
    <row r="583">
      <c r="A583" s="42" t="str">
        <f>CONFERENCIAS!A583</f>
        <v/>
      </c>
      <c r="D583" s="42" t="str">
        <f>CONFERENCIAS!C583</f>
        <v/>
      </c>
      <c r="E583" s="42" t="str">
        <f>CONFERENCIAS!K583</f>
        <v/>
      </c>
      <c r="F583" s="49" t="str">
        <f>CONFERENCIAS!J583</f>
        <v/>
      </c>
      <c r="G583" s="42" t="str">
        <f>CONFERENCIAS!O583</f>
        <v/>
      </c>
      <c r="H583" s="42" t="str">
        <f>CONFERENCIAS!X583</f>
        <v/>
      </c>
      <c r="I583" s="42" t="str">
        <f>CONFERENCIAS!AA583</f>
        <v/>
      </c>
      <c r="J583" s="44" t="str">
        <f>CONFERENCIAS!P583</f>
        <v/>
      </c>
      <c r="K583" s="45" t="str">
        <f>CONFERENCIAS!R583</f>
        <v/>
      </c>
      <c r="L583" s="45">
        <f>IF(D583="",0,
 IF(E583=1,
   IF(H583="Presencial",
      VLOOKUP(D583,TARIFAS!A:K,3,FALSE) + IF(I583="Sí",VLOOKUP(D583,TARIFAS!A:K,5,FALSE),0),
      VLOOKUP(D583,TARIFAS!A:K,4,FALSE) + IF(I583="Sí",VLOOKUP(D583,TARIFAS!A:K,5,FALSE),0)
   ),
   IF(H583="Presencial",
      VLOOKUP(D583,TARIFAS!A:K,9,FALSE) + IF(I583="Sí",VLOOKUP(D583,TARIFAS!A:K,11,FALSE),0),
      VLOOKUP(D583,TARIFAS!A:K,10,FALSE) + IF(I583="Sí",VLOOKUP(D583,TARIFAS!A:K,11,FALSE),0)
   )
 )
)
</f>
        <v>0</v>
      </c>
      <c r="M583" s="45">
        <f>IF(J583="",0,MAX(0,J583 - TARIFAS!G$2) * TARIFAS!F$2)
</f>
        <v>0</v>
      </c>
      <c r="N583" s="45">
        <f>+L583*TARIFAS!$K$2</f>
        <v>0</v>
      </c>
      <c r="O583" s="45">
        <f t="shared" si="1"/>
        <v>0</v>
      </c>
      <c r="P583" s="45">
        <f>+M583+O583+K583+(+I583-(I583*TARIFAS!$K$2))</f>
        <v>0</v>
      </c>
      <c r="Q583" s="42" t="str">
        <f>CONFERENCIAS!T583</f>
        <v/>
      </c>
      <c r="R583" s="45" t="str">
        <f>CONFERENCIAS!U583</f>
        <v/>
      </c>
      <c r="S583" s="45" t="str">
        <f>CONFERENCIAS!W583</f>
        <v/>
      </c>
      <c r="T583" s="48">
        <f>IF(Q583="",0,
   IF(E583=1,
      IF(H583="Presencial",
         VLOOKUP(D583,TARIFAS!A:K,3,FALSE) + IF(I583="Sí",VLOOKUP(D583,TARIFAS!A:K,5,FALSE),0),
         VLOOKUP(D583,TARIFAS!A:K,4,FALSE) + IF(I583="Sí",VLOOKUP(D583,TARIFAS!A:K,5,FALSE),0)
      ),
      IF(H583="Presencial",
         VLOOKUP(D583,TARIFAS!A:K,9,FALSE) + IF(I583="Sí",VLOOKUP(D583,TARIFAS!A:K,11,FALSE),0),
         VLOOKUP(D583,TARIFAS!A:K,10,FALSE) + IF(I583="Sí",VLOOKUP(D583,TARIFAS!A:K,11,FALSE),0)
      )
   )
)
</f>
        <v>0</v>
      </c>
      <c r="U583" s="45">
        <f>IF(R583="",0,MAX(0,R583 - TARIFAS!G$2) * TARIFAS!F$2)
</f>
        <v>0</v>
      </c>
      <c r="V583" s="45">
        <f>+T583*TARIFAS!$K$2</f>
        <v>0</v>
      </c>
      <c r="W583" s="45">
        <f t="shared" si="2"/>
        <v>0</v>
      </c>
      <c r="X583" s="45">
        <f t="shared" si="3"/>
        <v>0</v>
      </c>
      <c r="Y583" s="45">
        <f t="shared" si="4"/>
        <v>0</v>
      </c>
      <c r="Z583" s="42" t="str">
        <f>CONFERENCIAS!AB583</f>
        <v/>
      </c>
      <c r="AA583" s="42" t="str">
        <f>CONFERENCIAS!AC583</f>
        <v/>
      </c>
      <c r="AB583" s="47" t="str">
        <f t="shared" si="5"/>
        <v/>
      </c>
      <c r="AC583" s="9" t="str">
        <f t="shared" si="6"/>
        <v/>
      </c>
    </row>
    <row r="584">
      <c r="A584" s="42" t="str">
        <f>CONFERENCIAS!A584</f>
        <v/>
      </c>
      <c r="D584" s="42" t="str">
        <f>CONFERENCIAS!C584</f>
        <v/>
      </c>
      <c r="E584" s="42" t="str">
        <f>CONFERENCIAS!K584</f>
        <v/>
      </c>
      <c r="F584" s="49" t="str">
        <f>CONFERENCIAS!J584</f>
        <v/>
      </c>
      <c r="G584" s="42" t="str">
        <f>CONFERENCIAS!O584</f>
        <v/>
      </c>
      <c r="H584" s="42" t="str">
        <f>CONFERENCIAS!X584</f>
        <v/>
      </c>
      <c r="I584" s="42" t="str">
        <f>CONFERENCIAS!AA584</f>
        <v/>
      </c>
      <c r="J584" s="44" t="str">
        <f>CONFERENCIAS!P584</f>
        <v/>
      </c>
      <c r="K584" s="45" t="str">
        <f>CONFERENCIAS!R584</f>
        <v/>
      </c>
      <c r="L584" s="45">
        <f>IF(D584="",0,
 IF(E584=1,
   IF(H584="Presencial",
      VLOOKUP(D584,TARIFAS!A:K,3,FALSE) + IF(I584="Sí",VLOOKUP(D584,TARIFAS!A:K,5,FALSE),0),
      VLOOKUP(D584,TARIFAS!A:K,4,FALSE) + IF(I584="Sí",VLOOKUP(D584,TARIFAS!A:K,5,FALSE),0)
   ),
   IF(H584="Presencial",
      VLOOKUP(D584,TARIFAS!A:K,9,FALSE) + IF(I584="Sí",VLOOKUP(D584,TARIFAS!A:K,11,FALSE),0),
      VLOOKUP(D584,TARIFAS!A:K,10,FALSE) + IF(I584="Sí",VLOOKUP(D584,TARIFAS!A:K,11,FALSE),0)
   )
 )
)
</f>
        <v>0</v>
      </c>
      <c r="M584" s="45">
        <f>IF(J584="",0,MAX(0,J584 - TARIFAS!G$2) * TARIFAS!F$2)
</f>
        <v>0</v>
      </c>
      <c r="N584" s="45">
        <f>+L584*TARIFAS!$K$2</f>
        <v>0</v>
      </c>
      <c r="O584" s="45">
        <f t="shared" si="1"/>
        <v>0</v>
      </c>
      <c r="P584" s="45">
        <f>+M584+O584+K584+(+I584-(I584*TARIFAS!$K$2))</f>
        <v>0</v>
      </c>
      <c r="Q584" s="42" t="str">
        <f>CONFERENCIAS!T584</f>
        <v/>
      </c>
      <c r="R584" s="45" t="str">
        <f>CONFERENCIAS!U584</f>
        <v/>
      </c>
      <c r="S584" s="45" t="str">
        <f>CONFERENCIAS!W584</f>
        <v/>
      </c>
      <c r="T584" s="48">
        <f>IF(Q584="",0,
   IF(E584=1,
      IF(H584="Presencial",
         VLOOKUP(D584,TARIFAS!A:K,3,FALSE) + IF(I584="Sí",VLOOKUP(D584,TARIFAS!A:K,5,FALSE),0),
         VLOOKUP(D584,TARIFAS!A:K,4,FALSE) + IF(I584="Sí",VLOOKUP(D584,TARIFAS!A:K,5,FALSE),0)
      ),
      IF(H584="Presencial",
         VLOOKUP(D584,TARIFAS!A:K,9,FALSE) + IF(I584="Sí",VLOOKUP(D584,TARIFAS!A:K,11,FALSE),0),
         VLOOKUP(D584,TARIFAS!A:K,10,FALSE) + IF(I584="Sí",VLOOKUP(D584,TARIFAS!A:K,11,FALSE),0)
      )
   )
)
</f>
        <v>0</v>
      </c>
      <c r="U584" s="45">
        <f>IF(R584="",0,MAX(0,R584 - TARIFAS!G$2) * TARIFAS!F$2)
</f>
        <v>0</v>
      </c>
      <c r="V584" s="45">
        <f>+T584*TARIFAS!$K$2</f>
        <v>0</v>
      </c>
      <c r="W584" s="45">
        <f t="shared" si="2"/>
        <v>0</v>
      </c>
      <c r="X584" s="45">
        <f t="shared" si="3"/>
        <v>0</v>
      </c>
      <c r="Y584" s="45">
        <f t="shared" si="4"/>
        <v>0</v>
      </c>
      <c r="Z584" s="42" t="str">
        <f>CONFERENCIAS!AB584</f>
        <v/>
      </c>
      <c r="AA584" s="42" t="str">
        <f>CONFERENCIAS!AC584</f>
        <v/>
      </c>
      <c r="AB584" s="47" t="str">
        <f t="shared" si="5"/>
        <v/>
      </c>
      <c r="AC584" s="9" t="str">
        <f t="shared" si="6"/>
        <v/>
      </c>
    </row>
    <row r="585">
      <c r="A585" s="42" t="str">
        <f>CONFERENCIAS!A585</f>
        <v/>
      </c>
      <c r="D585" s="42" t="str">
        <f>CONFERENCIAS!C585</f>
        <v/>
      </c>
      <c r="E585" s="42" t="str">
        <f>CONFERENCIAS!K585</f>
        <v/>
      </c>
      <c r="F585" s="49" t="str">
        <f>CONFERENCIAS!J585</f>
        <v/>
      </c>
      <c r="G585" s="42" t="str">
        <f>CONFERENCIAS!O585</f>
        <v/>
      </c>
      <c r="H585" s="42" t="str">
        <f>CONFERENCIAS!X585</f>
        <v/>
      </c>
      <c r="I585" s="42" t="str">
        <f>CONFERENCIAS!AA585</f>
        <v/>
      </c>
      <c r="J585" s="44" t="str">
        <f>CONFERENCIAS!P585</f>
        <v/>
      </c>
      <c r="K585" s="45" t="str">
        <f>CONFERENCIAS!R585</f>
        <v/>
      </c>
      <c r="L585" s="45">
        <f>IF(D585="",0,
 IF(E585=1,
   IF(H585="Presencial",
      VLOOKUP(D585,TARIFAS!A:K,3,FALSE) + IF(I585="Sí",VLOOKUP(D585,TARIFAS!A:K,5,FALSE),0),
      VLOOKUP(D585,TARIFAS!A:K,4,FALSE) + IF(I585="Sí",VLOOKUP(D585,TARIFAS!A:K,5,FALSE),0)
   ),
   IF(H585="Presencial",
      VLOOKUP(D585,TARIFAS!A:K,9,FALSE) + IF(I585="Sí",VLOOKUP(D585,TARIFAS!A:K,11,FALSE),0),
      VLOOKUP(D585,TARIFAS!A:K,10,FALSE) + IF(I585="Sí",VLOOKUP(D585,TARIFAS!A:K,11,FALSE),0)
   )
 )
)
</f>
        <v>0</v>
      </c>
      <c r="M585" s="45">
        <f>IF(J585="",0,MAX(0,J585 - TARIFAS!G$2) * TARIFAS!F$2)
</f>
        <v>0</v>
      </c>
      <c r="N585" s="45">
        <f>+L585*TARIFAS!$K$2</f>
        <v>0</v>
      </c>
      <c r="O585" s="45">
        <f t="shared" si="1"/>
        <v>0</v>
      </c>
      <c r="P585" s="45">
        <f>+M585+O585+K585+(+I585-(I585*TARIFAS!$K$2))</f>
        <v>0</v>
      </c>
      <c r="Q585" s="42" t="str">
        <f>CONFERENCIAS!T585</f>
        <v/>
      </c>
      <c r="R585" s="45" t="str">
        <f>CONFERENCIAS!U585</f>
        <v/>
      </c>
      <c r="S585" s="45" t="str">
        <f>CONFERENCIAS!W585</f>
        <v/>
      </c>
      <c r="T585" s="48">
        <f>IF(Q585="",0,
   IF(E585=1,
      IF(H585="Presencial",
         VLOOKUP(D585,TARIFAS!A:K,3,FALSE) + IF(I585="Sí",VLOOKUP(D585,TARIFAS!A:K,5,FALSE),0),
         VLOOKUP(D585,TARIFAS!A:K,4,FALSE) + IF(I585="Sí",VLOOKUP(D585,TARIFAS!A:K,5,FALSE),0)
      ),
      IF(H585="Presencial",
         VLOOKUP(D585,TARIFAS!A:K,9,FALSE) + IF(I585="Sí",VLOOKUP(D585,TARIFAS!A:K,11,FALSE),0),
         VLOOKUP(D585,TARIFAS!A:K,10,FALSE) + IF(I585="Sí",VLOOKUP(D585,TARIFAS!A:K,11,FALSE),0)
      )
   )
)
</f>
        <v>0</v>
      </c>
      <c r="U585" s="45">
        <f>IF(R585="",0,MAX(0,R585 - TARIFAS!G$2) * TARIFAS!F$2)
</f>
        <v>0</v>
      </c>
      <c r="V585" s="45">
        <f>+T585*TARIFAS!$K$2</f>
        <v>0</v>
      </c>
      <c r="W585" s="45">
        <f t="shared" si="2"/>
        <v>0</v>
      </c>
      <c r="X585" s="45">
        <f t="shared" si="3"/>
        <v>0</v>
      </c>
      <c r="Y585" s="45">
        <f t="shared" si="4"/>
        <v>0</v>
      </c>
      <c r="Z585" s="42" t="str">
        <f>CONFERENCIAS!AB585</f>
        <v/>
      </c>
      <c r="AA585" s="42" t="str">
        <f>CONFERENCIAS!AC585</f>
        <v/>
      </c>
      <c r="AB585" s="47" t="str">
        <f t="shared" si="5"/>
        <v/>
      </c>
      <c r="AC585" s="9" t="str">
        <f t="shared" si="6"/>
        <v/>
      </c>
    </row>
    <row r="586">
      <c r="A586" s="42" t="str">
        <f>CONFERENCIAS!A586</f>
        <v/>
      </c>
      <c r="D586" s="42" t="str">
        <f>CONFERENCIAS!C586</f>
        <v/>
      </c>
      <c r="E586" s="42" t="str">
        <f>CONFERENCIAS!K586</f>
        <v/>
      </c>
      <c r="F586" s="49" t="str">
        <f>CONFERENCIAS!J586</f>
        <v/>
      </c>
      <c r="G586" s="42" t="str">
        <f>CONFERENCIAS!O586</f>
        <v/>
      </c>
      <c r="H586" s="42" t="str">
        <f>CONFERENCIAS!X586</f>
        <v/>
      </c>
      <c r="I586" s="42" t="str">
        <f>CONFERENCIAS!AA586</f>
        <v/>
      </c>
      <c r="J586" s="44" t="str">
        <f>CONFERENCIAS!P586</f>
        <v/>
      </c>
      <c r="K586" s="45" t="str">
        <f>CONFERENCIAS!R586</f>
        <v/>
      </c>
      <c r="L586" s="45">
        <f>IF(D586="",0,
 IF(E586=1,
   IF(H586="Presencial",
      VLOOKUP(D586,TARIFAS!A:K,3,FALSE) + IF(I586="Sí",VLOOKUP(D586,TARIFAS!A:K,5,FALSE),0),
      VLOOKUP(D586,TARIFAS!A:K,4,FALSE) + IF(I586="Sí",VLOOKUP(D586,TARIFAS!A:K,5,FALSE),0)
   ),
   IF(H586="Presencial",
      VLOOKUP(D586,TARIFAS!A:K,9,FALSE) + IF(I586="Sí",VLOOKUP(D586,TARIFAS!A:K,11,FALSE),0),
      VLOOKUP(D586,TARIFAS!A:K,10,FALSE) + IF(I586="Sí",VLOOKUP(D586,TARIFAS!A:K,11,FALSE),0)
   )
 )
)
</f>
        <v>0</v>
      </c>
      <c r="M586" s="45">
        <f>IF(J586="",0,MAX(0,J586 - TARIFAS!G$2) * TARIFAS!F$2)
</f>
        <v>0</v>
      </c>
      <c r="N586" s="45">
        <f>+L586*TARIFAS!$K$2</f>
        <v>0</v>
      </c>
      <c r="O586" s="45">
        <f t="shared" si="1"/>
        <v>0</v>
      </c>
      <c r="P586" s="45">
        <f>+M586+O586+K586+(+I586-(I586*TARIFAS!$K$2))</f>
        <v>0</v>
      </c>
      <c r="Q586" s="42" t="str">
        <f>CONFERENCIAS!T586</f>
        <v/>
      </c>
      <c r="R586" s="45" t="str">
        <f>CONFERENCIAS!U586</f>
        <v/>
      </c>
      <c r="S586" s="45" t="str">
        <f>CONFERENCIAS!W586</f>
        <v/>
      </c>
      <c r="T586" s="48">
        <f>IF(Q586="",0,
   IF(E586=1,
      IF(H586="Presencial",
         VLOOKUP(D586,TARIFAS!A:K,3,FALSE) + IF(I586="Sí",VLOOKUP(D586,TARIFAS!A:K,5,FALSE),0),
         VLOOKUP(D586,TARIFAS!A:K,4,FALSE) + IF(I586="Sí",VLOOKUP(D586,TARIFAS!A:K,5,FALSE),0)
      ),
      IF(H586="Presencial",
         VLOOKUP(D586,TARIFAS!A:K,9,FALSE) + IF(I586="Sí",VLOOKUP(D586,TARIFAS!A:K,11,FALSE),0),
         VLOOKUP(D586,TARIFAS!A:K,10,FALSE) + IF(I586="Sí",VLOOKUP(D586,TARIFAS!A:K,11,FALSE),0)
      )
   )
)
</f>
        <v>0</v>
      </c>
      <c r="U586" s="45">
        <f>IF(R586="",0,MAX(0,R586 - TARIFAS!G$2) * TARIFAS!F$2)
</f>
        <v>0</v>
      </c>
      <c r="V586" s="45">
        <f>+T586*TARIFAS!$K$2</f>
        <v>0</v>
      </c>
      <c r="W586" s="45">
        <f t="shared" si="2"/>
        <v>0</v>
      </c>
      <c r="X586" s="45">
        <f t="shared" si="3"/>
        <v>0</v>
      </c>
      <c r="Y586" s="45">
        <f t="shared" si="4"/>
        <v>0</v>
      </c>
      <c r="Z586" s="42" t="str">
        <f>CONFERENCIAS!AB586</f>
        <v/>
      </c>
      <c r="AA586" s="42" t="str">
        <f>CONFERENCIAS!AC586</f>
        <v/>
      </c>
      <c r="AB586" s="47" t="str">
        <f t="shared" si="5"/>
        <v/>
      </c>
      <c r="AC586" s="9" t="str">
        <f t="shared" si="6"/>
        <v/>
      </c>
    </row>
    <row r="587">
      <c r="A587" s="42" t="str">
        <f>CONFERENCIAS!A587</f>
        <v/>
      </c>
      <c r="D587" s="42" t="str">
        <f>CONFERENCIAS!C587</f>
        <v/>
      </c>
      <c r="E587" s="42" t="str">
        <f>CONFERENCIAS!K587</f>
        <v/>
      </c>
      <c r="F587" s="49" t="str">
        <f>CONFERENCIAS!J587</f>
        <v/>
      </c>
      <c r="G587" s="42" t="str">
        <f>CONFERENCIAS!O587</f>
        <v/>
      </c>
      <c r="H587" s="42" t="str">
        <f>CONFERENCIAS!X587</f>
        <v/>
      </c>
      <c r="I587" s="42" t="str">
        <f>CONFERENCIAS!AA587</f>
        <v/>
      </c>
      <c r="J587" s="44" t="str">
        <f>CONFERENCIAS!P587</f>
        <v/>
      </c>
      <c r="K587" s="45" t="str">
        <f>CONFERENCIAS!R587</f>
        <v/>
      </c>
      <c r="L587" s="45">
        <f>IF(D587="",0,
 IF(E587=1,
   IF(H587="Presencial",
      VLOOKUP(D587,TARIFAS!A:K,3,FALSE) + IF(I587="Sí",VLOOKUP(D587,TARIFAS!A:K,5,FALSE),0),
      VLOOKUP(D587,TARIFAS!A:K,4,FALSE) + IF(I587="Sí",VLOOKUP(D587,TARIFAS!A:K,5,FALSE),0)
   ),
   IF(H587="Presencial",
      VLOOKUP(D587,TARIFAS!A:K,9,FALSE) + IF(I587="Sí",VLOOKUP(D587,TARIFAS!A:K,11,FALSE),0),
      VLOOKUP(D587,TARIFAS!A:K,10,FALSE) + IF(I587="Sí",VLOOKUP(D587,TARIFAS!A:K,11,FALSE),0)
   )
 )
)
</f>
        <v>0</v>
      </c>
      <c r="M587" s="45">
        <f>IF(J587="",0,MAX(0,J587 - TARIFAS!G$2) * TARIFAS!F$2)
</f>
        <v>0</v>
      </c>
      <c r="N587" s="45">
        <f>+L587*TARIFAS!$K$2</f>
        <v>0</v>
      </c>
      <c r="O587" s="45">
        <f t="shared" si="1"/>
        <v>0</v>
      </c>
      <c r="P587" s="45">
        <f>+M587+O587+K587+(+I587-(I587*TARIFAS!$K$2))</f>
        <v>0</v>
      </c>
      <c r="Q587" s="42" t="str">
        <f>CONFERENCIAS!T587</f>
        <v/>
      </c>
      <c r="R587" s="45" t="str">
        <f>CONFERENCIAS!U587</f>
        <v/>
      </c>
      <c r="S587" s="45" t="str">
        <f>CONFERENCIAS!W587</f>
        <v/>
      </c>
      <c r="T587" s="48">
        <f>IF(Q587="",0,
   IF(E587=1,
      IF(H587="Presencial",
         VLOOKUP(D587,TARIFAS!A:K,3,FALSE) + IF(I587="Sí",VLOOKUP(D587,TARIFAS!A:K,5,FALSE),0),
         VLOOKUP(D587,TARIFAS!A:K,4,FALSE) + IF(I587="Sí",VLOOKUP(D587,TARIFAS!A:K,5,FALSE),0)
      ),
      IF(H587="Presencial",
         VLOOKUP(D587,TARIFAS!A:K,9,FALSE) + IF(I587="Sí",VLOOKUP(D587,TARIFAS!A:K,11,FALSE),0),
         VLOOKUP(D587,TARIFAS!A:K,10,FALSE) + IF(I587="Sí",VLOOKUP(D587,TARIFAS!A:K,11,FALSE),0)
      )
   )
)
</f>
        <v>0</v>
      </c>
      <c r="U587" s="45">
        <f>IF(R587="",0,MAX(0,R587 - TARIFAS!G$2) * TARIFAS!F$2)
</f>
        <v>0</v>
      </c>
      <c r="V587" s="45">
        <f>+T587*TARIFAS!$K$2</f>
        <v>0</v>
      </c>
      <c r="W587" s="45">
        <f t="shared" si="2"/>
        <v>0</v>
      </c>
      <c r="X587" s="45">
        <f t="shared" si="3"/>
        <v>0</v>
      </c>
      <c r="Y587" s="45">
        <f t="shared" si="4"/>
        <v>0</v>
      </c>
      <c r="Z587" s="42" t="str">
        <f>CONFERENCIAS!AB587</f>
        <v/>
      </c>
      <c r="AA587" s="42" t="str">
        <f>CONFERENCIAS!AC587</f>
        <v/>
      </c>
      <c r="AB587" s="47" t="str">
        <f t="shared" si="5"/>
        <v/>
      </c>
      <c r="AC587" s="9" t="str">
        <f t="shared" si="6"/>
        <v/>
      </c>
    </row>
    <row r="588">
      <c r="A588" s="42" t="str">
        <f>CONFERENCIAS!A588</f>
        <v/>
      </c>
      <c r="D588" s="42" t="str">
        <f>CONFERENCIAS!C588</f>
        <v/>
      </c>
      <c r="E588" s="42" t="str">
        <f>CONFERENCIAS!K588</f>
        <v/>
      </c>
      <c r="F588" s="49" t="str">
        <f>CONFERENCIAS!J588</f>
        <v/>
      </c>
      <c r="G588" s="42" t="str">
        <f>CONFERENCIAS!O588</f>
        <v/>
      </c>
      <c r="H588" s="42" t="str">
        <f>CONFERENCIAS!X588</f>
        <v/>
      </c>
      <c r="I588" s="42" t="str">
        <f>CONFERENCIAS!AA588</f>
        <v/>
      </c>
      <c r="J588" s="44" t="str">
        <f>CONFERENCIAS!P588</f>
        <v/>
      </c>
      <c r="K588" s="45" t="str">
        <f>CONFERENCIAS!R588</f>
        <v/>
      </c>
      <c r="L588" s="45">
        <f>IF(D588="",0,
 IF(E588=1,
   IF(H588="Presencial",
      VLOOKUP(D588,TARIFAS!A:K,3,FALSE) + IF(I588="Sí",VLOOKUP(D588,TARIFAS!A:K,5,FALSE),0),
      VLOOKUP(D588,TARIFAS!A:K,4,FALSE) + IF(I588="Sí",VLOOKUP(D588,TARIFAS!A:K,5,FALSE),0)
   ),
   IF(H588="Presencial",
      VLOOKUP(D588,TARIFAS!A:K,9,FALSE) + IF(I588="Sí",VLOOKUP(D588,TARIFAS!A:K,11,FALSE),0),
      VLOOKUP(D588,TARIFAS!A:K,10,FALSE) + IF(I588="Sí",VLOOKUP(D588,TARIFAS!A:K,11,FALSE),0)
   )
 )
)
</f>
        <v>0</v>
      </c>
      <c r="M588" s="45">
        <f>IF(J588="",0,MAX(0,J588 - TARIFAS!G$2) * TARIFAS!F$2)
</f>
        <v>0</v>
      </c>
      <c r="N588" s="45">
        <f>+L588*TARIFAS!$K$2</f>
        <v>0</v>
      </c>
      <c r="O588" s="45">
        <f t="shared" si="1"/>
        <v>0</v>
      </c>
      <c r="P588" s="45">
        <f>+M588+O588+K588+(+I588-(I588*TARIFAS!$K$2))</f>
        <v>0</v>
      </c>
      <c r="Q588" s="42" t="str">
        <f>CONFERENCIAS!T588</f>
        <v/>
      </c>
      <c r="R588" s="45" t="str">
        <f>CONFERENCIAS!U588</f>
        <v/>
      </c>
      <c r="S588" s="45" t="str">
        <f>CONFERENCIAS!W588</f>
        <v/>
      </c>
      <c r="T588" s="48">
        <f>IF(Q588="",0,
   IF(E588=1,
      IF(H588="Presencial",
         VLOOKUP(D588,TARIFAS!A:K,3,FALSE) + IF(I588="Sí",VLOOKUP(D588,TARIFAS!A:K,5,FALSE),0),
         VLOOKUP(D588,TARIFAS!A:K,4,FALSE) + IF(I588="Sí",VLOOKUP(D588,TARIFAS!A:K,5,FALSE),0)
      ),
      IF(H588="Presencial",
         VLOOKUP(D588,TARIFAS!A:K,9,FALSE) + IF(I588="Sí",VLOOKUP(D588,TARIFAS!A:K,11,FALSE),0),
         VLOOKUP(D588,TARIFAS!A:K,10,FALSE) + IF(I588="Sí",VLOOKUP(D588,TARIFAS!A:K,11,FALSE),0)
      )
   )
)
</f>
        <v>0</v>
      </c>
      <c r="U588" s="45">
        <f>IF(R588="",0,MAX(0,R588 - TARIFAS!G$2) * TARIFAS!F$2)
</f>
        <v>0</v>
      </c>
      <c r="V588" s="45">
        <f>+T588*TARIFAS!$K$2</f>
        <v>0</v>
      </c>
      <c r="W588" s="45">
        <f t="shared" si="2"/>
        <v>0</v>
      </c>
      <c r="X588" s="45">
        <f t="shared" si="3"/>
        <v>0</v>
      </c>
      <c r="Y588" s="45">
        <f t="shared" si="4"/>
        <v>0</v>
      </c>
      <c r="Z588" s="42" t="str">
        <f>CONFERENCIAS!AB588</f>
        <v/>
      </c>
      <c r="AA588" s="42" t="str">
        <f>CONFERENCIAS!AC588</f>
        <v/>
      </c>
      <c r="AB588" s="47" t="str">
        <f t="shared" si="5"/>
        <v/>
      </c>
      <c r="AC588" s="9" t="str">
        <f t="shared" si="6"/>
        <v/>
      </c>
    </row>
    <row r="589">
      <c r="A589" s="42" t="str">
        <f>CONFERENCIAS!A589</f>
        <v/>
      </c>
      <c r="D589" s="42" t="str">
        <f>CONFERENCIAS!C589</f>
        <v/>
      </c>
      <c r="E589" s="42" t="str">
        <f>CONFERENCIAS!K589</f>
        <v/>
      </c>
      <c r="F589" s="49" t="str">
        <f>CONFERENCIAS!J589</f>
        <v/>
      </c>
      <c r="G589" s="42" t="str">
        <f>CONFERENCIAS!O589</f>
        <v/>
      </c>
      <c r="H589" s="42" t="str">
        <f>CONFERENCIAS!X589</f>
        <v/>
      </c>
      <c r="I589" s="42" t="str">
        <f>CONFERENCIAS!AA589</f>
        <v/>
      </c>
      <c r="J589" s="44" t="str">
        <f>CONFERENCIAS!P589</f>
        <v/>
      </c>
      <c r="K589" s="45" t="str">
        <f>CONFERENCIAS!R589</f>
        <v/>
      </c>
      <c r="L589" s="45">
        <f>IF(D589="",0,
 IF(E589=1,
   IF(H589="Presencial",
      VLOOKUP(D589,TARIFAS!A:K,3,FALSE) + IF(I589="Sí",VLOOKUP(D589,TARIFAS!A:K,5,FALSE),0),
      VLOOKUP(D589,TARIFAS!A:K,4,FALSE) + IF(I589="Sí",VLOOKUP(D589,TARIFAS!A:K,5,FALSE),0)
   ),
   IF(H589="Presencial",
      VLOOKUP(D589,TARIFAS!A:K,9,FALSE) + IF(I589="Sí",VLOOKUP(D589,TARIFAS!A:K,11,FALSE),0),
      VLOOKUP(D589,TARIFAS!A:K,10,FALSE) + IF(I589="Sí",VLOOKUP(D589,TARIFAS!A:K,11,FALSE),0)
   )
 )
)
</f>
        <v>0</v>
      </c>
      <c r="M589" s="45">
        <f>IF(J589="",0,MAX(0,J589 - TARIFAS!G$2) * TARIFAS!F$2)
</f>
        <v>0</v>
      </c>
      <c r="N589" s="45">
        <f>+L589*TARIFAS!$K$2</f>
        <v>0</v>
      </c>
      <c r="O589" s="45">
        <f t="shared" si="1"/>
        <v>0</v>
      </c>
      <c r="P589" s="45">
        <f>+M589+O589+K589+(+I589-(I589*TARIFAS!$K$2))</f>
        <v>0</v>
      </c>
      <c r="Q589" s="42" t="str">
        <f>CONFERENCIAS!T589</f>
        <v/>
      </c>
      <c r="R589" s="45" t="str">
        <f>CONFERENCIAS!U589</f>
        <v/>
      </c>
      <c r="S589" s="45" t="str">
        <f>CONFERENCIAS!W589</f>
        <v/>
      </c>
      <c r="T589" s="48">
        <f>IF(Q589="",0,
   IF(E589=1,
      IF(H589="Presencial",
         VLOOKUP(D589,TARIFAS!A:K,3,FALSE) + IF(I589="Sí",VLOOKUP(D589,TARIFAS!A:K,5,FALSE),0),
         VLOOKUP(D589,TARIFAS!A:K,4,FALSE) + IF(I589="Sí",VLOOKUP(D589,TARIFAS!A:K,5,FALSE),0)
      ),
      IF(H589="Presencial",
         VLOOKUP(D589,TARIFAS!A:K,9,FALSE) + IF(I589="Sí",VLOOKUP(D589,TARIFAS!A:K,11,FALSE),0),
         VLOOKUP(D589,TARIFAS!A:K,10,FALSE) + IF(I589="Sí",VLOOKUP(D589,TARIFAS!A:K,11,FALSE),0)
      )
   )
)
</f>
        <v>0</v>
      </c>
      <c r="U589" s="45">
        <f>IF(R589="",0,MAX(0,R589 - TARIFAS!G$2) * TARIFAS!F$2)
</f>
        <v>0</v>
      </c>
      <c r="V589" s="45">
        <f>+T589*TARIFAS!$K$2</f>
        <v>0</v>
      </c>
      <c r="W589" s="45">
        <f t="shared" si="2"/>
        <v>0</v>
      </c>
      <c r="X589" s="45">
        <f t="shared" si="3"/>
        <v>0</v>
      </c>
      <c r="Y589" s="45">
        <f t="shared" si="4"/>
        <v>0</v>
      </c>
      <c r="Z589" s="42" t="str">
        <f>CONFERENCIAS!AB589</f>
        <v/>
      </c>
      <c r="AA589" s="42" t="str">
        <f>CONFERENCIAS!AC589</f>
        <v/>
      </c>
      <c r="AB589" s="47" t="str">
        <f t="shared" si="5"/>
        <v/>
      </c>
      <c r="AC589" s="9" t="str">
        <f t="shared" si="6"/>
        <v/>
      </c>
    </row>
    <row r="590">
      <c r="A590" s="42" t="str">
        <f>CONFERENCIAS!A590</f>
        <v/>
      </c>
      <c r="D590" s="42" t="str">
        <f>CONFERENCIAS!C590</f>
        <v/>
      </c>
      <c r="E590" s="42" t="str">
        <f>CONFERENCIAS!K590</f>
        <v/>
      </c>
      <c r="F590" s="49" t="str">
        <f>CONFERENCIAS!J590</f>
        <v/>
      </c>
      <c r="G590" s="42" t="str">
        <f>CONFERENCIAS!O590</f>
        <v/>
      </c>
      <c r="H590" s="42" t="str">
        <f>CONFERENCIAS!X590</f>
        <v/>
      </c>
      <c r="I590" s="42" t="str">
        <f>CONFERENCIAS!AA590</f>
        <v/>
      </c>
      <c r="J590" s="44" t="str">
        <f>CONFERENCIAS!P590</f>
        <v/>
      </c>
      <c r="K590" s="45" t="str">
        <f>CONFERENCIAS!R590</f>
        <v/>
      </c>
      <c r="L590" s="45">
        <f>IF(D590="",0,
 IF(E590=1,
   IF(H590="Presencial",
      VLOOKUP(D590,TARIFAS!A:K,3,FALSE) + IF(I590="Sí",VLOOKUP(D590,TARIFAS!A:K,5,FALSE),0),
      VLOOKUP(D590,TARIFAS!A:K,4,FALSE) + IF(I590="Sí",VLOOKUP(D590,TARIFAS!A:K,5,FALSE),0)
   ),
   IF(H590="Presencial",
      VLOOKUP(D590,TARIFAS!A:K,9,FALSE) + IF(I590="Sí",VLOOKUP(D590,TARIFAS!A:K,11,FALSE),0),
      VLOOKUP(D590,TARIFAS!A:K,10,FALSE) + IF(I590="Sí",VLOOKUP(D590,TARIFAS!A:K,11,FALSE),0)
   )
 )
)
</f>
        <v>0</v>
      </c>
      <c r="M590" s="45">
        <f>IF(J590="",0,MAX(0,J590 - TARIFAS!G$2) * TARIFAS!F$2)
</f>
        <v>0</v>
      </c>
      <c r="N590" s="45">
        <f>+L590*TARIFAS!$K$2</f>
        <v>0</v>
      </c>
      <c r="O590" s="45">
        <f t="shared" si="1"/>
        <v>0</v>
      </c>
      <c r="P590" s="45">
        <f>+M590+O590+K590+(+I590-(I590*TARIFAS!$K$2))</f>
        <v>0</v>
      </c>
      <c r="Q590" s="42" t="str">
        <f>CONFERENCIAS!T590</f>
        <v/>
      </c>
      <c r="R590" s="45" t="str">
        <f>CONFERENCIAS!U590</f>
        <v/>
      </c>
      <c r="S590" s="45" t="str">
        <f>CONFERENCIAS!W590</f>
        <v/>
      </c>
      <c r="T590" s="48">
        <f>IF(Q590="",0,
   IF(E590=1,
      IF(H590="Presencial",
         VLOOKUP(D590,TARIFAS!A:K,3,FALSE) + IF(I590="Sí",VLOOKUP(D590,TARIFAS!A:K,5,FALSE),0),
         VLOOKUP(D590,TARIFAS!A:K,4,FALSE) + IF(I590="Sí",VLOOKUP(D590,TARIFAS!A:K,5,FALSE),0)
      ),
      IF(H590="Presencial",
         VLOOKUP(D590,TARIFAS!A:K,9,FALSE) + IF(I590="Sí",VLOOKUP(D590,TARIFAS!A:K,11,FALSE),0),
         VLOOKUP(D590,TARIFAS!A:K,10,FALSE) + IF(I590="Sí",VLOOKUP(D590,TARIFAS!A:K,11,FALSE),0)
      )
   )
)
</f>
        <v>0</v>
      </c>
      <c r="U590" s="45">
        <f>IF(R590="",0,MAX(0,R590 - TARIFAS!G$2) * TARIFAS!F$2)
</f>
        <v>0</v>
      </c>
      <c r="V590" s="45">
        <f>+T590*TARIFAS!$K$2</f>
        <v>0</v>
      </c>
      <c r="W590" s="45">
        <f t="shared" si="2"/>
        <v>0</v>
      </c>
      <c r="X590" s="45">
        <f t="shared" si="3"/>
        <v>0</v>
      </c>
      <c r="Y590" s="45">
        <f t="shared" si="4"/>
        <v>0</v>
      </c>
      <c r="Z590" s="42" t="str">
        <f>CONFERENCIAS!AB590</f>
        <v/>
      </c>
      <c r="AA590" s="42" t="str">
        <f>CONFERENCIAS!AC590</f>
        <v/>
      </c>
      <c r="AB590" s="47" t="str">
        <f t="shared" si="5"/>
        <v/>
      </c>
      <c r="AC590" s="9" t="str">
        <f t="shared" si="6"/>
        <v/>
      </c>
    </row>
    <row r="591">
      <c r="A591" s="42" t="str">
        <f>CONFERENCIAS!A591</f>
        <v/>
      </c>
      <c r="D591" s="42" t="str">
        <f>CONFERENCIAS!C591</f>
        <v/>
      </c>
      <c r="E591" s="42" t="str">
        <f>CONFERENCIAS!K591</f>
        <v/>
      </c>
      <c r="F591" s="49" t="str">
        <f>CONFERENCIAS!J591</f>
        <v/>
      </c>
      <c r="G591" s="42" t="str">
        <f>CONFERENCIAS!O591</f>
        <v/>
      </c>
      <c r="H591" s="42" t="str">
        <f>CONFERENCIAS!X591</f>
        <v/>
      </c>
      <c r="I591" s="42" t="str">
        <f>CONFERENCIAS!AA591</f>
        <v/>
      </c>
      <c r="J591" s="44" t="str">
        <f>CONFERENCIAS!P591</f>
        <v/>
      </c>
      <c r="K591" s="45" t="str">
        <f>CONFERENCIAS!R591</f>
        <v/>
      </c>
      <c r="L591" s="45">
        <f>IF(D591="",0,
 IF(E591=1,
   IF(H591="Presencial",
      VLOOKUP(D591,TARIFAS!A:K,3,FALSE) + IF(I591="Sí",VLOOKUP(D591,TARIFAS!A:K,5,FALSE),0),
      VLOOKUP(D591,TARIFAS!A:K,4,FALSE) + IF(I591="Sí",VLOOKUP(D591,TARIFAS!A:K,5,FALSE),0)
   ),
   IF(H591="Presencial",
      VLOOKUP(D591,TARIFAS!A:K,9,FALSE) + IF(I591="Sí",VLOOKUP(D591,TARIFAS!A:K,11,FALSE),0),
      VLOOKUP(D591,TARIFAS!A:K,10,FALSE) + IF(I591="Sí",VLOOKUP(D591,TARIFAS!A:K,11,FALSE),0)
   )
 )
)
</f>
        <v>0</v>
      </c>
      <c r="M591" s="45">
        <f>IF(J591="",0,MAX(0,J591 - TARIFAS!G$2) * TARIFAS!F$2)
</f>
        <v>0</v>
      </c>
      <c r="N591" s="45">
        <f>+L591*TARIFAS!$K$2</f>
        <v>0</v>
      </c>
      <c r="O591" s="45">
        <f t="shared" si="1"/>
        <v>0</v>
      </c>
      <c r="P591" s="45">
        <f>+M591+O591+K591+(+I591-(I591*TARIFAS!$K$2))</f>
        <v>0</v>
      </c>
      <c r="Q591" s="42" t="str">
        <f>CONFERENCIAS!T591</f>
        <v/>
      </c>
      <c r="R591" s="45" t="str">
        <f>CONFERENCIAS!U591</f>
        <v/>
      </c>
      <c r="S591" s="45" t="str">
        <f>CONFERENCIAS!W591</f>
        <v/>
      </c>
      <c r="T591" s="48">
        <f>IF(Q591="",0,
   IF(E591=1,
      IF(H591="Presencial",
         VLOOKUP(D591,TARIFAS!A:K,3,FALSE) + IF(I591="Sí",VLOOKUP(D591,TARIFAS!A:K,5,FALSE),0),
         VLOOKUP(D591,TARIFAS!A:K,4,FALSE) + IF(I591="Sí",VLOOKUP(D591,TARIFAS!A:K,5,FALSE),0)
      ),
      IF(H591="Presencial",
         VLOOKUP(D591,TARIFAS!A:K,9,FALSE) + IF(I591="Sí",VLOOKUP(D591,TARIFAS!A:K,11,FALSE),0),
         VLOOKUP(D591,TARIFAS!A:K,10,FALSE) + IF(I591="Sí",VLOOKUP(D591,TARIFAS!A:K,11,FALSE),0)
      )
   )
)
</f>
        <v>0</v>
      </c>
      <c r="U591" s="45">
        <f>IF(R591="",0,MAX(0,R591 - TARIFAS!G$2) * TARIFAS!F$2)
</f>
        <v>0</v>
      </c>
      <c r="V591" s="45">
        <f>+T591*TARIFAS!$K$2</f>
        <v>0</v>
      </c>
      <c r="W591" s="45">
        <f t="shared" si="2"/>
        <v>0</v>
      </c>
      <c r="X591" s="45">
        <f t="shared" si="3"/>
        <v>0</v>
      </c>
      <c r="Y591" s="45">
        <f t="shared" si="4"/>
        <v>0</v>
      </c>
      <c r="Z591" s="42" t="str">
        <f>CONFERENCIAS!AB591</f>
        <v/>
      </c>
      <c r="AA591" s="42" t="str">
        <f>CONFERENCIAS!AC591</f>
        <v/>
      </c>
      <c r="AB591" s="47" t="str">
        <f t="shared" si="5"/>
        <v/>
      </c>
      <c r="AC591" s="9" t="str">
        <f t="shared" si="6"/>
        <v/>
      </c>
    </row>
    <row r="592">
      <c r="A592" s="42" t="str">
        <f>CONFERENCIAS!A592</f>
        <v/>
      </c>
      <c r="D592" s="42" t="str">
        <f>CONFERENCIAS!C592</f>
        <v/>
      </c>
      <c r="E592" s="42" t="str">
        <f>CONFERENCIAS!K592</f>
        <v/>
      </c>
      <c r="F592" s="49" t="str">
        <f>CONFERENCIAS!J592</f>
        <v/>
      </c>
      <c r="G592" s="42" t="str">
        <f>CONFERENCIAS!O592</f>
        <v/>
      </c>
      <c r="H592" s="42" t="str">
        <f>CONFERENCIAS!X592</f>
        <v/>
      </c>
      <c r="I592" s="42" t="str">
        <f>CONFERENCIAS!AA592</f>
        <v/>
      </c>
      <c r="J592" s="44" t="str">
        <f>CONFERENCIAS!P592</f>
        <v/>
      </c>
      <c r="K592" s="45" t="str">
        <f>CONFERENCIAS!R592</f>
        <v/>
      </c>
      <c r="L592" s="45">
        <f>IF(D592="",0,
 IF(E592=1,
   IF(H592="Presencial",
      VLOOKUP(D592,TARIFAS!A:K,3,FALSE) + IF(I592="Sí",VLOOKUP(D592,TARIFAS!A:K,5,FALSE),0),
      VLOOKUP(D592,TARIFAS!A:K,4,FALSE) + IF(I592="Sí",VLOOKUP(D592,TARIFAS!A:K,5,FALSE),0)
   ),
   IF(H592="Presencial",
      VLOOKUP(D592,TARIFAS!A:K,9,FALSE) + IF(I592="Sí",VLOOKUP(D592,TARIFAS!A:K,11,FALSE),0),
      VLOOKUP(D592,TARIFAS!A:K,10,FALSE) + IF(I592="Sí",VLOOKUP(D592,TARIFAS!A:K,11,FALSE),0)
   )
 )
)
</f>
        <v>0</v>
      </c>
      <c r="M592" s="45">
        <f>IF(J592="",0,MAX(0,J592 - TARIFAS!G$2) * TARIFAS!F$2)
</f>
        <v>0</v>
      </c>
      <c r="N592" s="45">
        <f>+L592*TARIFAS!$K$2</f>
        <v>0</v>
      </c>
      <c r="O592" s="45">
        <f t="shared" si="1"/>
        <v>0</v>
      </c>
      <c r="P592" s="45">
        <f>+M592+O592+K592+(+I592-(I592*TARIFAS!$K$2))</f>
        <v>0</v>
      </c>
      <c r="Q592" s="42" t="str">
        <f>CONFERENCIAS!T592</f>
        <v/>
      </c>
      <c r="R592" s="45" t="str">
        <f>CONFERENCIAS!U592</f>
        <v/>
      </c>
      <c r="S592" s="45" t="str">
        <f>CONFERENCIAS!W592</f>
        <v/>
      </c>
      <c r="T592" s="48">
        <f>IF(Q592="",0,
   IF(E592=1,
      IF(H592="Presencial",
         VLOOKUP(D592,TARIFAS!A:K,3,FALSE) + IF(I592="Sí",VLOOKUP(D592,TARIFAS!A:K,5,FALSE),0),
         VLOOKUP(D592,TARIFAS!A:K,4,FALSE) + IF(I592="Sí",VLOOKUP(D592,TARIFAS!A:K,5,FALSE),0)
      ),
      IF(H592="Presencial",
         VLOOKUP(D592,TARIFAS!A:K,9,FALSE) + IF(I592="Sí",VLOOKUP(D592,TARIFAS!A:K,11,FALSE),0),
         VLOOKUP(D592,TARIFAS!A:K,10,FALSE) + IF(I592="Sí",VLOOKUP(D592,TARIFAS!A:K,11,FALSE),0)
      )
   )
)
</f>
        <v>0</v>
      </c>
      <c r="U592" s="45">
        <f>IF(R592="",0,MAX(0,R592 - TARIFAS!G$2) * TARIFAS!F$2)
</f>
        <v>0</v>
      </c>
      <c r="V592" s="45">
        <f>+T592*TARIFAS!$K$2</f>
        <v>0</v>
      </c>
      <c r="W592" s="45">
        <f t="shared" si="2"/>
        <v>0</v>
      </c>
      <c r="X592" s="45">
        <f t="shared" si="3"/>
        <v>0</v>
      </c>
      <c r="Y592" s="45">
        <f t="shared" si="4"/>
        <v>0</v>
      </c>
      <c r="Z592" s="42" t="str">
        <f>CONFERENCIAS!AB592</f>
        <v/>
      </c>
      <c r="AA592" s="42" t="str">
        <f>CONFERENCIAS!AC592</f>
        <v/>
      </c>
      <c r="AB592" s="47" t="str">
        <f t="shared" si="5"/>
        <v/>
      </c>
      <c r="AC592" s="9" t="str">
        <f t="shared" si="6"/>
        <v/>
      </c>
    </row>
    <row r="593">
      <c r="A593" s="42" t="str">
        <f>CONFERENCIAS!A593</f>
        <v/>
      </c>
      <c r="D593" s="42" t="str">
        <f>CONFERENCIAS!C593</f>
        <v/>
      </c>
      <c r="E593" s="42" t="str">
        <f>CONFERENCIAS!K593</f>
        <v/>
      </c>
      <c r="F593" s="49" t="str">
        <f>CONFERENCIAS!J593</f>
        <v/>
      </c>
      <c r="G593" s="42" t="str">
        <f>CONFERENCIAS!O593</f>
        <v/>
      </c>
      <c r="H593" s="42" t="str">
        <f>CONFERENCIAS!X593</f>
        <v/>
      </c>
      <c r="I593" s="42" t="str">
        <f>CONFERENCIAS!AA593</f>
        <v/>
      </c>
      <c r="J593" s="44" t="str">
        <f>CONFERENCIAS!P593</f>
        <v/>
      </c>
      <c r="K593" s="45" t="str">
        <f>CONFERENCIAS!R593</f>
        <v/>
      </c>
      <c r="L593" s="45">
        <f>IF(D593="",0,
 IF(E593=1,
   IF(H593="Presencial",
      VLOOKUP(D593,TARIFAS!A:K,3,FALSE) + IF(I593="Sí",VLOOKUP(D593,TARIFAS!A:K,5,FALSE),0),
      VLOOKUP(D593,TARIFAS!A:K,4,FALSE) + IF(I593="Sí",VLOOKUP(D593,TARIFAS!A:K,5,FALSE),0)
   ),
   IF(H593="Presencial",
      VLOOKUP(D593,TARIFAS!A:K,9,FALSE) + IF(I593="Sí",VLOOKUP(D593,TARIFAS!A:K,11,FALSE),0),
      VLOOKUP(D593,TARIFAS!A:K,10,FALSE) + IF(I593="Sí",VLOOKUP(D593,TARIFAS!A:K,11,FALSE),0)
   )
 )
)
</f>
        <v>0</v>
      </c>
      <c r="M593" s="45">
        <f>IF(J593="",0,MAX(0,J593 - TARIFAS!G$2) * TARIFAS!F$2)
</f>
        <v>0</v>
      </c>
      <c r="N593" s="45">
        <f>+L593*TARIFAS!$K$2</f>
        <v>0</v>
      </c>
      <c r="O593" s="45">
        <f t="shared" si="1"/>
        <v>0</v>
      </c>
      <c r="P593" s="45">
        <f>+M593+O593+K593+(+I593-(I593*TARIFAS!$K$2))</f>
        <v>0</v>
      </c>
      <c r="Q593" s="42" t="str">
        <f>CONFERENCIAS!T593</f>
        <v/>
      </c>
      <c r="R593" s="45" t="str">
        <f>CONFERENCIAS!U593</f>
        <v/>
      </c>
      <c r="S593" s="45" t="str">
        <f>CONFERENCIAS!W593</f>
        <v/>
      </c>
      <c r="T593" s="48">
        <f>IF(Q593="",0,
   IF(E593=1,
      IF(H593="Presencial",
         VLOOKUP(D593,TARIFAS!A:K,3,FALSE) + IF(I593="Sí",VLOOKUP(D593,TARIFAS!A:K,5,FALSE),0),
         VLOOKUP(D593,TARIFAS!A:K,4,FALSE) + IF(I593="Sí",VLOOKUP(D593,TARIFAS!A:K,5,FALSE),0)
      ),
      IF(H593="Presencial",
         VLOOKUP(D593,TARIFAS!A:K,9,FALSE) + IF(I593="Sí",VLOOKUP(D593,TARIFAS!A:K,11,FALSE),0),
         VLOOKUP(D593,TARIFAS!A:K,10,FALSE) + IF(I593="Sí",VLOOKUP(D593,TARIFAS!A:K,11,FALSE),0)
      )
   )
)
</f>
        <v>0</v>
      </c>
      <c r="U593" s="45">
        <f>IF(R593="",0,MAX(0,R593 - TARIFAS!G$2) * TARIFAS!F$2)
</f>
        <v>0</v>
      </c>
      <c r="V593" s="45">
        <f>+T593*TARIFAS!$K$2</f>
        <v>0</v>
      </c>
      <c r="W593" s="45">
        <f t="shared" si="2"/>
        <v>0</v>
      </c>
      <c r="X593" s="45">
        <f t="shared" si="3"/>
        <v>0</v>
      </c>
      <c r="Y593" s="45">
        <f t="shared" si="4"/>
        <v>0</v>
      </c>
      <c r="Z593" s="42" t="str">
        <f>CONFERENCIAS!AB593</f>
        <v/>
      </c>
      <c r="AA593" s="42" t="str">
        <f>CONFERENCIAS!AC593</f>
        <v/>
      </c>
      <c r="AB593" s="47" t="str">
        <f t="shared" si="5"/>
        <v/>
      </c>
      <c r="AC593" s="9" t="str">
        <f t="shared" si="6"/>
        <v/>
      </c>
    </row>
    <row r="594">
      <c r="A594" s="42" t="str">
        <f>CONFERENCIAS!A594</f>
        <v/>
      </c>
      <c r="D594" s="42" t="str">
        <f>CONFERENCIAS!C594</f>
        <v/>
      </c>
      <c r="E594" s="42" t="str">
        <f>CONFERENCIAS!K594</f>
        <v/>
      </c>
      <c r="F594" s="49" t="str">
        <f>CONFERENCIAS!J594</f>
        <v/>
      </c>
      <c r="G594" s="42" t="str">
        <f>CONFERENCIAS!O594</f>
        <v/>
      </c>
      <c r="H594" s="42" t="str">
        <f>CONFERENCIAS!X594</f>
        <v/>
      </c>
      <c r="I594" s="42" t="str">
        <f>CONFERENCIAS!AA594</f>
        <v/>
      </c>
      <c r="J594" s="44" t="str">
        <f>CONFERENCIAS!P594</f>
        <v/>
      </c>
      <c r="K594" s="45" t="str">
        <f>CONFERENCIAS!R594</f>
        <v/>
      </c>
      <c r="L594" s="45">
        <f>IF(D594="",0,
 IF(E594=1,
   IF(H594="Presencial",
      VLOOKUP(D594,TARIFAS!A:K,3,FALSE) + IF(I594="Sí",VLOOKUP(D594,TARIFAS!A:K,5,FALSE),0),
      VLOOKUP(D594,TARIFAS!A:K,4,FALSE) + IF(I594="Sí",VLOOKUP(D594,TARIFAS!A:K,5,FALSE),0)
   ),
   IF(H594="Presencial",
      VLOOKUP(D594,TARIFAS!A:K,9,FALSE) + IF(I594="Sí",VLOOKUP(D594,TARIFAS!A:K,11,FALSE),0),
      VLOOKUP(D594,TARIFAS!A:K,10,FALSE) + IF(I594="Sí",VLOOKUP(D594,TARIFAS!A:K,11,FALSE),0)
   )
 )
)
</f>
        <v>0</v>
      </c>
      <c r="M594" s="45">
        <f>IF(J594="",0,MAX(0,J594 - TARIFAS!G$2) * TARIFAS!F$2)
</f>
        <v>0</v>
      </c>
      <c r="N594" s="45">
        <f>+L594*TARIFAS!$K$2</f>
        <v>0</v>
      </c>
      <c r="O594" s="45">
        <f t="shared" si="1"/>
        <v>0</v>
      </c>
      <c r="P594" s="45">
        <f>+M594+O594+K594+(+I594-(I594*TARIFAS!$K$2))</f>
        <v>0</v>
      </c>
      <c r="Q594" s="42" t="str">
        <f>CONFERENCIAS!T594</f>
        <v/>
      </c>
      <c r="R594" s="45" t="str">
        <f>CONFERENCIAS!U594</f>
        <v/>
      </c>
      <c r="S594" s="45" t="str">
        <f>CONFERENCIAS!W594</f>
        <v/>
      </c>
      <c r="T594" s="48">
        <f>IF(Q594="",0,
   IF(E594=1,
      IF(H594="Presencial",
         VLOOKUP(D594,TARIFAS!A:K,3,FALSE) + IF(I594="Sí",VLOOKUP(D594,TARIFAS!A:K,5,FALSE),0),
         VLOOKUP(D594,TARIFAS!A:K,4,FALSE) + IF(I594="Sí",VLOOKUP(D594,TARIFAS!A:K,5,FALSE),0)
      ),
      IF(H594="Presencial",
         VLOOKUP(D594,TARIFAS!A:K,9,FALSE) + IF(I594="Sí",VLOOKUP(D594,TARIFAS!A:K,11,FALSE),0),
         VLOOKUP(D594,TARIFAS!A:K,10,FALSE) + IF(I594="Sí",VLOOKUP(D594,TARIFAS!A:K,11,FALSE),0)
      )
   )
)
</f>
        <v>0</v>
      </c>
      <c r="U594" s="45">
        <f>IF(R594="",0,MAX(0,R594 - TARIFAS!G$2) * TARIFAS!F$2)
</f>
        <v>0</v>
      </c>
      <c r="V594" s="45">
        <f>+T594*TARIFAS!$K$2</f>
        <v>0</v>
      </c>
      <c r="W594" s="45">
        <f t="shared" si="2"/>
        <v>0</v>
      </c>
      <c r="X594" s="45">
        <f t="shared" si="3"/>
        <v>0</v>
      </c>
      <c r="Y594" s="45">
        <f t="shared" si="4"/>
        <v>0</v>
      </c>
      <c r="Z594" s="42" t="str">
        <f>CONFERENCIAS!AB594</f>
        <v/>
      </c>
      <c r="AA594" s="42" t="str">
        <f>CONFERENCIAS!AC594</f>
        <v/>
      </c>
      <c r="AB594" s="47" t="str">
        <f t="shared" si="5"/>
        <v/>
      </c>
      <c r="AC594" s="9" t="str">
        <f t="shared" si="6"/>
        <v/>
      </c>
    </row>
    <row r="595">
      <c r="A595" s="42" t="str">
        <f>CONFERENCIAS!A595</f>
        <v/>
      </c>
      <c r="D595" s="42" t="str">
        <f>CONFERENCIAS!C595</f>
        <v/>
      </c>
      <c r="E595" s="42" t="str">
        <f>CONFERENCIAS!K595</f>
        <v/>
      </c>
      <c r="F595" s="49" t="str">
        <f>CONFERENCIAS!J595</f>
        <v/>
      </c>
      <c r="G595" s="42" t="str">
        <f>CONFERENCIAS!O595</f>
        <v/>
      </c>
      <c r="H595" s="42" t="str">
        <f>CONFERENCIAS!X595</f>
        <v/>
      </c>
      <c r="I595" s="42" t="str">
        <f>CONFERENCIAS!AA595</f>
        <v/>
      </c>
      <c r="J595" s="44" t="str">
        <f>CONFERENCIAS!P595</f>
        <v/>
      </c>
      <c r="K595" s="45" t="str">
        <f>CONFERENCIAS!R595</f>
        <v/>
      </c>
      <c r="L595" s="45">
        <f>IF(D595="",0,
 IF(E595=1,
   IF(H595="Presencial",
      VLOOKUP(D595,TARIFAS!A:K,3,FALSE) + IF(I595="Sí",VLOOKUP(D595,TARIFAS!A:K,5,FALSE),0),
      VLOOKUP(D595,TARIFAS!A:K,4,FALSE) + IF(I595="Sí",VLOOKUP(D595,TARIFAS!A:K,5,FALSE),0)
   ),
   IF(H595="Presencial",
      VLOOKUP(D595,TARIFAS!A:K,9,FALSE) + IF(I595="Sí",VLOOKUP(D595,TARIFAS!A:K,11,FALSE),0),
      VLOOKUP(D595,TARIFAS!A:K,10,FALSE) + IF(I595="Sí",VLOOKUP(D595,TARIFAS!A:K,11,FALSE),0)
   )
 )
)
</f>
        <v>0</v>
      </c>
      <c r="M595" s="45">
        <f>IF(J595="",0,MAX(0,J595 - TARIFAS!G$2) * TARIFAS!F$2)
</f>
        <v>0</v>
      </c>
      <c r="N595" s="45">
        <f>+L595*TARIFAS!$K$2</f>
        <v>0</v>
      </c>
      <c r="O595" s="45">
        <f t="shared" si="1"/>
        <v>0</v>
      </c>
      <c r="P595" s="45">
        <f>+M595+O595+K595+(+I595-(I595*TARIFAS!$K$2))</f>
        <v>0</v>
      </c>
      <c r="Q595" s="42" t="str">
        <f>CONFERENCIAS!T595</f>
        <v/>
      </c>
      <c r="R595" s="45" t="str">
        <f>CONFERENCIAS!U595</f>
        <v/>
      </c>
      <c r="S595" s="45" t="str">
        <f>CONFERENCIAS!W595</f>
        <v/>
      </c>
      <c r="T595" s="48">
        <f>IF(Q595="",0,
   IF(E595=1,
      IF(H595="Presencial",
         VLOOKUP(D595,TARIFAS!A:K,3,FALSE) + IF(I595="Sí",VLOOKUP(D595,TARIFAS!A:K,5,FALSE),0),
         VLOOKUP(D595,TARIFAS!A:K,4,FALSE) + IF(I595="Sí",VLOOKUP(D595,TARIFAS!A:K,5,FALSE),0)
      ),
      IF(H595="Presencial",
         VLOOKUP(D595,TARIFAS!A:K,9,FALSE) + IF(I595="Sí",VLOOKUP(D595,TARIFAS!A:K,11,FALSE),0),
         VLOOKUP(D595,TARIFAS!A:K,10,FALSE) + IF(I595="Sí",VLOOKUP(D595,TARIFAS!A:K,11,FALSE),0)
      )
   )
)
</f>
        <v>0</v>
      </c>
      <c r="U595" s="45">
        <f>IF(R595="",0,MAX(0,R595 - TARIFAS!G$2) * TARIFAS!F$2)
</f>
        <v>0</v>
      </c>
      <c r="V595" s="45">
        <f>+T595*TARIFAS!$K$2</f>
        <v>0</v>
      </c>
      <c r="W595" s="45">
        <f t="shared" si="2"/>
        <v>0</v>
      </c>
      <c r="X595" s="45">
        <f t="shared" si="3"/>
        <v>0</v>
      </c>
      <c r="Y595" s="45">
        <f t="shared" si="4"/>
        <v>0</v>
      </c>
      <c r="Z595" s="42" t="str">
        <f>CONFERENCIAS!AB595</f>
        <v/>
      </c>
      <c r="AA595" s="42" t="str">
        <f>CONFERENCIAS!AC595</f>
        <v/>
      </c>
      <c r="AB595" s="47" t="str">
        <f t="shared" si="5"/>
        <v/>
      </c>
      <c r="AC595" s="9" t="str">
        <f t="shared" si="6"/>
        <v/>
      </c>
    </row>
    <row r="596">
      <c r="A596" s="42" t="str">
        <f>CONFERENCIAS!A596</f>
        <v/>
      </c>
      <c r="D596" s="42" t="str">
        <f>CONFERENCIAS!C596</f>
        <v/>
      </c>
      <c r="E596" s="42" t="str">
        <f>CONFERENCIAS!K596</f>
        <v/>
      </c>
      <c r="F596" s="49" t="str">
        <f>CONFERENCIAS!J596</f>
        <v/>
      </c>
      <c r="G596" s="42" t="str">
        <f>CONFERENCIAS!O596</f>
        <v/>
      </c>
      <c r="H596" s="42" t="str">
        <f>CONFERENCIAS!X596</f>
        <v/>
      </c>
      <c r="I596" s="42" t="str">
        <f>CONFERENCIAS!AA596</f>
        <v/>
      </c>
      <c r="J596" s="44" t="str">
        <f>CONFERENCIAS!P596</f>
        <v/>
      </c>
      <c r="K596" s="45" t="str">
        <f>CONFERENCIAS!R596</f>
        <v/>
      </c>
      <c r="L596" s="45">
        <f>IF(D596="",0,
 IF(E596=1,
   IF(H596="Presencial",
      VLOOKUP(D596,TARIFAS!A:K,3,FALSE) + IF(I596="Sí",VLOOKUP(D596,TARIFAS!A:K,5,FALSE),0),
      VLOOKUP(D596,TARIFAS!A:K,4,FALSE) + IF(I596="Sí",VLOOKUP(D596,TARIFAS!A:K,5,FALSE),0)
   ),
   IF(H596="Presencial",
      VLOOKUP(D596,TARIFAS!A:K,9,FALSE) + IF(I596="Sí",VLOOKUP(D596,TARIFAS!A:K,11,FALSE),0),
      VLOOKUP(D596,TARIFAS!A:K,10,FALSE) + IF(I596="Sí",VLOOKUP(D596,TARIFAS!A:K,11,FALSE),0)
   )
 )
)
</f>
        <v>0</v>
      </c>
      <c r="M596" s="45">
        <f>IF(J596="",0,MAX(0,J596 - TARIFAS!G$2) * TARIFAS!F$2)
</f>
        <v>0</v>
      </c>
      <c r="N596" s="45">
        <f>+L596*TARIFAS!$K$2</f>
        <v>0</v>
      </c>
      <c r="O596" s="45">
        <f t="shared" si="1"/>
        <v>0</v>
      </c>
      <c r="P596" s="45">
        <f>+M596+O596+K596+(+I596-(I596*TARIFAS!$K$2))</f>
        <v>0</v>
      </c>
      <c r="Q596" s="42" t="str">
        <f>CONFERENCIAS!T596</f>
        <v/>
      </c>
      <c r="R596" s="45" t="str">
        <f>CONFERENCIAS!U596</f>
        <v/>
      </c>
      <c r="S596" s="45" t="str">
        <f>CONFERENCIAS!W596</f>
        <v/>
      </c>
      <c r="T596" s="48">
        <f>IF(Q596="",0,
   IF(E596=1,
      IF(H596="Presencial",
         VLOOKUP(D596,TARIFAS!A:K,3,FALSE) + IF(I596="Sí",VLOOKUP(D596,TARIFAS!A:K,5,FALSE),0),
         VLOOKUP(D596,TARIFAS!A:K,4,FALSE) + IF(I596="Sí",VLOOKUP(D596,TARIFAS!A:K,5,FALSE),0)
      ),
      IF(H596="Presencial",
         VLOOKUP(D596,TARIFAS!A:K,9,FALSE) + IF(I596="Sí",VLOOKUP(D596,TARIFAS!A:K,11,FALSE),0),
         VLOOKUP(D596,TARIFAS!A:K,10,FALSE) + IF(I596="Sí",VLOOKUP(D596,TARIFAS!A:K,11,FALSE),0)
      )
   )
)
</f>
        <v>0</v>
      </c>
      <c r="U596" s="45">
        <f>IF(R596="",0,MAX(0,R596 - TARIFAS!G$2) * TARIFAS!F$2)
</f>
        <v>0</v>
      </c>
      <c r="V596" s="45">
        <f>+T596*TARIFAS!$K$2</f>
        <v>0</v>
      </c>
      <c r="W596" s="45">
        <f t="shared" si="2"/>
        <v>0</v>
      </c>
      <c r="X596" s="45">
        <f t="shared" si="3"/>
        <v>0</v>
      </c>
      <c r="Y596" s="45">
        <f t="shared" si="4"/>
        <v>0</v>
      </c>
      <c r="Z596" s="42" t="str">
        <f>CONFERENCIAS!AB596</f>
        <v/>
      </c>
      <c r="AA596" s="42" t="str">
        <f>CONFERENCIAS!AC596</f>
        <v/>
      </c>
      <c r="AB596" s="47" t="str">
        <f t="shared" si="5"/>
        <v/>
      </c>
      <c r="AC596" s="9" t="str">
        <f t="shared" si="6"/>
        <v/>
      </c>
    </row>
    <row r="597">
      <c r="A597" s="42" t="str">
        <f>CONFERENCIAS!A597</f>
        <v/>
      </c>
      <c r="D597" s="42" t="str">
        <f>CONFERENCIAS!C597</f>
        <v/>
      </c>
      <c r="E597" s="42" t="str">
        <f>CONFERENCIAS!K597</f>
        <v/>
      </c>
      <c r="F597" s="49" t="str">
        <f>CONFERENCIAS!J597</f>
        <v/>
      </c>
      <c r="G597" s="42" t="str">
        <f>CONFERENCIAS!O597</f>
        <v/>
      </c>
      <c r="H597" s="42" t="str">
        <f>CONFERENCIAS!X597</f>
        <v/>
      </c>
      <c r="I597" s="42" t="str">
        <f>CONFERENCIAS!AA597</f>
        <v/>
      </c>
      <c r="J597" s="44" t="str">
        <f>CONFERENCIAS!P597</f>
        <v/>
      </c>
      <c r="K597" s="45" t="str">
        <f>CONFERENCIAS!R597</f>
        <v/>
      </c>
      <c r="L597" s="45">
        <f>IF(D597="",0,
 IF(E597=1,
   IF(H597="Presencial",
      VLOOKUP(D597,TARIFAS!A:K,3,FALSE) + IF(I597="Sí",VLOOKUP(D597,TARIFAS!A:K,5,FALSE),0),
      VLOOKUP(D597,TARIFAS!A:K,4,FALSE) + IF(I597="Sí",VLOOKUP(D597,TARIFAS!A:K,5,FALSE),0)
   ),
   IF(H597="Presencial",
      VLOOKUP(D597,TARIFAS!A:K,9,FALSE) + IF(I597="Sí",VLOOKUP(D597,TARIFAS!A:K,11,FALSE),0),
      VLOOKUP(D597,TARIFAS!A:K,10,FALSE) + IF(I597="Sí",VLOOKUP(D597,TARIFAS!A:K,11,FALSE),0)
   )
 )
)
</f>
        <v>0</v>
      </c>
      <c r="M597" s="45">
        <f>IF(J597="",0,MAX(0,J597 - TARIFAS!G$2) * TARIFAS!F$2)
</f>
        <v>0</v>
      </c>
      <c r="N597" s="45">
        <f>+L597*TARIFAS!$K$2</f>
        <v>0</v>
      </c>
      <c r="O597" s="45">
        <f t="shared" si="1"/>
        <v>0</v>
      </c>
      <c r="P597" s="45">
        <f>+M597+O597+K597+(+I597-(I597*TARIFAS!$K$2))</f>
        <v>0</v>
      </c>
      <c r="Q597" s="42" t="str">
        <f>CONFERENCIAS!T597</f>
        <v/>
      </c>
      <c r="R597" s="45" t="str">
        <f>CONFERENCIAS!U597</f>
        <v/>
      </c>
      <c r="S597" s="45" t="str">
        <f>CONFERENCIAS!W597</f>
        <v/>
      </c>
      <c r="T597" s="48">
        <f>IF(Q597="",0,
   IF(E597=1,
      IF(H597="Presencial",
         VLOOKUP(D597,TARIFAS!A:K,3,FALSE) + IF(I597="Sí",VLOOKUP(D597,TARIFAS!A:K,5,FALSE),0),
         VLOOKUP(D597,TARIFAS!A:K,4,FALSE) + IF(I597="Sí",VLOOKUP(D597,TARIFAS!A:K,5,FALSE),0)
      ),
      IF(H597="Presencial",
         VLOOKUP(D597,TARIFAS!A:K,9,FALSE) + IF(I597="Sí",VLOOKUP(D597,TARIFAS!A:K,11,FALSE),0),
         VLOOKUP(D597,TARIFAS!A:K,10,FALSE) + IF(I597="Sí",VLOOKUP(D597,TARIFAS!A:K,11,FALSE),0)
      )
   )
)
</f>
        <v>0</v>
      </c>
      <c r="U597" s="45">
        <f>IF(R597="",0,MAX(0,R597 - TARIFAS!G$2) * TARIFAS!F$2)
</f>
        <v>0</v>
      </c>
      <c r="V597" s="45">
        <f>+T597*TARIFAS!$K$2</f>
        <v>0</v>
      </c>
      <c r="W597" s="45">
        <f t="shared" si="2"/>
        <v>0</v>
      </c>
      <c r="X597" s="45">
        <f t="shared" si="3"/>
        <v>0</v>
      </c>
      <c r="Y597" s="45">
        <f t="shared" si="4"/>
        <v>0</v>
      </c>
      <c r="Z597" s="42" t="str">
        <f>CONFERENCIAS!AB597</f>
        <v/>
      </c>
      <c r="AA597" s="42" t="str">
        <f>CONFERENCIAS!AC597</f>
        <v/>
      </c>
      <c r="AB597" s="47" t="str">
        <f t="shared" si="5"/>
        <v/>
      </c>
      <c r="AC597" s="9" t="str">
        <f t="shared" si="6"/>
        <v/>
      </c>
    </row>
    <row r="598">
      <c r="A598" s="42" t="str">
        <f>CONFERENCIAS!A598</f>
        <v/>
      </c>
      <c r="D598" s="42" t="str">
        <f>CONFERENCIAS!C598</f>
        <v/>
      </c>
      <c r="E598" s="42" t="str">
        <f>CONFERENCIAS!K598</f>
        <v/>
      </c>
      <c r="F598" s="49" t="str">
        <f>CONFERENCIAS!J598</f>
        <v/>
      </c>
      <c r="G598" s="42" t="str">
        <f>CONFERENCIAS!O598</f>
        <v/>
      </c>
      <c r="H598" s="42" t="str">
        <f>CONFERENCIAS!X598</f>
        <v/>
      </c>
      <c r="I598" s="42" t="str">
        <f>CONFERENCIAS!AA598</f>
        <v/>
      </c>
      <c r="J598" s="44" t="str">
        <f>CONFERENCIAS!P598</f>
        <v/>
      </c>
      <c r="K598" s="45" t="str">
        <f>CONFERENCIAS!R598</f>
        <v/>
      </c>
      <c r="L598" s="45">
        <f>IF(D598="",0,
 IF(E598=1,
   IF(H598="Presencial",
      VLOOKUP(D598,TARIFAS!A:K,3,FALSE) + IF(I598="Sí",VLOOKUP(D598,TARIFAS!A:K,5,FALSE),0),
      VLOOKUP(D598,TARIFAS!A:K,4,FALSE) + IF(I598="Sí",VLOOKUP(D598,TARIFAS!A:K,5,FALSE),0)
   ),
   IF(H598="Presencial",
      VLOOKUP(D598,TARIFAS!A:K,9,FALSE) + IF(I598="Sí",VLOOKUP(D598,TARIFAS!A:K,11,FALSE),0),
      VLOOKUP(D598,TARIFAS!A:K,10,FALSE) + IF(I598="Sí",VLOOKUP(D598,TARIFAS!A:K,11,FALSE),0)
   )
 )
)
</f>
        <v>0</v>
      </c>
      <c r="M598" s="45">
        <f>IF(J598="",0,MAX(0,J598 - TARIFAS!G$2) * TARIFAS!F$2)
</f>
        <v>0</v>
      </c>
      <c r="N598" s="45">
        <f>+L598*TARIFAS!$K$2</f>
        <v>0</v>
      </c>
      <c r="O598" s="45">
        <f t="shared" si="1"/>
        <v>0</v>
      </c>
      <c r="P598" s="45">
        <f>+M598+O598+K598+(+I598-(I598*TARIFAS!$K$2))</f>
        <v>0</v>
      </c>
      <c r="Q598" s="42" t="str">
        <f>CONFERENCIAS!T598</f>
        <v/>
      </c>
      <c r="R598" s="45" t="str">
        <f>CONFERENCIAS!U598</f>
        <v/>
      </c>
      <c r="S598" s="45" t="str">
        <f>CONFERENCIAS!W598</f>
        <v/>
      </c>
      <c r="T598" s="48">
        <f>IF(Q598="",0,
   IF(E598=1,
      IF(H598="Presencial",
         VLOOKUP(D598,TARIFAS!A:K,3,FALSE) + IF(I598="Sí",VLOOKUP(D598,TARIFAS!A:K,5,FALSE),0),
         VLOOKUP(D598,TARIFAS!A:K,4,FALSE) + IF(I598="Sí",VLOOKUP(D598,TARIFAS!A:K,5,FALSE),0)
      ),
      IF(H598="Presencial",
         VLOOKUP(D598,TARIFAS!A:K,9,FALSE) + IF(I598="Sí",VLOOKUP(D598,TARIFAS!A:K,11,FALSE),0),
         VLOOKUP(D598,TARIFAS!A:K,10,FALSE) + IF(I598="Sí",VLOOKUP(D598,TARIFAS!A:K,11,FALSE),0)
      )
   )
)
</f>
        <v>0</v>
      </c>
      <c r="U598" s="45">
        <f>IF(R598="",0,MAX(0,R598 - TARIFAS!G$2) * TARIFAS!F$2)
</f>
        <v>0</v>
      </c>
      <c r="V598" s="45">
        <f>+T598*TARIFAS!$K$2</f>
        <v>0</v>
      </c>
      <c r="W598" s="45">
        <f t="shared" si="2"/>
        <v>0</v>
      </c>
      <c r="X598" s="45">
        <f t="shared" si="3"/>
        <v>0</v>
      </c>
      <c r="Y598" s="45">
        <f t="shared" si="4"/>
        <v>0</v>
      </c>
      <c r="Z598" s="42" t="str">
        <f>CONFERENCIAS!AB598</f>
        <v/>
      </c>
      <c r="AA598" s="42" t="str">
        <f>CONFERENCIAS!AC598</f>
        <v/>
      </c>
      <c r="AB598" s="47" t="str">
        <f t="shared" si="5"/>
        <v/>
      </c>
      <c r="AC598" s="9" t="str">
        <f t="shared" si="6"/>
        <v/>
      </c>
    </row>
    <row r="599">
      <c r="A599" s="42" t="str">
        <f>CONFERENCIAS!A599</f>
        <v/>
      </c>
      <c r="D599" s="42" t="str">
        <f>CONFERENCIAS!C599</f>
        <v/>
      </c>
      <c r="E599" s="42" t="str">
        <f>CONFERENCIAS!K599</f>
        <v/>
      </c>
      <c r="F599" s="49" t="str">
        <f>CONFERENCIAS!J599</f>
        <v/>
      </c>
      <c r="G599" s="42" t="str">
        <f>CONFERENCIAS!O599</f>
        <v/>
      </c>
      <c r="H599" s="42" t="str">
        <f>CONFERENCIAS!X599</f>
        <v/>
      </c>
      <c r="I599" s="42" t="str">
        <f>CONFERENCIAS!AA599</f>
        <v/>
      </c>
      <c r="J599" s="44" t="str">
        <f>CONFERENCIAS!P599</f>
        <v/>
      </c>
      <c r="K599" s="45" t="str">
        <f>CONFERENCIAS!R599</f>
        <v/>
      </c>
      <c r="L599" s="45">
        <f>IF(D599="",0,
 IF(E599=1,
   IF(H599="Presencial",
      VLOOKUP(D599,TARIFAS!A:K,3,FALSE) + IF(I599="Sí",VLOOKUP(D599,TARIFAS!A:K,5,FALSE),0),
      VLOOKUP(D599,TARIFAS!A:K,4,FALSE) + IF(I599="Sí",VLOOKUP(D599,TARIFAS!A:K,5,FALSE),0)
   ),
   IF(H599="Presencial",
      VLOOKUP(D599,TARIFAS!A:K,9,FALSE) + IF(I599="Sí",VLOOKUP(D599,TARIFAS!A:K,11,FALSE),0),
      VLOOKUP(D599,TARIFAS!A:K,10,FALSE) + IF(I599="Sí",VLOOKUP(D599,TARIFAS!A:K,11,FALSE),0)
   )
 )
)
</f>
        <v>0</v>
      </c>
      <c r="M599" s="45">
        <f>IF(J599="",0,MAX(0,J599 - TARIFAS!G$2) * TARIFAS!F$2)
</f>
        <v>0</v>
      </c>
      <c r="N599" s="45">
        <f>+L599*TARIFAS!$K$2</f>
        <v>0</v>
      </c>
      <c r="O599" s="45">
        <f t="shared" si="1"/>
        <v>0</v>
      </c>
      <c r="P599" s="45">
        <f>+M599+O599+K599+(+I599-(I599*TARIFAS!$K$2))</f>
        <v>0</v>
      </c>
      <c r="Q599" s="42" t="str">
        <f>CONFERENCIAS!T599</f>
        <v/>
      </c>
      <c r="R599" s="45" t="str">
        <f>CONFERENCIAS!U599</f>
        <v/>
      </c>
      <c r="S599" s="45" t="str">
        <f>CONFERENCIAS!W599</f>
        <v/>
      </c>
      <c r="T599" s="48">
        <f>IF(Q599="",0,
   IF(E599=1,
      IF(H599="Presencial",
         VLOOKUP(D599,TARIFAS!A:K,3,FALSE) + IF(I599="Sí",VLOOKUP(D599,TARIFAS!A:K,5,FALSE),0),
         VLOOKUP(D599,TARIFAS!A:K,4,FALSE) + IF(I599="Sí",VLOOKUP(D599,TARIFAS!A:K,5,FALSE),0)
      ),
      IF(H599="Presencial",
         VLOOKUP(D599,TARIFAS!A:K,9,FALSE) + IF(I599="Sí",VLOOKUP(D599,TARIFAS!A:K,11,FALSE),0),
         VLOOKUP(D599,TARIFAS!A:K,10,FALSE) + IF(I599="Sí",VLOOKUP(D599,TARIFAS!A:K,11,FALSE),0)
      )
   )
)
</f>
        <v>0</v>
      </c>
      <c r="U599" s="45">
        <f>IF(R599="",0,MAX(0,R599 - TARIFAS!G$2) * TARIFAS!F$2)
</f>
        <v>0</v>
      </c>
      <c r="V599" s="45">
        <f>+T599*TARIFAS!$K$2</f>
        <v>0</v>
      </c>
      <c r="W599" s="45">
        <f t="shared" si="2"/>
        <v>0</v>
      </c>
      <c r="X599" s="45">
        <f t="shared" si="3"/>
        <v>0</v>
      </c>
      <c r="Y599" s="45">
        <f t="shared" si="4"/>
        <v>0</v>
      </c>
      <c r="Z599" s="42" t="str">
        <f>CONFERENCIAS!AB599</f>
        <v/>
      </c>
      <c r="AA599" s="42" t="str">
        <f>CONFERENCIAS!AC599</f>
        <v/>
      </c>
      <c r="AB599" s="47" t="str">
        <f t="shared" si="5"/>
        <v/>
      </c>
      <c r="AC599" s="9" t="str">
        <f t="shared" si="6"/>
        <v/>
      </c>
    </row>
    <row r="600">
      <c r="A600" s="42" t="str">
        <f>CONFERENCIAS!A600</f>
        <v/>
      </c>
      <c r="D600" s="42" t="str">
        <f>CONFERENCIAS!C600</f>
        <v/>
      </c>
      <c r="E600" s="42" t="str">
        <f>CONFERENCIAS!K600</f>
        <v/>
      </c>
      <c r="F600" s="49" t="str">
        <f>CONFERENCIAS!J600</f>
        <v/>
      </c>
      <c r="G600" s="42" t="str">
        <f>CONFERENCIAS!O600</f>
        <v/>
      </c>
      <c r="H600" s="42" t="str">
        <f>CONFERENCIAS!X600</f>
        <v/>
      </c>
      <c r="I600" s="42" t="str">
        <f>CONFERENCIAS!AA600</f>
        <v/>
      </c>
      <c r="J600" s="44" t="str">
        <f>CONFERENCIAS!P600</f>
        <v/>
      </c>
      <c r="K600" s="45" t="str">
        <f>CONFERENCIAS!R600</f>
        <v/>
      </c>
      <c r="L600" s="45">
        <f>IF(D600="",0,
 IF(E600=1,
   IF(H600="Presencial",
      VLOOKUP(D600,TARIFAS!A:K,3,FALSE) + IF(I600="Sí",VLOOKUP(D600,TARIFAS!A:K,5,FALSE),0),
      VLOOKUP(D600,TARIFAS!A:K,4,FALSE) + IF(I600="Sí",VLOOKUP(D600,TARIFAS!A:K,5,FALSE),0)
   ),
   IF(H600="Presencial",
      VLOOKUP(D600,TARIFAS!A:K,9,FALSE) + IF(I600="Sí",VLOOKUP(D600,TARIFAS!A:K,11,FALSE),0),
      VLOOKUP(D600,TARIFAS!A:K,10,FALSE) + IF(I600="Sí",VLOOKUP(D600,TARIFAS!A:K,11,FALSE),0)
   )
 )
)
</f>
        <v>0</v>
      </c>
      <c r="M600" s="45">
        <f>IF(J600="",0,MAX(0,J600 - TARIFAS!G$2) * TARIFAS!F$2)
</f>
        <v>0</v>
      </c>
      <c r="N600" s="45">
        <f>+L600*TARIFAS!$K$2</f>
        <v>0</v>
      </c>
      <c r="O600" s="45">
        <f t="shared" si="1"/>
        <v>0</v>
      </c>
      <c r="P600" s="45">
        <f>+M600+O600+K600+(+I600-(I600*TARIFAS!$K$2))</f>
        <v>0</v>
      </c>
      <c r="Q600" s="42" t="str">
        <f>CONFERENCIAS!T600</f>
        <v/>
      </c>
      <c r="R600" s="45" t="str">
        <f>CONFERENCIAS!U600</f>
        <v/>
      </c>
      <c r="S600" s="45" t="str">
        <f>CONFERENCIAS!W600</f>
        <v/>
      </c>
      <c r="T600" s="48">
        <f>IF(Q600="",0,
   IF(E600=1,
      IF(H600="Presencial",
         VLOOKUP(D600,TARIFAS!A:K,3,FALSE) + IF(I600="Sí",VLOOKUP(D600,TARIFAS!A:K,5,FALSE),0),
         VLOOKUP(D600,TARIFAS!A:K,4,FALSE) + IF(I600="Sí",VLOOKUP(D600,TARIFAS!A:K,5,FALSE),0)
      ),
      IF(H600="Presencial",
         VLOOKUP(D600,TARIFAS!A:K,9,FALSE) + IF(I600="Sí",VLOOKUP(D600,TARIFAS!A:K,11,FALSE),0),
         VLOOKUP(D600,TARIFAS!A:K,10,FALSE) + IF(I600="Sí",VLOOKUP(D600,TARIFAS!A:K,11,FALSE),0)
      )
   )
)
</f>
        <v>0</v>
      </c>
      <c r="U600" s="45">
        <f>IF(R600="",0,MAX(0,R600 - TARIFAS!G$2) * TARIFAS!F$2)
</f>
        <v>0</v>
      </c>
      <c r="V600" s="45">
        <f>+T600*TARIFAS!$K$2</f>
        <v>0</v>
      </c>
      <c r="W600" s="45">
        <f t="shared" si="2"/>
        <v>0</v>
      </c>
      <c r="X600" s="45">
        <f t="shared" si="3"/>
        <v>0</v>
      </c>
      <c r="Y600" s="45">
        <f t="shared" si="4"/>
        <v>0</v>
      </c>
      <c r="Z600" s="42" t="str">
        <f>CONFERENCIAS!AB600</f>
        <v/>
      </c>
      <c r="AA600" s="42" t="str">
        <f>CONFERENCIAS!AC600</f>
        <v/>
      </c>
      <c r="AB600" s="47" t="str">
        <f t="shared" si="5"/>
        <v/>
      </c>
      <c r="AC600" s="9" t="str">
        <f t="shared" si="6"/>
        <v/>
      </c>
    </row>
    <row r="601">
      <c r="A601" s="42" t="str">
        <f>CONFERENCIAS!A601</f>
        <v/>
      </c>
      <c r="D601" s="42" t="str">
        <f>CONFERENCIAS!C601</f>
        <v/>
      </c>
      <c r="E601" s="42" t="str">
        <f>CONFERENCIAS!K601</f>
        <v/>
      </c>
      <c r="F601" s="49" t="str">
        <f>CONFERENCIAS!J601</f>
        <v/>
      </c>
      <c r="G601" s="42" t="str">
        <f>CONFERENCIAS!O601</f>
        <v/>
      </c>
      <c r="H601" s="42" t="str">
        <f>CONFERENCIAS!X601</f>
        <v/>
      </c>
      <c r="I601" s="42" t="str">
        <f>CONFERENCIAS!AA601</f>
        <v/>
      </c>
      <c r="J601" s="44" t="str">
        <f>CONFERENCIAS!P601</f>
        <v/>
      </c>
      <c r="K601" s="45" t="str">
        <f>CONFERENCIAS!R601</f>
        <v/>
      </c>
      <c r="L601" s="45">
        <f>IF(D601="",0,
 IF(E601=1,
   IF(H601="Presencial",
      VLOOKUP(D601,TARIFAS!A:K,3,FALSE) + IF(I601="Sí",VLOOKUP(D601,TARIFAS!A:K,5,FALSE),0),
      VLOOKUP(D601,TARIFAS!A:K,4,FALSE) + IF(I601="Sí",VLOOKUP(D601,TARIFAS!A:K,5,FALSE),0)
   ),
   IF(H601="Presencial",
      VLOOKUP(D601,TARIFAS!A:K,9,FALSE) + IF(I601="Sí",VLOOKUP(D601,TARIFAS!A:K,11,FALSE),0),
      VLOOKUP(D601,TARIFAS!A:K,10,FALSE) + IF(I601="Sí",VLOOKUP(D601,TARIFAS!A:K,11,FALSE),0)
   )
 )
)
</f>
        <v>0</v>
      </c>
      <c r="M601" s="45">
        <f>IF(J601="",0,MAX(0,J601 - TARIFAS!G$2) * TARIFAS!F$2)
</f>
        <v>0</v>
      </c>
      <c r="N601" s="45">
        <f>+L601*TARIFAS!$K$2</f>
        <v>0</v>
      </c>
      <c r="O601" s="45">
        <f t="shared" si="1"/>
        <v>0</v>
      </c>
      <c r="P601" s="45">
        <f>+M601+O601+K601+(+I601-(I601*TARIFAS!$K$2))</f>
        <v>0</v>
      </c>
      <c r="Q601" s="42" t="str">
        <f>CONFERENCIAS!T601</f>
        <v/>
      </c>
      <c r="R601" s="45" t="str">
        <f>CONFERENCIAS!U601</f>
        <v/>
      </c>
      <c r="S601" s="45" t="str">
        <f>CONFERENCIAS!W601</f>
        <v/>
      </c>
      <c r="T601" s="48">
        <f>IF(Q601="",0,
   IF(E601=1,
      IF(H601="Presencial",
         VLOOKUP(D601,TARIFAS!A:K,3,FALSE) + IF(I601="Sí",VLOOKUP(D601,TARIFAS!A:K,5,FALSE),0),
         VLOOKUP(D601,TARIFAS!A:K,4,FALSE) + IF(I601="Sí",VLOOKUP(D601,TARIFAS!A:K,5,FALSE),0)
      ),
      IF(H601="Presencial",
         VLOOKUP(D601,TARIFAS!A:K,9,FALSE) + IF(I601="Sí",VLOOKUP(D601,TARIFAS!A:K,11,FALSE),0),
         VLOOKUP(D601,TARIFAS!A:K,10,FALSE) + IF(I601="Sí",VLOOKUP(D601,TARIFAS!A:K,11,FALSE),0)
      )
   )
)
</f>
        <v>0</v>
      </c>
      <c r="U601" s="45">
        <f>IF(R601="",0,MAX(0,R601 - TARIFAS!G$2) * TARIFAS!F$2)
</f>
        <v>0</v>
      </c>
      <c r="V601" s="45">
        <f>+T601*TARIFAS!$K$2</f>
        <v>0</v>
      </c>
      <c r="W601" s="45">
        <f t="shared" si="2"/>
        <v>0</v>
      </c>
      <c r="X601" s="45">
        <f t="shared" si="3"/>
        <v>0</v>
      </c>
      <c r="Y601" s="45">
        <f t="shared" si="4"/>
        <v>0</v>
      </c>
      <c r="Z601" s="42" t="str">
        <f>CONFERENCIAS!AB601</f>
        <v/>
      </c>
      <c r="AA601" s="42" t="str">
        <f>CONFERENCIAS!AC601</f>
        <v/>
      </c>
      <c r="AB601" s="47" t="str">
        <f t="shared" si="5"/>
        <v/>
      </c>
      <c r="AC601" s="9" t="str">
        <f t="shared" si="6"/>
        <v/>
      </c>
    </row>
    <row r="602">
      <c r="A602" s="42" t="str">
        <f>CONFERENCIAS!A602</f>
        <v/>
      </c>
      <c r="D602" s="42" t="str">
        <f>CONFERENCIAS!C602</f>
        <v/>
      </c>
      <c r="E602" s="42" t="str">
        <f>CONFERENCIAS!K602</f>
        <v/>
      </c>
      <c r="F602" s="49" t="str">
        <f>CONFERENCIAS!J602</f>
        <v/>
      </c>
      <c r="G602" s="42" t="str">
        <f>CONFERENCIAS!O602</f>
        <v/>
      </c>
      <c r="H602" s="42" t="str">
        <f>CONFERENCIAS!X602</f>
        <v/>
      </c>
      <c r="I602" s="42" t="str">
        <f>CONFERENCIAS!AA602</f>
        <v/>
      </c>
      <c r="J602" s="44" t="str">
        <f>CONFERENCIAS!P602</f>
        <v/>
      </c>
      <c r="K602" s="45" t="str">
        <f>CONFERENCIAS!R602</f>
        <v/>
      </c>
      <c r="L602" s="45">
        <f>IF(D602="",0,
 IF(E602=1,
   IF(H602="Presencial",
      VLOOKUP(D602,TARIFAS!A:K,3,FALSE) + IF(I602="Sí",VLOOKUP(D602,TARIFAS!A:K,5,FALSE),0),
      VLOOKUP(D602,TARIFAS!A:K,4,FALSE) + IF(I602="Sí",VLOOKUP(D602,TARIFAS!A:K,5,FALSE),0)
   ),
   IF(H602="Presencial",
      VLOOKUP(D602,TARIFAS!A:K,9,FALSE) + IF(I602="Sí",VLOOKUP(D602,TARIFAS!A:K,11,FALSE),0),
      VLOOKUP(D602,TARIFAS!A:K,10,FALSE) + IF(I602="Sí",VLOOKUP(D602,TARIFAS!A:K,11,FALSE),0)
   )
 )
)
</f>
        <v>0</v>
      </c>
      <c r="M602" s="45">
        <f>IF(J602="",0,MAX(0,J602 - TARIFAS!G$2) * TARIFAS!F$2)
</f>
        <v>0</v>
      </c>
      <c r="N602" s="45">
        <f>+L602*TARIFAS!$K$2</f>
        <v>0</v>
      </c>
      <c r="O602" s="45">
        <f t="shared" si="1"/>
        <v>0</v>
      </c>
      <c r="P602" s="45">
        <f>+M602+O602+K602+(+I602-(I602*TARIFAS!$K$2))</f>
        <v>0</v>
      </c>
      <c r="Q602" s="42" t="str">
        <f>CONFERENCIAS!T602</f>
        <v/>
      </c>
      <c r="R602" s="45" t="str">
        <f>CONFERENCIAS!U602</f>
        <v/>
      </c>
      <c r="S602" s="45" t="str">
        <f>CONFERENCIAS!W602</f>
        <v/>
      </c>
      <c r="T602" s="48">
        <f>IF(Q602="",0,
   IF(E602=1,
      IF(H602="Presencial",
         VLOOKUP(D602,TARIFAS!A:K,3,FALSE) + IF(I602="Sí",VLOOKUP(D602,TARIFAS!A:K,5,FALSE),0),
         VLOOKUP(D602,TARIFAS!A:K,4,FALSE) + IF(I602="Sí",VLOOKUP(D602,TARIFAS!A:K,5,FALSE),0)
      ),
      IF(H602="Presencial",
         VLOOKUP(D602,TARIFAS!A:K,9,FALSE) + IF(I602="Sí",VLOOKUP(D602,TARIFAS!A:K,11,FALSE),0),
         VLOOKUP(D602,TARIFAS!A:K,10,FALSE) + IF(I602="Sí",VLOOKUP(D602,TARIFAS!A:K,11,FALSE),0)
      )
   )
)
</f>
        <v>0</v>
      </c>
      <c r="U602" s="45">
        <f>IF(R602="",0,MAX(0,R602 - TARIFAS!G$2) * TARIFAS!F$2)
</f>
        <v>0</v>
      </c>
      <c r="V602" s="45">
        <f>+T602*TARIFAS!$K$2</f>
        <v>0</v>
      </c>
      <c r="W602" s="45">
        <f t="shared" si="2"/>
        <v>0</v>
      </c>
      <c r="X602" s="45">
        <f t="shared" si="3"/>
        <v>0</v>
      </c>
      <c r="Y602" s="45">
        <f t="shared" si="4"/>
        <v>0</v>
      </c>
      <c r="Z602" s="42" t="str">
        <f>CONFERENCIAS!AB602</f>
        <v/>
      </c>
      <c r="AA602" s="42" t="str">
        <f>CONFERENCIAS!AC602</f>
        <v/>
      </c>
      <c r="AB602" s="47" t="str">
        <f t="shared" si="5"/>
        <v/>
      </c>
      <c r="AC602" s="9" t="str">
        <f t="shared" si="6"/>
        <v/>
      </c>
    </row>
    <row r="603">
      <c r="A603" s="42" t="str">
        <f>CONFERENCIAS!A603</f>
        <v/>
      </c>
      <c r="D603" s="42" t="str">
        <f>CONFERENCIAS!C603</f>
        <v/>
      </c>
      <c r="E603" s="42" t="str">
        <f>CONFERENCIAS!K603</f>
        <v/>
      </c>
      <c r="F603" s="49" t="str">
        <f>CONFERENCIAS!J603</f>
        <v/>
      </c>
      <c r="G603" s="42" t="str">
        <f>CONFERENCIAS!O603</f>
        <v/>
      </c>
      <c r="H603" s="42" t="str">
        <f>CONFERENCIAS!X603</f>
        <v/>
      </c>
      <c r="I603" s="42" t="str">
        <f>CONFERENCIAS!AA603</f>
        <v/>
      </c>
      <c r="J603" s="44" t="str">
        <f>CONFERENCIAS!P603</f>
        <v/>
      </c>
      <c r="K603" s="45" t="str">
        <f>CONFERENCIAS!R603</f>
        <v/>
      </c>
      <c r="L603" s="45">
        <f>IF(D603="",0,
 IF(E603=1,
   IF(H603="Presencial",
      VLOOKUP(D603,TARIFAS!A:K,3,FALSE) + IF(I603="Sí",VLOOKUP(D603,TARIFAS!A:K,5,FALSE),0),
      VLOOKUP(D603,TARIFAS!A:K,4,FALSE) + IF(I603="Sí",VLOOKUP(D603,TARIFAS!A:K,5,FALSE),0)
   ),
   IF(H603="Presencial",
      VLOOKUP(D603,TARIFAS!A:K,9,FALSE) + IF(I603="Sí",VLOOKUP(D603,TARIFAS!A:K,11,FALSE),0),
      VLOOKUP(D603,TARIFAS!A:K,10,FALSE) + IF(I603="Sí",VLOOKUP(D603,TARIFAS!A:K,11,FALSE),0)
   )
 )
)
</f>
        <v>0</v>
      </c>
      <c r="M603" s="45">
        <f>IF(J603="",0,MAX(0,J603 - TARIFAS!G$2) * TARIFAS!F$2)
</f>
        <v>0</v>
      </c>
      <c r="N603" s="45">
        <f>+L603*TARIFAS!$K$2</f>
        <v>0</v>
      </c>
      <c r="O603" s="45">
        <f t="shared" si="1"/>
        <v>0</v>
      </c>
      <c r="P603" s="45">
        <f>+M603+O603+K603+(+I603-(I603*TARIFAS!$K$2))</f>
        <v>0</v>
      </c>
      <c r="Q603" s="42" t="str">
        <f>CONFERENCIAS!T603</f>
        <v/>
      </c>
      <c r="R603" s="45" t="str">
        <f>CONFERENCIAS!U603</f>
        <v/>
      </c>
      <c r="S603" s="45" t="str">
        <f>CONFERENCIAS!W603</f>
        <v/>
      </c>
      <c r="T603" s="48">
        <f>IF(Q603="",0,
   IF(E603=1,
      IF(H603="Presencial",
         VLOOKUP(D603,TARIFAS!A:K,3,FALSE) + IF(I603="Sí",VLOOKUP(D603,TARIFAS!A:K,5,FALSE),0),
         VLOOKUP(D603,TARIFAS!A:K,4,FALSE) + IF(I603="Sí",VLOOKUP(D603,TARIFAS!A:K,5,FALSE),0)
      ),
      IF(H603="Presencial",
         VLOOKUP(D603,TARIFAS!A:K,9,FALSE) + IF(I603="Sí",VLOOKUP(D603,TARIFAS!A:K,11,FALSE),0),
         VLOOKUP(D603,TARIFAS!A:K,10,FALSE) + IF(I603="Sí",VLOOKUP(D603,TARIFAS!A:K,11,FALSE),0)
      )
   )
)
</f>
        <v>0</v>
      </c>
      <c r="U603" s="45">
        <f>IF(R603="",0,MAX(0,R603 - TARIFAS!G$2) * TARIFAS!F$2)
</f>
        <v>0</v>
      </c>
      <c r="V603" s="45">
        <f>+T603*TARIFAS!$K$2</f>
        <v>0</v>
      </c>
      <c r="W603" s="45">
        <f t="shared" si="2"/>
        <v>0</v>
      </c>
      <c r="X603" s="45">
        <f t="shared" si="3"/>
        <v>0</v>
      </c>
      <c r="Y603" s="45">
        <f t="shared" si="4"/>
        <v>0</v>
      </c>
      <c r="Z603" s="42" t="str">
        <f>CONFERENCIAS!AB603</f>
        <v/>
      </c>
      <c r="AA603" s="42" t="str">
        <f>CONFERENCIAS!AC603</f>
        <v/>
      </c>
      <c r="AB603" s="47" t="str">
        <f t="shared" si="5"/>
        <v/>
      </c>
      <c r="AC603" s="9" t="str">
        <f t="shared" si="6"/>
        <v/>
      </c>
    </row>
    <row r="604">
      <c r="A604" s="42" t="str">
        <f>CONFERENCIAS!A604</f>
        <v/>
      </c>
      <c r="D604" s="42" t="str">
        <f>CONFERENCIAS!C604</f>
        <v/>
      </c>
      <c r="E604" s="42" t="str">
        <f>CONFERENCIAS!K604</f>
        <v/>
      </c>
      <c r="F604" s="49" t="str">
        <f>CONFERENCIAS!J604</f>
        <v/>
      </c>
      <c r="G604" s="42" t="str">
        <f>CONFERENCIAS!O604</f>
        <v/>
      </c>
      <c r="H604" s="42" t="str">
        <f>CONFERENCIAS!X604</f>
        <v/>
      </c>
      <c r="I604" s="42" t="str">
        <f>CONFERENCIAS!AA604</f>
        <v/>
      </c>
      <c r="J604" s="44" t="str">
        <f>CONFERENCIAS!P604</f>
        <v/>
      </c>
      <c r="K604" s="45" t="str">
        <f>CONFERENCIAS!R604</f>
        <v/>
      </c>
      <c r="L604" s="45">
        <f>IF(D604="",0,
 IF(E604=1,
   IF(H604="Presencial",
      VLOOKUP(D604,TARIFAS!A:K,3,FALSE) + IF(I604="Sí",VLOOKUP(D604,TARIFAS!A:K,5,FALSE),0),
      VLOOKUP(D604,TARIFAS!A:K,4,FALSE) + IF(I604="Sí",VLOOKUP(D604,TARIFAS!A:K,5,FALSE),0)
   ),
   IF(H604="Presencial",
      VLOOKUP(D604,TARIFAS!A:K,9,FALSE) + IF(I604="Sí",VLOOKUP(D604,TARIFAS!A:K,11,FALSE),0),
      VLOOKUP(D604,TARIFAS!A:K,10,FALSE) + IF(I604="Sí",VLOOKUP(D604,TARIFAS!A:K,11,FALSE),0)
   )
 )
)
</f>
        <v>0</v>
      </c>
      <c r="M604" s="45">
        <f>IF(J604="",0,MAX(0,J604 - TARIFAS!G$2) * TARIFAS!F$2)
</f>
        <v>0</v>
      </c>
      <c r="N604" s="45">
        <f>+L604*TARIFAS!$K$2</f>
        <v>0</v>
      </c>
      <c r="O604" s="45">
        <f t="shared" si="1"/>
        <v>0</v>
      </c>
      <c r="P604" s="45">
        <f>+M604+O604+K604+(+I604-(I604*TARIFAS!$K$2))</f>
        <v>0</v>
      </c>
      <c r="Q604" s="42" t="str">
        <f>CONFERENCIAS!T604</f>
        <v/>
      </c>
      <c r="R604" s="45" t="str">
        <f>CONFERENCIAS!U604</f>
        <v/>
      </c>
      <c r="S604" s="45" t="str">
        <f>CONFERENCIAS!W604</f>
        <v/>
      </c>
      <c r="T604" s="48">
        <f>IF(Q604="",0,
   IF(E604=1,
      IF(H604="Presencial",
         VLOOKUP(D604,TARIFAS!A:K,3,FALSE) + IF(I604="Sí",VLOOKUP(D604,TARIFAS!A:K,5,FALSE),0),
         VLOOKUP(D604,TARIFAS!A:K,4,FALSE) + IF(I604="Sí",VLOOKUP(D604,TARIFAS!A:K,5,FALSE),0)
      ),
      IF(H604="Presencial",
         VLOOKUP(D604,TARIFAS!A:K,9,FALSE) + IF(I604="Sí",VLOOKUP(D604,TARIFAS!A:K,11,FALSE),0),
         VLOOKUP(D604,TARIFAS!A:K,10,FALSE) + IF(I604="Sí",VLOOKUP(D604,TARIFAS!A:K,11,FALSE),0)
      )
   )
)
</f>
        <v>0</v>
      </c>
      <c r="U604" s="45">
        <f>IF(R604="",0,MAX(0,R604 - TARIFAS!G$2) * TARIFAS!F$2)
</f>
        <v>0</v>
      </c>
      <c r="V604" s="45">
        <f>+T604*TARIFAS!$K$2</f>
        <v>0</v>
      </c>
      <c r="W604" s="45">
        <f t="shared" si="2"/>
        <v>0</v>
      </c>
      <c r="X604" s="45">
        <f t="shared" si="3"/>
        <v>0</v>
      </c>
      <c r="Y604" s="45">
        <f t="shared" si="4"/>
        <v>0</v>
      </c>
      <c r="Z604" s="42" t="str">
        <f>CONFERENCIAS!AB604</f>
        <v/>
      </c>
      <c r="AA604" s="42" t="str">
        <f>CONFERENCIAS!AC604</f>
        <v/>
      </c>
      <c r="AB604" s="47" t="str">
        <f t="shared" si="5"/>
        <v/>
      </c>
      <c r="AC604" s="9" t="str">
        <f t="shared" si="6"/>
        <v/>
      </c>
    </row>
    <row r="605">
      <c r="A605" s="42" t="str">
        <f>CONFERENCIAS!A605</f>
        <v/>
      </c>
      <c r="D605" s="42" t="str">
        <f>CONFERENCIAS!C605</f>
        <v/>
      </c>
      <c r="E605" s="42" t="str">
        <f>CONFERENCIAS!K605</f>
        <v/>
      </c>
      <c r="F605" s="49" t="str">
        <f>CONFERENCIAS!J605</f>
        <v/>
      </c>
      <c r="G605" s="42" t="str">
        <f>CONFERENCIAS!O605</f>
        <v/>
      </c>
      <c r="H605" s="42" t="str">
        <f>CONFERENCIAS!X605</f>
        <v/>
      </c>
      <c r="I605" s="42" t="str">
        <f>CONFERENCIAS!AA605</f>
        <v/>
      </c>
      <c r="J605" s="44" t="str">
        <f>CONFERENCIAS!P605</f>
        <v/>
      </c>
      <c r="K605" s="45" t="str">
        <f>CONFERENCIAS!R605</f>
        <v/>
      </c>
      <c r="L605" s="45">
        <f>IF(D605="",0,
 IF(E605=1,
   IF(H605="Presencial",
      VLOOKUP(D605,TARIFAS!A:K,3,FALSE) + IF(I605="Sí",VLOOKUP(D605,TARIFAS!A:K,5,FALSE),0),
      VLOOKUP(D605,TARIFAS!A:K,4,FALSE) + IF(I605="Sí",VLOOKUP(D605,TARIFAS!A:K,5,FALSE),0)
   ),
   IF(H605="Presencial",
      VLOOKUP(D605,TARIFAS!A:K,9,FALSE) + IF(I605="Sí",VLOOKUP(D605,TARIFAS!A:K,11,FALSE),0),
      VLOOKUP(D605,TARIFAS!A:K,10,FALSE) + IF(I605="Sí",VLOOKUP(D605,TARIFAS!A:K,11,FALSE),0)
   )
 )
)
</f>
        <v>0</v>
      </c>
      <c r="M605" s="45">
        <f>IF(J605="",0,MAX(0,J605 - TARIFAS!G$2) * TARIFAS!F$2)
</f>
        <v>0</v>
      </c>
      <c r="N605" s="45">
        <f>+L605*TARIFAS!$K$2</f>
        <v>0</v>
      </c>
      <c r="O605" s="45">
        <f t="shared" si="1"/>
        <v>0</v>
      </c>
      <c r="P605" s="45">
        <f>+M605+O605+K605+(+I605-(I605*TARIFAS!$K$2))</f>
        <v>0</v>
      </c>
      <c r="Q605" s="42" t="str">
        <f>CONFERENCIAS!T605</f>
        <v/>
      </c>
      <c r="R605" s="45" t="str">
        <f>CONFERENCIAS!U605</f>
        <v/>
      </c>
      <c r="S605" s="45" t="str">
        <f>CONFERENCIAS!W605</f>
        <v/>
      </c>
      <c r="T605" s="48">
        <f>IF(Q605="",0,
   IF(E605=1,
      IF(H605="Presencial",
         VLOOKUP(D605,TARIFAS!A:K,3,FALSE) + IF(I605="Sí",VLOOKUP(D605,TARIFAS!A:K,5,FALSE),0),
         VLOOKUP(D605,TARIFAS!A:K,4,FALSE) + IF(I605="Sí",VLOOKUP(D605,TARIFAS!A:K,5,FALSE),0)
      ),
      IF(H605="Presencial",
         VLOOKUP(D605,TARIFAS!A:K,9,FALSE) + IF(I605="Sí",VLOOKUP(D605,TARIFAS!A:K,11,FALSE),0),
         VLOOKUP(D605,TARIFAS!A:K,10,FALSE) + IF(I605="Sí",VLOOKUP(D605,TARIFAS!A:K,11,FALSE),0)
      )
   )
)
</f>
        <v>0</v>
      </c>
      <c r="U605" s="45">
        <f>IF(R605="",0,MAX(0,R605 - TARIFAS!G$2) * TARIFAS!F$2)
</f>
        <v>0</v>
      </c>
      <c r="V605" s="45">
        <f>+T605*TARIFAS!$K$2</f>
        <v>0</v>
      </c>
      <c r="W605" s="45">
        <f t="shared" si="2"/>
        <v>0</v>
      </c>
      <c r="X605" s="45">
        <f t="shared" si="3"/>
        <v>0</v>
      </c>
      <c r="Y605" s="45">
        <f t="shared" si="4"/>
        <v>0</v>
      </c>
      <c r="Z605" s="42" t="str">
        <f>CONFERENCIAS!AB605</f>
        <v/>
      </c>
      <c r="AA605" s="42" t="str">
        <f>CONFERENCIAS!AC605</f>
        <v/>
      </c>
      <c r="AB605" s="47" t="str">
        <f t="shared" si="5"/>
        <v/>
      </c>
      <c r="AC605" s="9" t="str">
        <f t="shared" si="6"/>
        <v/>
      </c>
    </row>
    <row r="606">
      <c r="A606" s="42" t="str">
        <f>CONFERENCIAS!A606</f>
        <v/>
      </c>
      <c r="D606" s="42" t="str">
        <f>CONFERENCIAS!C606</f>
        <v/>
      </c>
      <c r="E606" s="42" t="str">
        <f>CONFERENCIAS!K606</f>
        <v/>
      </c>
      <c r="F606" s="49" t="str">
        <f>CONFERENCIAS!J606</f>
        <v/>
      </c>
      <c r="G606" s="42" t="str">
        <f>CONFERENCIAS!O606</f>
        <v/>
      </c>
      <c r="H606" s="42" t="str">
        <f>CONFERENCIAS!X606</f>
        <v/>
      </c>
      <c r="I606" s="42" t="str">
        <f>CONFERENCIAS!AA606</f>
        <v/>
      </c>
      <c r="J606" s="44" t="str">
        <f>CONFERENCIAS!P606</f>
        <v/>
      </c>
      <c r="K606" s="45" t="str">
        <f>CONFERENCIAS!R606</f>
        <v/>
      </c>
      <c r="L606" s="45">
        <f>IF(D606="",0,
 IF(E606=1,
   IF(H606="Presencial",
      VLOOKUP(D606,TARIFAS!A:K,3,FALSE) + IF(I606="Sí",VLOOKUP(D606,TARIFAS!A:K,5,FALSE),0),
      VLOOKUP(D606,TARIFAS!A:K,4,FALSE) + IF(I606="Sí",VLOOKUP(D606,TARIFAS!A:K,5,FALSE),0)
   ),
   IF(H606="Presencial",
      VLOOKUP(D606,TARIFAS!A:K,9,FALSE) + IF(I606="Sí",VLOOKUP(D606,TARIFAS!A:K,11,FALSE),0),
      VLOOKUP(D606,TARIFAS!A:K,10,FALSE) + IF(I606="Sí",VLOOKUP(D606,TARIFAS!A:K,11,FALSE),0)
   )
 )
)
</f>
        <v>0</v>
      </c>
      <c r="M606" s="45">
        <f>IF(J606="",0,MAX(0,J606 - TARIFAS!G$2) * TARIFAS!F$2)
</f>
        <v>0</v>
      </c>
      <c r="N606" s="45">
        <f>+L606*TARIFAS!$K$2</f>
        <v>0</v>
      </c>
      <c r="O606" s="45">
        <f t="shared" si="1"/>
        <v>0</v>
      </c>
      <c r="P606" s="45">
        <f>+M606+O606+K606+(+I606-(I606*TARIFAS!$K$2))</f>
        <v>0</v>
      </c>
      <c r="Q606" s="42" t="str">
        <f>CONFERENCIAS!T606</f>
        <v/>
      </c>
      <c r="R606" s="45" t="str">
        <f>CONFERENCIAS!U606</f>
        <v/>
      </c>
      <c r="S606" s="45" t="str">
        <f>CONFERENCIAS!W606</f>
        <v/>
      </c>
      <c r="T606" s="48">
        <f>IF(Q606="",0,
   IF(E606=1,
      IF(H606="Presencial",
         VLOOKUP(D606,TARIFAS!A:K,3,FALSE) + IF(I606="Sí",VLOOKUP(D606,TARIFAS!A:K,5,FALSE),0),
         VLOOKUP(D606,TARIFAS!A:K,4,FALSE) + IF(I606="Sí",VLOOKUP(D606,TARIFAS!A:K,5,FALSE),0)
      ),
      IF(H606="Presencial",
         VLOOKUP(D606,TARIFAS!A:K,9,FALSE) + IF(I606="Sí",VLOOKUP(D606,TARIFAS!A:K,11,FALSE),0),
         VLOOKUP(D606,TARIFAS!A:K,10,FALSE) + IF(I606="Sí",VLOOKUP(D606,TARIFAS!A:K,11,FALSE),0)
      )
   )
)
</f>
        <v>0</v>
      </c>
      <c r="U606" s="45">
        <f>IF(R606="",0,MAX(0,R606 - TARIFAS!G$2) * TARIFAS!F$2)
</f>
        <v>0</v>
      </c>
      <c r="V606" s="45">
        <f>+T606*TARIFAS!$K$2</f>
        <v>0</v>
      </c>
      <c r="W606" s="45">
        <f t="shared" si="2"/>
        <v>0</v>
      </c>
      <c r="X606" s="45">
        <f t="shared" si="3"/>
        <v>0</v>
      </c>
      <c r="Y606" s="45">
        <f t="shared" si="4"/>
        <v>0</v>
      </c>
      <c r="Z606" s="42" t="str">
        <f>CONFERENCIAS!AB606</f>
        <v/>
      </c>
      <c r="AA606" s="42" t="str">
        <f>CONFERENCIAS!AC606</f>
        <v/>
      </c>
      <c r="AB606" s="47" t="str">
        <f t="shared" si="5"/>
        <v/>
      </c>
      <c r="AC606" s="9" t="str">
        <f t="shared" si="6"/>
        <v/>
      </c>
    </row>
    <row r="607">
      <c r="A607" s="42" t="str">
        <f>CONFERENCIAS!A607</f>
        <v/>
      </c>
      <c r="D607" s="42" t="str">
        <f>CONFERENCIAS!C607</f>
        <v/>
      </c>
      <c r="E607" s="42" t="str">
        <f>CONFERENCIAS!K607</f>
        <v/>
      </c>
      <c r="F607" s="49" t="str">
        <f>CONFERENCIAS!J607</f>
        <v/>
      </c>
      <c r="G607" s="42" t="str">
        <f>CONFERENCIAS!O607</f>
        <v/>
      </c>
      <c r="H607" s="42" t="str">
        <f>CONFERENCIAS!X607</f>
        <v/>
      </c>
      <c r="I607" s="42" t="str">
        <f>CONFERENCIAS!AA607</f>
        <v/>
      </c>
      <c r="J607" s="44" t="str">
        <f>CONFERENCIAS!P607</f>
        <v/>
      </c>
      <c r="K607" s="45" t="str">
        <f>CONFERENCIAS!R607</f>
        <v/>
      </c>
      <c r="L607" s="45">
        <f>IF(D607="",0,
 IF(E607=1,
   IF(H607="Presencial",
      VLOOKUP(D607,TARIFAS!A:K,3,FALSE) + IF(I607="Sí",VLOOKUP(D607,TARIFAS!A:K,5,FALSE),0),
      VLOOKUP(D607,TARIFAS!A:K,4,FALSE) + IF(I607="Sí",VLOOKUP(D607,TARIFAS!A:K,5,FALSE),0)
   ),
   IF(H607="Presencial",
      VLOOKUP(D607,TARIFAS!A:K,9,FALSE) + IF(I607="Sí",VLOOKUP(D607,TARIFAS!A:K,11,FALSE),0),
      VLOOKUP(D607,TARIFAS!A:K,10,FALSE) + IF(I607="Sí",VLOOKUP(D607,TARIFAS!A:K,11,FALSE),0)
   )
 )
)
</f>
        <v>0</v>
      </c>
      <c r="M607" s="45">
        <f>IF(J607="",0,MAX(0,J607 - TARIFAS!G$2) * TARIFAS!F$2)
</f>
        <v>0</v>
      </c>
      <c r="N607" s="45">
        <f>+L607*TARIFAS!$K$2</f>
        <v>0</v>
      </c>
      <c r="O607" s="45">
        <f t="shared" si="1"/>
        <v>0</v>
      </c>
      <c r="P607" s="45">
        <f>+M607+O607+K607+(+I607-(I607*TARIFAS!$K$2))</f>
        <v>0</v>
      </c>
      <c r="Q607" s="42" t="str">
        <f>CONFERENCIAS!T607</f>
        <v/>
      </c>
      <c r="R607" s="45" t="str">
        <f>CONFERENCIAS!U607</f>
        <v/>
      </c>
      <c r="S607" s="45" t="str">
        <f>CONFERENCIAS!W607</f>
        <v/>
      </c>
      <c r="T607" s="48">
        <f>IF(Q607="",0,
   IF(E607=1,
      IF(H607="Presencial",
         VLOOKUP(D607,TARIFAS!A:K,3,FALSE) + IF(I607="Sí",VLOOKUP(D607,TARIFAS!A:K,5,FALSE),0),
         VLOOKUP(D607,TARIFAS!A:K,4,FALSE) + IF(I607="Sí",VLOOKUP(D607,TARIFAS!A:K,5,FALSE),0)
      ),
      IF(H607="Presencial",
         VLOOKUP(D607,TARIFAS!A:K,9,FALSE) + IF(I607="Sí",VLOOKUP(D607,TARIFAS!A:K,11,FALSE),0),
         VLOOKUP(D607,TARIFAS!A:K,10,FALSE) + IF(I607="Sí",VLOOKUP(D607,TARIFAS!A:K,11,FALSE),0)
      )
   )
)
</f>
        <v>0</v>
      </c>
      <c r="U607" s="45">
        <f>IF(R607="",0,MAX(0,R607 - TARIFAS!G$2) * TARIFAS!F$2)
</f>
        <v>0</v>
      </c>
      <c r="V607" s="45">
        <f>+T607*TARIFAS!$K$2</f>
        <v>0</v>
      </c>
      <c r="W607" s="45">
        <f t="shared" si="2"/>
        <v>0</v>
      </c>
      <c r="X607" s="45">
        <f t="shared" si="3"/>
        <v>0</v>
      </c>
      <c r="Y607" s="45">
        <f t="shared" si="4"/>
        <v>0</v>
      </c>
      <c r="Z607" s="42" t="str">
        <f>CONFERENCIAS!AB607</f>
        <v/>
      </c>
      <c r="AA607" s="42" t="str">
        <f>CONFERENCIAS!AC607</f>
        <v/>
      </c>
      <c r="AB607" s="47" t="str">
        <f t="shared" si="5"/>
        <v/>
      </c>
      <c r="AC607" s="9" t="str">
        <f t="shared" si="6"/>
        <v/>
      </c>
    </row>
    <row r="608">
      <c r="A608" s="42" t="str">
        <f>CONFERENCIAS!A608</f>
        <v/>
      </c>
      <c r="D608" s="42" t="str">
        <f>CONFERENCIAS!C608</f>
        <v/>
      </c>
      <c r="E608" s="42" t="str">
        <f>CONFERENCIAS!K608</f>
        <v/>
      </c>
      <c r="F608" s="49" t="str">
        <f>CONFERENCIAS!J608</f>
        <v/>
      </c>
      <c r="G608" s="42" t="str">
        <f>CONFERENCIAS!O608</f>
        <v/>
      </c>
      <c r="H608" s="42" t="str">
        <f>CONFERENCIAS!X608</f>
        <v/>
      </c>
      <c r="I608" s="42" t="str">
        <f>CONFERENCIAS!AA608</f>
        <v/>
      </c>
      <c r="J608" s="44" t="str">
        <f>CONFERENCIAS!P608</f>
        <v/>
      </c>
      <c r="K608" s="45" t="str">
        <f>CONFERENCIAS!R608</f>
        <v/>
      </c>
      <c r="L608" s="45">
        <f>IF(D608="",0,
 IF(E608=1,
   IF(H608="Presencial",
      VLOOKUP(D608,TARIFAS!A:K,3,FALSE) + IF(I608="Sí",VLOOKUP(D608,TARIFAS!A:K,5,FALSE),0),
      VLOOKUP(D608,TARIFAS!A:K,4,FALSE) + IF(I608="Sí",VLOOKUP(D608,TARIFAS!A:K,5,FALSE),0)
   ),
   IF(H608="Presencial",
      VLOOKUP(D608,TARIFAS!A:K,9,FALSE) + IF(I608="Sí",VLOOKUP(D608,TARIFAS!A:K,11,FALSE),0),
      VLOOKUP(D608,TARIFAS!A:K,10,FALSE) + IF(I608="Sí",VLOOKUP(D608,TARIFAS!A:K,11,FALSE),0)
   )
 )
)
</f>
        <v>0</v>
      </c>
      <c r="M608" s="45">
        <f>IF(J608="",0,MAX(0,J608 - TARIFAS!G$2) * TARIFAS!F$2)
</f>
        <v>0</v>
      </c>
      <c r="N608" s="45">
        <f>+L608*TARIFAS!$K$2</f>
        <v>0</v>
      </c>
      <c r="O608" s="45">
        <f t="shared" si="1"/>
        <v>0</v>
      </c>
      <c r="P608" s="45">
        <f>+M608+O608+K608+(+I608-(I608*TARIFAS!$K$2))</f>
        <v>0</v>
      </c>
      <c r="Q608" s="42" t="str">
        <f>CONFERENCIAS!T608</f>
        <v/>
      </c>
      <c r="R608" s="45" t="str">
        <f>CONFERENCIAS!U608</f>
        <v/>
      </c>
      <c r="S608" s="45" t="str">
        <f>CONFERENCIAS!W608</f>
        <v/>
      </c>
      <c r="T608" s="48">
        <f>IF(Q608="",0,
   IF(E608=1,
      IF(H608="Presencial",
         VLOOKUP(D608,TARIFAS!A:K,3,FALSE) + IF(I608="Sí",VLOOKUP(D608,TARIFAS!A:K,5,FALSE),0),
         VLOOKUP(D608,TARIFAS!A:K,4,FALSE) + IF(I608="Sí",VLOOKUP(D608,TARIFAS!A:K,5,FALSE),0)
      ),
      IF(H608="Presencial",
         VLOOKUP(D608,TARIFAS!A:K,9,FALSE) + IF(I608="Sí",VLOOKUP(D608,TARIFAS!A:K,11,FALSE),0),
         VLOOKUP(D608,TARIFAS!A:K,10,FALSE) + IF(I608="Sí",VLOOKUP(D608,TARIFAS!A:K,11,FALSE),0)
      )
   )
)
</f>
        <v>0</v>
      </c>
      <c r="U608" s="45">
        <f>IF(R608="",0,MAX(0,R608 - TARIFAS!G$2) * TARIFAS!F$2)
</f>
        <v>0</v>
      </c>
      <c r="V608" s="45">
        <f>+T608*TARIFAS!$K$2</f>
        <v>0</v>
      </c>
      <c r="W608" s="45">
        <f t="shared" si="2"/>
        <v>0</v>
      </c>
      <c r="X608" s="45">
        <f t="shared" si="3"/>
        <v>0</v>
      </c>
      <c r="Y608" s="45">
        <f t="shared" si="4"/>
        <v>0</v>
      </c>
      <c r="Z608" s="42" t="str">
        <f>CONFERENCIAS!AB608</f>
        <v/>
      </c>
      <c r="AA608" s="42" t="str">
        <f>CONFERENCIAS!AC608</f>
        <v/>
      </c>
      <c r="AB608" s="47" t="str">
        <f t="shared" si="5"/>
        <v/>
      </c>
      <c r="AC608" s="9" t="str">
        <f t="shared" si="6"/>
        <v/>
      </c>
    </row>
    <row r="609">
      <c r="A609" s="42" t="str">
        <f>CONFERENCIAS!A609</f>
        <v/>
      </c>
      <c r="D609" s="42" t="str">
        <f>CONFERENCIAS!C609</f>
        <v/>
      </c>
      <c r="E609" s="42" t="str">
        <f>CONFERENCIAS!K609</f>
        <v/>
      </c>
      <c r="F609" s="49" t="str">
        <f>CONFERENCIAS!J609</f>
        <v/>
      </c>
      <c r="G609" s="42" t="str">
        <f>CONFERENCIAS!O609</f>
        <v/>
      </c>
      <c r="H609" s="42" t="str">
        <f>CONFERENCIAS!X609</f>
        <v/>
      </c>
      <c r="I609" s="42" t="str">
        <f>CONFERENCIAS!AA609</f>
        <v/>
      </c>
      <c r="J609" s="44" t="str">
        <f>CONFERENCIAS!P609</f>
        <v/>
      </c>
      <c r="K609" s="45" t="str">
        <f>CONFERENCIAS!R609</f>
        <v/>
      </c>
      <c r="L609" s="45">
        <f>IF(D609="",0,
 IF(E609=1,
   IF(H609="Presencial",
      VLOOKUP(D609,TARIFAS!A:K,3,FALSE) + IF(I609="Sí",VLOOKUP(D609,TARIFAS!A:K,5,FALSE),0),
      VLOOKUP(D609,TARIFAS!A:K,4,FALSE) + IF(I609="Sí",VLOOKUP(D609,TARIFAS!A:K,5,FALSE),0)
   ),
   IF(H609="Presencial",
      VLOOKUP(D609,TARIFAS!A:K,9,FALSE) + IF(I609="Sí",VLOOKUP(D609,TARIFAS!A:K,11,FALSE),0),
      VLOOKUP(D609,TARIFAS!A:K,10,FALSE) + IF(I609="Sí",VLOOKUP(D609,TARIFAS!A:K,11,FALSE),0)
   )
 )
)
</f>
        <v>0</v>
      </c>
      <c r="M609" s="45">
        <f>IF(J609="",0,MAX(0,J609 - TARIFAS!G$2) * TARIFAS!F$2)
</f>
        <v>0</v>
      </c>
      <c r="N609" s="45">
        <f>+L609*TARIFAS!$K$2</f>
        <v>0</v>
      </c>
      <c r="O609" s="45">
        <f t="shared" si="1"/>
        <v>0</v>
      </c>
      <c r="P609" s="45">
        <f>+M609+O609+K609+(+I609-(I609*TARIFAS!$K$2))</f>
        <v>0</v>
      </c>
      <c r="Q609" s="42" t="str">
        <f>CONFERENCIAS!T609</f>
        <v/>
      </c>
      <c r="R609" s="45" t="str">
        <f>CONFERENCIAS!U609</f>
        <v/>
      </c>
      <c r="S609" s="45" t="str">
        <f>CONFERENCIAS!W609</f>
        <v/>
      </c>
      <c r="T609" s="48">
        <f>IF(Q609="",0,
   IF(E609=1,
      IF(H609="Presencial",
         VLOOKUP(D609,TARIFAS!A:K,3,FALSE) + IF(I609="Sí",VLOOKUP(D609,TARIFAS!A:K,5,FALSE),0),
         VLOOKUP(D609,TARIFAS!A:K,4,FALSE) + IF(I609="Sí",VLOOKUP(D609,TARIFAS!A:K,5,FALSE),0)
      ),
      IF(H609="Presencial",
         VLOOKUP(D609,TARIFAS!A:K,9,FALSE) + IF(I609="Sí",VLOOKUP(D609,TARIFAS!A:K,11,FALSE),0),
         VLOOKUP(D609,TARIFAS!A:K,10,FALSE) + IF(I609="Sí",VLOOKUP(D609,TARIFAS!A:K,11,FALSE),0)
      )
   )
)
</f>
        <v>0</v>
      </c>
      <c r="U609" s="45">
        <f>IF(R609="",0,MAX(0,R609 - TARIFAS!G$2) * TARIFAS!F$2)
</f>
        <v>0</v>
      </c>
      <c r="V609" s="45">
        <f>+T609*TARIFAS!$K$2</f>
        <v>0</v>
      </c>
      <c r="W609" s="45">
        <f t="shared" si="2"/>
        <v>0</v>
      </c>
      <c r="X609" s="45">
        <f t="shared" si="3"/>
        <v>0</v>
      </c>
      <c r="Y609" s="45">
        <f t="shared" si="4"/>
        <v>0</v>
      </c>
      <c r="Z609" s="42" t="str">
        <f>CONFERENCIAS!AB609</f>
        <v/>
      </c>
      <c r="AA609" s="42" t="str">
        <f>CONFERENCIAS!AC609</f>
        <v/>
      </c>
      <c r="AB609" s="47" t="str">
        <f t="shared" si="5"/>
        <v/>
      </c>
      <c r="AC609" s="9" t="str">
        <f t="shared" si="6"/>
        <v/>
      </c>
    </row>
    <row r="610">
      <c r="A610" s="42" t="str">
        <f>CONFERENCIAS!A610</f>
        <v/>
      </c>
      <c r="D610" s="42" t="str">
        <f>CONFERENCIAS!C610</f>
        <v/>
      </c>
      <c r="E610" s="42" t="str">
        <f>CONFERENCIAS!K610</f>
        <v/>
      </c>
      <c r="F610" s="49" t="str">
        <f>CONFERENCIAS!J610</f>
        <v/>
      </c>
      <c r="G610" s="42" t="str">
        <f>CONFERENCIAS!O610</f>
        <v/>
      </c>
      <c r="H610" s="42" t="str">
        <f>CONFERENCIAS!X610</f>
        <v/>
      </c>
      <c r="I610" s="42" t="str">
        <f>CONFERENCIAS!AA610</f>
        <v/>
      </c>
      <c r="J610" s="44" t="str">
        <f>CONFERENCIAS!P610</f>
        <v/>
      </c>
      <c r="K610" s="45" t="str">
        <f>CONFERENCIAS!R610</f>
        <v/>
      </c>
      <c r="L610" s="45">
        <f>IF(D610="",0,
 IF(E610=1,
   IF(H610="Presencial",
      VLOOKUP(D610,TARIFAS!A:K,3,FALSE) + IF(I610="Sí",VLOOKUP(D610,TARIFAS!A:K,5,FALSE),0),
      VLOOKUP(D610,TARIFAS!A:K,4,FALSE) + IF(I610="Sí",VLOOKUP(D610,TARIFAS!A:K,5,FALSE),0)
   ),
   IF(H610="Presencial",
      VLOOKUP(D610,TARIFAS!A:K,9,FALSE) + IF(I610="Sí",VLOOKUP(D610,TARIFAS!A:K,11,FALSE),0),
      VLOOKUP(D610,TARIFAS!A:K,10,FALSE) + IF(I610="Sí",VLOOKUP(D610,TARIFAS!A:K,11,FALSE),0)
   )
 )
)
</f>
        <v>0</v>
      </c>
      <c r="M610" s="45">
        <f>IF(J610="",0,MAX(0,J610 - TARIFAS!G$2) * TARIFAS!F$2)
</f>
        <v>0</v>
      </c>
      <c r="N610" s="45">
        <f>+L610*TARIFAS!$K$2</f>
        <v>0</v>
      </c>
      <c r="O610" s="45">
        <f t="shared" si="1"/>
        <v>0</v>
      </c>
      <c r="P610" s="45">
        <f>+M610+O610+K610+(+I610-(I610*TARIFAS!$K$2))</f>
        <v>0</v>
      </c>
      <c r="Q610" s="42" t="str">
        <f>CONFERENCIAS!T610</f>
        <v/>
      </c>
      <c r="R610" s="45" t="str">
        <f>CONFERENCIAS!U610</f>
        <v/>
      </c>
      <c r="S610" s="45" t="str">
        <f>CONFERENCIAS!W610</f>
        <v/>
      </c>
      <c r="T610" s="48">
        <f>IF(Q610="",0,
   IF(E610=1,
      IF(H610="Presencial",
         VLOOKUP(D610,TARIFAS!A:K,3,FALSE) + IF(I610="Sí",VLOOKUP(D610,TARIFAS!A:K,5,FALSE),0),
         VLOOKUP(D610,TARIFAS!A:K,4,FALSE) + IF(I610="Sí",VLOOKUP(D610,TARIFAS!A:K,5,FALSE),0)
      ),
      IF(H610="Presencial",
         VLOOKUP(D610,TARIFAS!A:K,9,FALSE) + IF(I610="Sí",VLOOKUP(D610,TARIFAS!A:K,11,FALSE),0),
         VLOOKUP(D610,TARIFAS!A:K,10,FALSE) + IF(I610="Sí",VLOOKUP(D610,TARIFAS!A:K,11,FALSE),0)
      )
   )
)
</f>
        <v>0</v>
      </c>
      <c r="U610" s="45">
        <f>IF(R610="",0,MAX(0,R610 - TARIFAS!G$2) * TARIFAS!F$2)
</f>
        <v>0</v>
      </c>
      <c r="V610" s="45">
        <f>+T610*TARIFAS!$K$2</f>
        <v>0</v>
      </c>
      <c r="W610" s="45">
        <f t="shared" si="2"/>
        <v>0</v>
      </c>
      <c r="X610" s="45">
        <f t="shared" si="3"/>
        <v>0</v>
      </c>
      <c r="Y610" s="45">
        <f t="shared" si="4"/>
        <v>0</v>
      </c>
      <c r="Z610" s="42" t="str">
        <f>CONFERENCIAS!AB610</f>
        <v/>
      </c>
      <c r="AA610" s="42" t="str">
        <f>CONFERENCIAS!AC610</f>
        <v/>
      </c>
      <c r="AB610" s="47" t="str">
        <f t="shared" si="5"/>
        <v/>
      </c>
      <c r="AC610" s="9" t="str">
        <f t="shared" si="6"/>
        <v/>
      </c>
    </row>
    <row r="611">
      <c r="A611" s="42" t="str">
        <f>CONFERENCIAS!A611</f>
        <v/>
      </c>
      <c r="D611" s="42" t="str">
        <f>CONFERENCIAS!C611</f>
        <v/>
      </c>
      <c r="E611" s="42" t="str">
        <f>CONFERENCIAS!K611</f>
        <v/>
      </c>
      <c r="F611" s="49" t="str">
        <f>CONFERENCIAS!J611</f>
        <v/>
      </c>
      <c r="G611" s="42" t="str">
        <f>CONFERENCIAS!O611</f>
        <v/>
      </c>
      <c r="H611" s="42" t="str">
        <f>CONFERENCIAS!X611</f>
        <v/>
      </c>
      <c r="I611" s="42" t="str">
        <f>CONFERENCIAS!AA611</f>
        <v/>
      </c>
      <c r="J611" s="44" t="str">
        <f>CONFERENCIAS!P611</f>
        <v/>
      </c>
      <c r="K611" s="45" t="str">
        <f>CONFERENCIAS!R611</f>
        <v/>
      </c>
      <c r="L611" s="45">
        <f>IF(D611="",0,
 IF(E611=1,
   IF(H611="Presencial",
      VLOOKUP(D611,TARIFAS!A:K,3,FALSE) + IF(I611="Sí",VLOOKUP(D611,TARIFAS!A:K,5,FALSE),0),
      VLOOKUP(D611,TARIFAS!A:K,4,FALSE) + IF(I611="Sí",VLOOKUP(D611,TARIFAS!A:K,5,FALSE),0)
   ),
   IF(H611="Presencial",
      VLOOKUP(D611,TARIFAS!A:K,9,FALSE) + IF(I611="Sí",VLOOKUP(D611,TARIFAS!A:K,11,FALSE),0),
      VLOOKUP(D611,TARIFAS!A:K,10,FALSE) + IF(I611="Sí",VLOOKUP(D611,TARIFAS!A:K,11,FALSE),0)
   )
 )
)
</f>
        <v>0</v>
      </c>
      <c r="M611" s="45">
        <f>IF(J611="",0,MAX(0,J611 - TARIFAS!G$2) * TARIFAS!F$2)
</f>
        <v>0</v>
      </c>
      <c r="N611" s="45">
        <f>+L611*TARIFAS!$K$2</f>
        <v>0</v>
      </c>
      <c r="O611" s="45">
        <f t="shared" si="1"/>
        <v>0</v>
      </c>
      <c r="P611" s="45">
        <f>+M611+O611+K611+(+I611-(I611*TARIFAS!$K$2))</f>
        <v>0</v>
      </c>
      <c r="Q611" s="42" t="str">
        <f>CONFERENCIAS!T611</f>
        <v/>
      </c>
      <c r="R611" s="45" t="str">
        <f>CONFERENCIAS!U611</f>
        <v/>
      </c>
      <c r="S611" s="45" t="str">
        <f>CONFERENCIAS!W611</f>
        <v/>
      </c>
      <c r="T611" s="48">
        <f>IF(Q611="",0,
   IF(E611=1,
      IF(H611="Presencial",
         VLOOKUP(D611,TARIFAS!A:K,3,FALSE) + IF(I611="Sí",VLOOKUP(D611,TARIFAS!A:K,5,FALSE),0),
         VLOOKUP(D611,TARIFAS!A:K,4,FALSE) + IF(I611="Sí",VLOOKUP(D611,TARIFAS!A:K,5,FALSE),0)
      ),
      IF(H611="Presencial",
         VLOOKUP(D611,TARIFAS!A:K,9,FALSE) + IF(I611="Sí",VLOOKUP(D611,TARIFAS!A:K,11,FALSE),0),
         VLOOKUP(D611,TARIFAS!A:K,10,FALSE) + IF(I611="Sí",VLOOKUP(D611,TARIFAS!A:K,11,FALSE),0)
      )
   )
)
</f>
        <v>0</v>
      </c>
      <c r="U611" s="45">
        <f>IF(R611="",0,MAX(0,R611 - TARIFAS!G$2) * TARIFAS!F$2)
</f>
        <v>0</v>
      </c>
      <c r="V611" s="45">
        <f>+T611*TARIFAS!$K$2</f>
        <v>0</v>
      </c>
      <c r="W611" s="45">
        <f t="shared" si="2"/>
        <v>0</v>
      </c>
      <c r="X611" s="45">
        <f t="shared" si="3"/>
        <v>0</v>
      </c>
      <c r="Y611" s="45">
        <f t="shared" si="4"/>
        <v>0</v>
      </c>
      <c r="Z611" s="42" t="str">
        <f>CONFERENCIAS!AB611</f>
        <v/>
      </c>
      <c r="AA611" s="42" t="str">
        <f>CONFERENCIAS!AC611</f>
        <v/>
      </c>
      <c r="AB611" s="47" t="str">
        <f t="shared" si="5"/>
        <v/>
      </c>
      <c r="AC611" s="9" t="str">
        <f t="shared" si="6"/>
        <v/>
      </c>
    </row>
    <row r="612">
      <c r="A612" s="42" t="str">
        <f>CONFERENCIAS!A612</f>
        <v/>
      </c>
      <c r="D612" s="42" t="str">
        <f>CONFERENCIAS!C612</f>
        <v/>
      </c>
      <c r="E612" s="42" t="str">
        <f>CONFERENCIAS!K612</f>
        <v/>
      </c>
      <c r="F612" s="49" t="str">
        <f>CONFERENCIAS!J612</f>
        <v/>
      </c>
      <c r="G612" s="42" t="str">
        <f>CONFERENCIAS!O612</f>
        <v/>
      </c>
      <c r="H612" s="42" t="str">
        <f>CONFERENCIAS!X612</f>
        <v/>
      </c>
      <c r="I612" s="42" t="str">
        <f>CONFERENCIAS!AA612</f>
        <v/>
      </c>
      <c r="J612" s="44" t="str">
        <f>CONFERENCIAS!P612</f>
        <v/>
      </c>
      <c r="K612" s="45" t="str">
        <f>CONFERENCIAS!R612</f>
        <v/>
      </c>
      <c r="L612" s="45">
        <f>IF(D612="",0,
 IF(E612=1,
   IF(H612="Presencial",
      VLOOKUP(D612,TARIFAS!A:K,3,FALSE) + IF(I612="Sí",VLOOKUP(D612,TARIFAS!A:K,5,FALSE),0),
      VLOOKUP(D612,TARIFAS!A:K,4,FALSE) + IF(I612="Sí",VLOOKUP(D612,TARIFAS!A:K,5,FALSE),0)
   ),
   IF(H612="Presencial",
      VLOOKUP(D612,TARIFAS!A:K,9,FALSE) + IF(I612="Sí",VLOOKUP(D612,TARIFAS!A:K,11,FALSE),0),
      VLOOKUP(D612,TARIFAS!A:K,10,FALSE) + IF(I612="Sí",VLOOKUP(D612,TARIFAS!A:K,11,FALSE),0)
   )
 )
)
</f>
        <v>0</v>
      </c>
      <c r="M612" s="45">
        <f>IF(J612="",0,MAX(0,J612 - TARIFAS!G$2) * TARIFAS!F$2)
</f>
        <v>0</v>
      </c>
      <c r="N612" s="45">
        <f>+L612*TARIFAS!$K$2</f>
        <v>0</v>
      </c>
      <c r="O612" s="45">
        <f t="shared" si="1"/>
        <v>0</v>
      </c>
      <c r="P612" s="45">
        <f>+M612+O612+K612+(+I612-(I612*TARIFAS!$K$2))</f>
        <v>0</v>
      </c>
      <c r="Q612" s="42" t="str">
        <f>CONFERENCIAS!T612</f>
        <v/>
      </c>
      <c r="R612" s="45" t="str">
        <f>CONFERENCIAS!U612</f>
        <v/>
      </c>
      <c r="S612" s="45" t="str">
        <f>CONFERENCIAS!W612</f>
        <v/>
      </c>
      <c r="T612" s="48">
        <f>IF(Q612="",0,
   IF(E612=1,
      IF(H612="Presencial",
         VLOOKUP(D612,TARIFAS!A:K,3,FALSE) + IF(I612="Sí",VLOOKUP(D612,TARIFAS!A:K,5,FALSE),0),
         VLOOKUP(D612,TARIFAS!A:K,4,FALSE) + IF(I612="Sí",VLOOKUP(D612,TARIFAS!A:K,5,FALSE),0)
      ),
      IF(H612="Presencial",
         VLOOKUP(D612,TARIFAS!A:K,9,FALSE) + IF(I612="Sí",VLOOKUP(D612,TARIFAS!A:K,11,FALSE),0),
         VLOOKUP(D612,TARIFAS!A:K,10,FALSE) + IF(I612="Sí",VLOOKUP(D612,TARIFAS!A:K,11,FALSE),0)
      )
   )
)
</f>
        <v>0</v>
      </c>
      <c r="U612" s="45">
        <f>IF(R612="",0,MAX(0,R612 - TARIFAS!G$2) * TARIFAS!F$2)
</f>
        <v>0</v>
      </c>
      <c r="V612" s="45">
        <f>+T612*TARIFAS!$K$2</f>
        <v>0</v>
      </c>
      <c r="W612" s="45">
        <f t="shared" si="2"/>
        <v>0</v>
      </c>
      <c r="X612" s="45">
        <f t="shared" si="3"/>
        <v>0</v>
      </c>
      <c r="Y612" s="45">
        <f t="shared" si="4"/>
        <v>0</v>
      </c>
      <c r="Z612" s="42" t="str">
        <f>CONFERENCIAS!AB612</f>
        <v/>
      </c>
      <c r="AA612" s="42" t="str">
        <f>CONFERENCIAS!AC612</f>
        <v/>
      </c>
      <c r="AB612" s="47" t="str">
        <f t="shared" si="5"/>
        <v/>
      </c>
      <c r="AC612" s="9" t="str">
        <f t="shared" si="6"/>
        <v/>
      </c>
    </row>
    <row r="613">
      <c r="A613" s="42" t="str">
        <f>CONFERENCIAS!A613</f>
        <v/>
      </c>
      <c r="D613" s="42" t="str">
        <f>CONFERENCIAS!C613</f>
        <v/>
      </c>
      <c r="E613" s="42" t="str">
        <f>CONFERENCIAS!K613</f>
        <v/>
      </c>
      <c r="F613" s="49" t="str">
        <f>CONFERENCIAS!J613</f>
        <v/>
      </c>
      <c r="G613" s="42" t="str">
        <f>CONFERENCIAS!O613</f>
        <v/>
      </c>
      <c r="H613" s="42" t="str">
        <f>CONFERENCIAS!X613</f>
        <v/>
      </c>
      <c r="I613" s="42" t="str">
        <f>CONFERENCIAS!AA613</f>
        <v/>
      </c>
      <c r="J613" s="44" t="str">
        <f>CONFERENCIAS!P613</f>
        <v/>
      </c>
      <c r="K613" s="45" t="str">
        <f>CONFERENCIAS!R613</f>
        <v/>
      </c>
      <c r="L613" s="45">
        <f>IF(D613="",0,
 IF(E613=1,
   IF(H613="Presencial",
      VLOOKUP(D613,TARIFAS!A:K,3,FALSE) + IF(I613="Sí",VLOOKUP(D613,TARIFAS!A:K,5,FALSE),0),
      VLOOKUP(D613,TARIFAS!A:K,4,FALSE) + IF(I613="Sí",VLOOKUP(D613,TARIFAS!A:K,5,FALSE),0)
   ),
   IF(H613="Presencial",
      VLOOKUP(D613,TARIFAS!A:K,9,FALSE) + IF(I613="Sí",VLOOKUP(D613,TARIFAS!A:K,11,FALSE),0),
      VLOOKUP(D613,TARIFAS!A:K,10,FALSE) + IF(I613="Sí",VLOOKUP(D613,TARIFAS!A:K,11,FALSE),0)
   )
 )
)
</f>
        <v>0</v>
      </c>
      <c r="M613" s="45">
        <f>IF(J613="",0,MAX(0,J613 - TARIFAS!G$2) * TARIFAS!F$2)
</f>
        <v>0</v>
      </c>
      <c r="N613" s="45">
        <f>+L613*TARIFAS!$K$2</f>
        <v>0</v>
      </c>
      <c r="O613" s="45">
        <f t="shared" si="1"/>
        <v>0</v>
      </c>
      <c r="P613" s="45">
        <f>+M613+O613+K613+(+I613-(I613*TARIFAS!$K$2))</f>
        <v>0</v>
      </c>
      <c r="Q613" s="42" t="str">
        <f>CONFERENCIAS!T613</f>
        <v/>
      </c>
      <c r="R613" s="45" t="str">
        <f>CONFERENCIAS!U613</f>
        <v/>
      </c>
      <c r="S613" s="45" t="str">
        <f>CONFERENCIAS!W613</f>
        <v/>
      </c>
      <c r="T613" s="48">
        <f>IF(Q613="",0,
   IF(E613=1,
      IF(H613="Presencial",
         VLOOKUP(D613,TARIFAS!A:K,3,FALSE) + IF(I613="Sí",VLOOKUP(D613,TARIFAS!A:K,5,FALSE),0),
         VLOOKUP(D613,TARIFAS!A:K,4,FALSE) + IF(I613="Sí",VLOOKUP(D613,TARIFAS!A:K,5,FALSE),0)
      ),
      IF(H613="Presencial",
         VLOOKUP(D613,TARIFAS!A:K,9,FALSE) + IF(I613="Sí",VLOOKUP(D613,TARIFAS!A:K,11,FALSE),0),
         VLOOKUP(D613,TARIFAS!A:K,10,FALSE) + IF(I613="Sí",VLOOKUP(D613,TARIFAS!A:K,11,FALSE),0)
      )
   )
)
</f>
        <v>0</v>
      </c>
      <c r="U613" s="45">
        <f>IF(R613="",0,MAX(0,R613 - TARIFAS!G$2) * TARIFAS!F$2)
</f>
        <v>0</v>
      </c>
      <c r="V613" s="45">
        <f>+T613*TARIFAS!$K$2</f>
        <v>0</v>
      </c>
      <c r="W613" s="45">
        <f t="shared" si="2"/>
        <v>0</v>
      </c>
      <c r="X613" s="45">
        <f t="shared" si="3"/>
        <v>0</v>
      </c>
      <c r="Y613" s="45">
        <f t="shared" si="4"/>
        <v>0</v>
      </c>
      <c r="Z613" s="42" t="str">
        <f>CONFERENCIAS!AB613</f>
        <v/>
      </c>
      <c r="AA613" s="42" t="str">
        <f>CONFERENCIAS!AC613</f>
        <v/>
      </c>
      <c r="AB613" s="47" t="str">
        <f t="shared" si="5"/>
        <v/>
      </c>
      <c r="AC613" s="9" t="str">
        <f t="shared" si="6"/>
        <v/>
      </c>
    </row>
    <row r="614">
      <c r="A614" s="42" t="str">
        <f>CONFERENCIAS!A614</f>
        <v/>
      </c>
      <c r="D614" s="42" t="str">
        <f>CONFERENCIAS!C614</f>
        <v/>
      </c>
      <c r="E614" s="42" t="str">
        <f>CONFERENCIAS!K614</f>
        <v/>
      </c>
      <c r="F614" s="49" t="str">
        <f>CONFERENCIAS!J614</f>
        <v/>
      </c>
      <c r="G614" s="42" t="str">
        <f>CONFERENCIAS!O614</f>
        <v/>
      </c>
      <c r="H614" s="42" t="str">
        <f>CONFERENCIAS!X614</f>
        <v/>
      </c>
      <c r="I614" s="42" t="str">
        <f>CONFERENCIAS!AA614</f>
        <v/>
      </c>
      <c r="J614" s="44" t="str">
        <f>CONFERENCIAS!P614</f>
        <v/>
      </c>
      <c r="K614" s="45" t="str">
        <f>CONFERENCIAS!R614</f>
        <v/>
      </c>
      <c r="L614" s="45">
        <f>IF(D614="",0,
 IF(E614=1,
   IF(H614="Presencial",
      VLOOKUP(D614,TARIFAS!A:K,3,FALSE) + IF(I614="Sí",VLOOKUP(D614,TARIFAS!A:K,5,FALSE),0),
      VLOOKUP(D614,TARIFAS!A:K,4,FALSE) + IF(I614="Sí",VLOOKUP(D614,TARIFAS!A:K,5,FALSE),0)
   ),
   IF(H614="Presencial",
      VLOOKUP(D614,TARIFAS!A:K,9,FALSE) + IF(I614="Sí",VLOOKUP(D614,TARIFAS!A:K,11,FALSE),0),
      VLOOKUP(D614,TARIFAS!A:K,10,FALSE) + IF(I614="Sí",VLOOKUP(D614,TARIFAS!A:K,11,FALSE),0)
   )
 )
)
</f>
        <v>0</v>
      </c>
      <c r="M614" s="45">
        <f>IF(J614="",0,MAX(0,J614 - TARIFAS!G$2) * TARIFAS!F$2)
</f>
        <v>0</v>
      </c>
      <c r="N614" s="45">
        <f>+L614*TARIFAS!$K$2</f>
        <v>0</v>
      </c>
      <c r="O614" s="45">
        <f t="shared" si="1"/>
        <v>0</v>
      </c>
      <c r="P614" s="45">
        <f>+M614+O614+K614+(+I614-(I614*TARIFAS!$K$2))</f>
        <v>0</v>
      </c>
      <c r="Q614" s="42" t="str">
        <f>CONFERENCIAS!T614</f>
        <v/>
      </c>
      <c r="R614" s="45" t="str">
        <f>CONFERENCIAS!U614</f>
        <v/>
      </c>
      <c r="S614" s="45" t="str">
        <f>CONFERENCIAS!W614</f>
        <v/>
      </c>
      <c r="T614" s="48">
        <f>IF(Q614="",0,
   IF(E614=1,
      IF(H614="Presencial",
         VLOOKUP(D614,TARIFAS!A:K,3,FALSE) + IF(I614="Sí",VLOOKUP(D614,TARIFAS!A:K,5,FALSE),0),
         VLOOKUP(D614,TARIFAS!A:K,4,FALSE) + IF(I614="Sí",VLOOKUP(D614,TARIFAS!A:K,5,FALSE),0)
      ),
      IF(H614="Presencial",
         VLOOKUP(D614,TARIFAS!A:K,9,FALSE) + IF(I614="Sí",VLOOKUP(D614,TARIFAS!A:K,11,FALSE),0),
         VLOOKUP(D614,TARIFAS!A:K,10,FALSE) + IF(I614="Sí",VLOOKUP(D614,TARIFAS!A:K,11,FALSE),0)
      )
   )
)
</f>
        <v>0</v>
      </c>
      <c r="U614" s="45">
        <f>IF(R614="",0,MAX(0,R614 - TARIFAS!G$2) * TARIFAS!F$2)
</f>
        <v>0</v>
      </c>
      <c r="V614" s="45">
        <f>+T614*TARIFAS!$K$2</f>
        <v>0</v>
      </c>
      <c r="W614" s="45">
        <f t="shared" si="2"/>
        <v>0</v>
      </c>
      <c r="X614" s="45">
        <f t="shared" si="3"/>
        <v>0</v>
      </c>
      <c r="Y614" s="45">
        <f t="shared" si="4"/>
        <v>0</v>
      </c>
      <c r="Z614" s="42" t="str">
        <f>CONFERENCIAS!AB614</f>
        <v/>
      </c>
      <c r="AA614" s="42" t="str">
        <f>CONFERENCIAS!AC614</f>
        <v/>
      </c>
      <c r="AB614" s="47" t="str">
        <f t="shared" si="5"/>
        <v/>
      </c>
      <c r="AC614" s="9" t="str">
        <f t="shared" si="6"/>
        <v/>
      </c>
    </row>
    <row r="615">
      <c r="A615" s="42" t="str">
        <f>CONFERENCIAS!A615</f>
        <v/>
      </c>
      <c r="D615" s="42" t="str">
        <f>CONFERENCIAS!C615</f>
        <v/>
      </c>
      <c r="E615" s="42" t="str">
        <f>CONFERENCIAS!K615</f>
        <v/>
      </c>
      <c r="F615" s="49" t="str">
        <f>CONFERENCIAS!J615</f>
        <v/>
      </c>
      <c r="G615" s="42" t="str">
        <f>CONFERENCIAS!O615</f>
        <v/>
      </c>
      <c r="H615" s="42" t="str">
        <f>CONFERENCIAS!X615</f>
        <v/>
      </c>
      <c r="I615" s="42" t="str">
        <f>CONFERENCIAS!AA615</f>
        <v/>
      </c>
      <c r="J615" s="44" t="str">
        <f>CONFERENCIAS!P615</f>
        <v/>
      </c>
      <c r="K615" s="45" t="str">
        <f>CONFERENCIAS!R615</f>
        <v/>
      </c>
      <c r="L615" s="45">
        <f>IF(D615="",0,
 IF(E615=1,
   IF(H615="Presencial",
      VLOOKUP(D615,TARIFAS!A:K,3,FALSE) + IF(I615="Sí",VLOOKUP(D615,TARIFAS!A:K,5,FALSE),0),
      VLOOKUP(D615,TARIFAS!A:K,4,FALSE) + IF(I615="Sí",VLOOKUP(D615,TARIFAS!A:K,5,FALSE),0)
   ),
   IF(H615="Presencial",
      VLOOKUP(D615,TARIFAS!A:K,9,FALSE) + IF(I615="Sí",VLOOKUP(D615,TARIFAS!A:K,11,FALSE),0),
      VLOOKUP(D615,TARIFAS!A:K,10,FALSE) + IF(I615="Sí",VLOOKUP(D615,TARIFAS!A:K,11,FALSE),0)
   )
 )
)
</f>
        <v>0</v>
      </c>
      <c r="M615" s="45">
        <f>IF(J615="",0,MAX(0,J615 - TARIFAS!G$2) * TARIFAS!F$2)
</f>
        <v>0</v>
      </c>
      <c r="N615" s="45">
        <f>+L615*TARIFAS!$K$2</f>
        <v>0</v>
      </c>
      <c r="O615" s="45">
        <f t="shared" si="1"/>
        <v>0</v>
      </c>
      <c r="P615" s="45">
        <f>+M615+O615+K615+(+I615-(I615*TARIFAS!$K$2))</f>
        <v>0</v>
      </c>
      <c r="Q615" s="42" t="str">
        <f>CONFERENCIAS!T615</f>
        <v/>
      </c>
      <c r="R615" s="45" t="str">
        <f>CONFERENCIAS!U615</f>
        <v/>
      </c>
      <c r="S615" s="45" t="str">
        <f>CONFERENCIAS!W615</f>
        <v/>
      </c>
      <c r="T615" s="48">
        <f>IF(Q615="",0,
   IF(E615=1,
      IF(H615="Presencial",
         VLOOKUP(D615,TARIFAS!A:K,3,FALSE) + IF(I615="Sí",VLOOKUP(D615,TARIFAS!A:K,5,FALSE),0),
         VLOOKUP(D615,TARIFAS!A:K,4,FALSE) + IF(I615="Sí",VLOOKUP(D615,TARIFAS!A:K,5,FALSE),0)
      ),
      IF(H615="Presencial",
         VLOOKUP(D615,TARIFAS!A:K,9,FALSE) + IF(I615="Sí",VLOOKUP(D615,TARIFAS!A:K,11,FALSE),0),
         VLOOKUP(D615,TARIFAS!A:K,10,FALSE) + IF(I615="Sí",VLOOKUP(D615,TARIFAS!A:K,11,FALSE),0)
      )
   )
)
</f>
        <v>0</v>
      </c>
      <c r="U615" s="45">
        <f>IF(R615="",0,MAX(0,R615 - TARIFAS!G$2) * TARIFAS!F$2)
</f>
        <v>0</v>
      </c>
      <c r="V615" s="45">
        <f>+T615*TARIFAS!$K$2</f>
        <v>0</v>
      </c>
      <c r="W615" s="45">
        <f t="shared" si="2"/>
        <v>0</v>
      </c>
      <c r="X615" s="45">
        <f t="shared" si="3"/>
        <v>0</v>
      </c>
      <c r="Y615" s="45">
        <f t="shared" si="4"/>
        <v>0</v>
      </c>
      <c r="Z615" s="42" t="str">
        <f>CONFERENCIAS!AB615</f>
        <v/>
      </c>
      <c r="AA615" s="42" t="str">
        <f>CONFERENCIAS!AC615</f>
        <v/>
      </c>
      <c r="AB615" s="47" t="str">
        <f t="shared" si="5"/>
        <v/>
      </c>
      <c r="AC615" s="9" t="str">
        <f t="shared" si="6"/>
        <v/>
      </c>
    </row>
    <row r="616">
      <c r="A616" s="42" t="str">
        <f>CONFERENCIAS!A616</f>
        <v/>
      </c>
      <c r="D616" s="42" t="str">
        <f>CONFERENCIAS!C616</f>
        <v/>
      </c>
      <c r="E616" s="42" t="str">
        <f>CONFERENCIAS!K616</f>
        <v/>
      </c>
      <c r="F616" s="49" t="str">
        <f>CONFERENCIAS!J616</f>
        <v/>
      </c>
      <c r="G616" s="42" t="str">
        <f>CONFERENCIAS!O616</f>
        <v/>
      </c>
      <c r="H616" s="42" t="str">
        <f>CONFERENCIAS!X616</f>
        <v/>
      </c>
      <c r="I616" s="42" t="str">
        <f>CONFERENCIAS!AA616</f>
        <v/>
      </c>
      <c r="J616" s="44" t="str">
        <f>CONFERENCIAS!P616</f>
        <v/>
      </c>
      <c r="K616" s="45" t="str">
        <f>CONFERENCIAS!R616</f>
        <v/>
      </c>
      <c r="L616" s="45">
        <f>IF(D616="",0,
 IF(E616=1,
   IF(H616="Presencial",
      VLOOKUP(D616,TARIFAS!A:K,3,FALSE) + IF(I616="Sí",VLOOKUP(D616,TARIFAS!A:K,5,FALSE),0),
      VLOOKUP(D616,TARIFAS!A:K,4,FALSE) + IF(I616="Sí",VLOOKUP(D616,TARIFAS!A:K,5,FALSE),0)
   ),
   IF(H616="Presencial",
      VLOOKUP(D616,TARIFAS!A:K,9,FALSE) + IF(I616="Sí",VLOOKUP(D616,TARIFAS!A:K,11,FALSE),0),
      VLOOKUP(D616,TARIFAS!A:K,10,FALSE) + IF(I616="Sí",VLOOKUP(D616,TARIFAS!A:K,11,FALSE),0)
   )
 )
)
</f>
        <v>0</v>
      </c>
      <c r="M616" s="45">
        <f>IF(J616="",0,MAX(0,J616 - TARIFAS!G$2) * TARIFAS!F$2)
</f>
        <v>0</v>
      </c>
      <c r="N616" s="45">
        <f>+L616*TARIFAS!$K$2</f>
        <v>0</v>
      </c>
      <c r="O616" s="45">
        <f t="shared" si="1"/>
        <v>0</v>
      </c>
      <c r="P616" s="45">
        <f>+M616+O616+K616+(+I616-(I616*TARIFAS!$K$2))</f>
        <v>0</v>
      </c>
      <c r="Q616" s="42" t="str">
        <f>CONFERENCIAS!T616</f>
        <v/>
      </c>
      <c r="R616" s="45" t="str">
        <f>CONFERENCIAS!U616</f>
        <v/>
      </c>
      <c r="S616" s="45" t="str">
        <f>CONFERENCIAS!W616</f>
        <v/>
      </c>
      <c r="T616" s="48">
        <f>IF(Q616="",0,
   IF(E616=1,
      IF(H616="Presencial",
         VLOOKUP(D616,TARIFAS!A:K,3,FALSE) + IF(I616="Sí",VLOOKUP(D616,TARIFAS!A:K,5,FALSE),0),
         VLOOKUP(D616,TARIFAS!A:K,4,FALSE) + IF(I616="Sí",VLOOKUP(D616,TARIFAS!A:K,5,FALSE),0)
      ),
      IF(H616="Presencial",
         VLOOKUP(D616,TARIFAS!A:K,9,FALSE) + IF(I616="Sí",VLOOKUP(D616,TARIFAS!A:K,11,FALSE),0),
         VLOOKUP(D616,TARIFAS!A:K,10,FALSE) + IF(I616="Sí",VLOOKUP(D616,TARIFAS!A:K,11,FALSE),0)
      )
   )
)
</f>
        <v>0</v>
      </c>
      <c r="U616" s="45">
        <f>IF(R616="",0,MAX(0,R616 - TARIFAS!G$2) * TARIFAS!F$2)
</f>
        <v>0</v>
      </c>
      <c r="V616" s="45">
        <f>+T616*TARIFAS!$K$2</f>
        <v>0</v>
      </c>
      <c r="W616" s="45">
        <f t="shared" si="2"/>
        <v>0</v>
      </c>
      <c r="X616" s="45">
        <f t="shared" si="3"/>
        <v>0</v>
      </c>
      <c r="Y616" s="45">
        <f t="shared" si="4"/>
        <v>0</v>
      </c>
      <c r="Z616" s="42" t="str">
        <f>CONFERENCIAS!AB616</f>
        <v/>
      </c>
      <c r="AA616" s="42" t="str">
        <f>CONFERENCIAS!AC616</f>
        <v/>
      </c>
      <c r="AB616" s="47" t="str">
        <f t="shared" si="5"/>
        <v/>
      </c>
      <c r="AC616" s="9" t="str">
        <f t="shared" si="6"/>
        <v/>
      </c>
    </row>
    <row r="617">
      <c r="A617" s="42" t="str">
        <f>CONFERENCIAS!A617</f>
        <v/>
      </c>
      <c r="D617" s="42" t="str">
        <f>CONFERENCIAS!C617</f>
        <v/>
      </c>
      <c r="E617" s="42" t="str">
        <f>CONFERENCIAS!K617</f>
        <v/>
      </c>
      <c r="F617" s="49" t="str">
        <f>CONFERENCIAS!J617</f>
        <v/>
      </c>
      <c r="G617" s="42" t="str">
        <f>CONFERENCIAS!O617</f>
        <v/>
      </c>
      <c r="H617" s="42" t="str">
        <f>CONFERENCIAS!X617</f>
        <v/>
      </c>
      <c r="I617" s="42" t="str">
        <f>CONFERENCIAS!AA617</f>
        <v/>
      </c>
      <c r="J617" s="44" t="str">
        <f>CONFERENCIAS!P617</f>
        <v/>
      </c>
      <c r="K617" s="45" t="str">
        <f>CONFERENCIAS!R617</f>
        <v/>
      </c>
      <c r="L617" s="45">
        <f>IF(D617="",0,
 IF(E617=1,
   IF(H617="Presencial",
      VLOOKUP(D617,TARIFAS!A:K,3,FALSE) + IF(I617="Sí",VLOOKUP(D617,TARIFAS!A:K,5,FALSE),0),
      VLOOKUP(D617,TARIFAS!A:K,4,FALSE) + IF(I617="Sí",VLOOKUP(D617,TARIFAS!A:K,5,FALSE),0)
   ),
   IF(H617="Presencial",
      VLOOKUP(D617,TARIFAS!A:K,9,FALSE) + IF(I617="Sí",VLOOKUP(D617,TARIFAS!A:K,11,FALSE),0),
      VLOOKUP(D617,TARIFAS!A:K,10,FALSE) + IF(I617="Sí",VLOOKUP(D617,TARIFAS!A:K,11,FALSE),0)
   )
 )
)
</f>
        <v>0</v>
      </c>
      <c r="M617" s="45">
        <f>IF(J617="",0,MAX(0,J617 - TARIFAS!G$2) * TARIFAS!F$2)
</f>
        <v>0</v>
      </c>
      <c r="N617" s="45">
        <f>+L617*TARIFAS!$K$2</f>
        <v>0</v>
      </c>
      <c r="O617" s="45">
        <f t="shared" si="1"/>
        <v>0</v>
      </c>
      <c r="P617" s="45">
        <f>+M617+O617+K617+(+I617-(I617*TARIFAS!$K$2))</f>
        <v>0</v>
      </c>
      <c r="Q617" s="42" t="str">
        <f>CONFERENCIAS!T617</f>
        <v/>
      </c>
      <c r="R617" s="45" t="str">
        <f>CONFERENCIAS!U617</f>
        <v/>
      </c>
      <c r="S617" s="45" t="str">
        <f>CONFERENCIAS!W617</f>
        <v/>
      </c>
      <c r="T617" s="48">
        <f>IF(Q617="",0,
   IF(E617=1,
      IF(H617="Presencial",
         VLOOKUP(D617,TARIFAS!A:K,3,FALSE) + IF(I617="Sí",VLOOKUP(D617,TARIFAS!A:K,5,FALSE),0),
         VLOOKUP(D617,TARIFAS!A:K,4,FALSE) + IF(I617="Sí",VLOOKUP(D617,TARIFAS!A:K,5,FALSE),0)
      ),
      IF(H617="Presencial",
         VLOOKUP(D617,TARIFAS!A:K,9,FALSE) + IF(I617="Sí",VLOOKUP(D617,TARIFAS!A:K,11,FALSE),0),
         VLOOKUP(D617,TARIFAS!A:K,10,FALSE) + IF(I617="Sí",VLOOKUP(D617,TARIFAS!A:K,11,FALSE),0)
      )
   )
)
</f>
        <v>0</v>
      </c>
      <c r="U617" s="45">
        <f>IF(R617="",0,MAX(0,R617 - TARIFAS!G$2) * TARIFAS!F$2)
</f>
        <v>0</v>
      </c>
      <c r="V617" s="45">
        <f>+T617*TARIFAS!$K$2</f>
        <v>0</v>
      </c>
      <c r="W617" s="45">
        <f t="shared" si="2"/>
        <v>0</v>
      </c>
      <c r="X617" s="45">
        <f t="shared" si="3"/>
        <v>0</v>
      </c>
      <c r="Y617" s="45">
        <f t="shared" si="4"/>
        <v>0</v>
      </c>
      <c r="Z617" s="42" t="str">
        <f>CONFERENCIAS!AB617</f>
        <v/>
      </c>
      <c r="AA617" s="42" t="str">
        <f>CONFERENCIAS!AC617</f>
        <v/>
      </c>
      <c r="AB617" s="47" t="str">
        <f t="shared" si="5"/>
        <v/>
      </c>
      <c r="AC617" s="9" t="str">
        <f t="shared" si="6"/>
        <v/>
      </c>
    </row>
    <row r="618">
      <c r="A618" s="42" t="str">
        <f>CONFERENCIAS!A618</f>
        <v/>
      </c>
      <c r="D618" s="42" t="str">
        <f>CONFERENCIAS!C618</f>
        <v/>
      </c>
      <c r="E618" s="42" t="str">
        <f>CONFERENCIAS!K618</f>
        <v/>
      </c>
      <c r="F618" s="49" t="str">
        <f>CONFERENCIAS!J618</f>
        <v/>
      </c>
      <c r="G618" s="42" t="str">
        <f>CONFERENCIAS!O618</f>
        <v/>
      </c>
      <c r="H618" s="42" t="str">
        <f>CONFERENCIAS!X618</f>
        <v/>
      </c>
      <c r="I618" s="42" t="str">
        <f>CONFERENCIAS!AA618</f>
        <v/>
      </c>
      <c r="J618" s="44" t="str">
        <f>CONFERENCIAS!P618</f>
        <v/>
      </c>
      <c r="K618" s="45" t="str">
        <f>CONFERENCIAS!R618</f>
        <v/>
      </c>
      <c r="L618" s="45">
        <f>IF(D618="",0,
 IF(E618=1,
   IF(H618="Presencial",
      VLOOKUP(D618,TARIFAS!A:K,3,FALSE) + IF(I618="Sí",VLOOKUP(D618,TARIFAS!A:K,5,FALSE),0),
      VLOOKUP(D618,TARIFAS!A:K,4,FALSE) + IF(I618="Sí",VLOOKUP(D618,TARIFAS!A:K,5,FALSE),0)
   ),
   IF(H618="Presencial",
      VLOOKUP(D618,TARIFAS!A:K,9,FALSE) + IF(I618="Sí",VLOOKUP(D618,TARIFAS!A:K,11,FALSE),0),
      VLOOKUP(D618,TARIFAS!A:K,10,FALSE) + IF(I618="Sí",VLOOKUP(D618,TARIFAS!A:K,11,FALSE),0)
   )
 )
)
</f>
        <v>0</v>
      </c>
      <c r="M618" s="45">
        <f>IF(J618="",0,MAX(0,J618 - TARIFAS!G$2) * TARIFAS!F$2)
</f>
        <v>0</v>
      </c>
      <c r="N618" s="45">
        <f>+L618*TARIFAS!$K$2</f>
        <v>0</v>
      </c>
      <c r="O618" s="45">
        <f t="shared" si="1"/>
        <v>0</v>
      </c>
      <c r="P618" s="45">
        <f>+M618+O618+K618+(+I618-(I618*TARIFAS!$K$2))</f>
        <v>0</v>
      </c>
      <c r="Q618" s="42" t="str">
        <f>CONFERENCIAS!T618</f>
        <v/>
      </c>
      <c r="R618" s="45" t="str">
        <f>CONFERENCIAS!U618</f>
        <v/>
      </c>
      <c r="S618" s="45" t="str">
        <f>CONFERENCIAS!W618</f>
        <v/>
      </c>
      <c r="T618" s="48">
        <f>IF(Q618="",0,
   IF(E618=1,
      IF(H618="Presencial",
         VLOOKUP(D618,TARIFAS!A:K,3,FALSE) + IF(I618="Sí",VLOOKUP(D618,TARIFAS!A:K,5,FALSE),0),
         VLOOKUP(D618,TARIFAS!A:K,4,FALSE) + IF(I618="Sí",VLOOKUP(D618,TARIFAS!A:K,5,FALSE),0)
      ),
      IF(H618="Presencial",
         VLOOKUP(D618,TARIFAS!A:K,9,FALSE) + IF(I618="Sí",VLOOKUP(D618,TARIFAS!A:K,11,FALSE),0),
         VLOOKUP(D618,TARIFAS!A:K,10,FALSE) + IF(I618="Sí",VLOOKUP(D618,TARIFAS!A:K,11,FALSE),0)
      )
   )
)
</f>
        <v>0</v>
      </c>
      <c r="U618" s="45">
        <f>IF(R618="",0,MAX(0,R618 - TARIFAS!G$2) * TARIFAS!F$2)
</f>
        <v>0</v>
      </c>
      <c r="V618" s="45">
        <f>+T618*TARIFAS!$K$2</f>
        <v>0</v>
      </c>
      <c r="W618" s="45">
        <f t="shared" si="2"/>
        <v>0</v>
      </c>
      <c r="X618" s="45">
        <f t="shared" si="3"/>
        <v>0</v>
      </c>
      <c r="Y618" s="45">
        <f t="shared" si="4"/>
        <v>0</v>
      </c>
      <c r="Z618" s="42" t="str">
        <f>CONFERENCIAS!AB618</f>
        <v/>
      </c>
      <c r="AA618" s="42" t="str">
        <f>CONFERENCIAS!AC618</f>
        <v/>
      </c>
      <c r="AB618" s="47" t="str">
        <f t="shared" si="5"/>
        <v/>
      </c>
      <c r="AC618" s="9" t="str">
        <f t="shared" si="6"/>
        <v/>
      </c>
    </row>
    <row r="619">
      <c r="A619" s="42" t="str">
        <f>CONFERENCIAS!A619</f>
        <v/>
      </c>
      <c r="D619" s="42" t="str">
        <f>CONFERENCIAS!C619</f>
        <v/>
      </c>
      <c r="E619" s="42" t="str">
        <f>CONFERENCIAS!K619</f>
        <v/>
      </c>
      <c r="F619" s="49" t="str">
        <f>CONFERENCIAS!J619</f>
        <v/>
      </c>
      <c r="G619" s="42" t="str">
        <f>CONFERENCIAS!O619</f>
        <v/>
      </c>
      <c r="H619" s="42" t="str">
        <f>CONFERENCIAS!X619</f>
        <v/>
      </c>
      <c r="I619" s="42" t="str">
        <f>CONFERENCIAS!AA619</f>
        <v/>
      </c>
      <c r="J619" s="44" t="str">
        <f>CONFERENCIAS!P619</f>
        <v/>
      </c>
      <c r="K619" s="45" t="str">
        <f>CONFERENCIAS!R619</f>
        <v/>
      </c>
      <c r="L619" s="45">
        <f>IF(D619="",0,
 IF(E619=1,
   IF(H619="Presencial",
      VLOOKUP(D619,TARIFAS!A:K,3,FALSE) + IF(I619="Sí",VLOOKUP(D619,TARIFAS!A:K,5,FALSE),0),
      VLOOKUP(D619,TARIFAS!A:K,4,FALSE) + IF(I619="Sí",VLOOKUP(D619,TARIFAS!A:K,5,FALSE),0)
   ),
   IF(H619="Presencial",
      VLOOKUP(D619,TARIFAS!A:K,9,FALSE) + IF(I619="Sí",VLOOKUP(D619,TARIFAS!A:K,11,FALSE),0),
      VLOOKUP(D619,TARIFAS!A:K,10,FALSE) + IF(I619="Sí",VLOOKUP(D619,TARIFAS!A:K,11,FALSE),0)
   )
 )
)
</f>
        <v>0</v>
      </c>
      <c r="M619" s="45">
        <f>IF(J619="",0,MAX(0,J619 - TARIFAS!G$2) * TARIFAS!F$2)
</f>
        <v>0</v>
      </c>
      <c r="N619" s="45">
        <f>+L619*TARIFAS!$K$2</f>
        <v>0</v>
      </c>
      <c r="O619" s="45">
        <f t="shared" si="1"/>
        <v>0</v>
      </c>
      <c r="P619" s="45">
        <f>+M619+O619+K619+(+I619-(I619*TARIFAS!$K$2))</f>
        <v>0</v>
      </c>
      <c r="Q619" s="42" t="str">
        <f>CONFERENCIAS!T619</f>
        <v/>
      </c>
      <c r="R619" s="45" t="str">
        <f>CONFERENCIAS!U619</f>
        <v/>
      </c>
      <c r="S619" s="45" t="str">
        <f>CONFERENCIAS!W619</f>
        <v/>
      </c>
      <c r="T619" s="48">
        <f>IF(Q619="",0,
   IF(E619=1,
      IF(H619="Presencial",
         VLOOKUP(D619,TARIFAS!A:K,3,FALSE) + IF(I619="Sí",VLOOKUP(D619,TARIFAS!A:K,5,FALSE),0),
         VLOOKUP(D619,TARIFAS!A:K,4,FALSE) + IF(I619="Sí",VLOOKUP(D619,TARIFAS!A:K,5,FALSE),0)
      ),
      IF(H619="Presencial",
         VLOOKUP(D619,TARIFAS!A:K,9,FALSE) + IF(I619="Sí",VLOOKUP(D619,TARIFAS!A:K,11,FALSE),0),
         VLOOKUP(D619,TARIFAS!A:K,10,FALSE) + IF(I619="Sí",VLOOKUP(D619,TARIFAS!A:K,11,FALSE),0)
      )
   )
)
</f>
        <v>0</v>
      </c>
      <c r="U619" s="45">
        <f>IF(R619="",0,MAX(0,R619 - TARIFAS!G$2) * TARIFAS!F$2)
</f>
        <v>0</v>
      </c>
      <c r="V619" s="45">
        <f>+T619*TARIFAS!$K$2</f>
        <v>0</v>
      </c>
      <c r="W619" s="45">
        <f t="shared" si="2"/>
        <v>0</v>
      </c>
      <c r="X619" s="45">
        <f t="shared" si="3"/>
        <v>0</v>
      </c>
      <c r="Y619" s="45">
        <f t="shared" si="4"/>
        <v>0</v>
      </c>
      <c r="Z619" s="42" t="str">
        <f>CONFERENCIAS!AB619</f>
        <v/>
      </c>
      <c r="AA619" s="42" t="str">
        <f>CONFERENCIAS!AC619</f>
        <v/>
      </c>
      <c r="AB619" s="47" t="str">
        <f t="shared" si="5"/>
        <v/>
      </c>
      <c r="AC619" s="9" t="str">
        <f t="shared" si="6"/>
        <v/>
      </c>
    </row>
    <row r="620">
      <c r="A620" s="42" t="str">
        <f>CONFERENCIAS!A620</f>
        <v/>
      </c>
      <c r="D620" s="42" t="str">
        <f>CONFERENCIAS!C620</f>
        <v/>
      </c>
      <c r="E620" s="42" t="str">
        <f>CONFERENCIAS!K620</f>
        <v/>
      </c>
      <c r="F620" s="49" t="str">
        <f>CONFERENCIAS!J620</f>
        <v/>
      </c>
      <c r="G620" s="42" t="str">
        <f>CONFERENCIAS!O620</f>
        <v/>
      </c>
      <c r="H620" s="42" t="str">
        <f>CONFERENCIAS!X620</f>
        <v/>
      </c>
      <c r="I620" s="42" t="str">
        <f>CONFERENCIAS!AA620</f>
        <v/>
      </c>
      <c r="J620" s="44" t="str">
        <f>CONFERENCIAS!P620</f>
        <v/>
      </c>
      <c r="K620" s="45" t="str">
        <f>CONFERENCIAS!R620</f>
        <v/>
      </c>
      <c r="L620" s="45">
        <f>IF(D620="",0,
 IF(E620=1,
   IF(H620="Presencial",
      VLOOKUP(D620,TARIFAS!A:K,3,FALSE) + IF(I620="Sí",VLOOKUP(D620,TARIFAS!A:K,5,FALSE),0),
      VLOOKUP(D620,TARIFAS!A:K,4,FALSE) + IF(I620="Sí",VLOOKUP(D620,TARIFAS!A:K,5,FALSE),0)
   ),
   IF(H620="Presencial",
      VLOOKUP(D620,TARIFAS!A:K,9,FALSE) + IF(I620="Sí",VLOOKUP(D620,TARIFAS!A:K,11,FALSE),0),
      VLOOKUP(D620,TARIFAS!A:K,10,FALSE) + IF(I620="Sí",VLOOKUP(D620,TARIFAS!A:K,11,FALSE),0)
   )
 )
)
</f>
        <v>0</v>
      </c>
      <c r="M620" s="45">
        <f>IF(J620="",0,MAX(0,J620 - TARIFAS!G$2) * TARIFAS!F$2)
</f>
        <v>0</v>
      </c>
      <c r="N620" s="45">
        <f>+L620*TARIFAS!$K$2</f>
        <v>0</v>
      </c>
      <c r="O620" s="45">
        <f t="shared" si="1"/>
        <v>0</v>
      </c>
      <c r="P620" s="45">
        <f>+M620+O620+K620+(+I620-(I620*TARIFAS!$K$2))</f>
        <v>0</v>
      </c>
      <c r="Q620" s="42" t="str">
        <f>CONFERENCIAS!T620</f>
        <v/>
      </c>
      <c r="R620" s="45" t="str">
        <f>CONFERENCIAS!U620</f>
        <v/>
      </c>
      <c r="S620" s="45" t="str">
        <f>CONFERENCIAS!W620</f>
        <v/>
      </c>
      <c r="T620" s="48">
        <f>IF(Q620="",0,
   IF(E620=1,
      IF(H620="Presencial",
         VLOOKUP(D620,TARIFAS!A:K,3,FALSE) + IF(I620="Sí",VLOOKUP(D620,TARIFAS!A:K,5,FALSE),0),
         VLOOKUP(D620,TARIFAS!A:K,4,FALSE) + IF(I620="Sí",VLOOKUP(D620,TARIFAS!A:K,5,FALSE),0)
      ),
      IF(H620="Presencial",
         VLOOKUP(D620,TARIFAS!A:K,9,FALSE) + IF(I620="Sí",VLOOKUP(D620,TARIFAS!A:K,11,FALSE),0),
         VLOOKUP(D620,TARIFAS!A:K,10,FALSE) + IF(I620="Sí",VLOOKUP(D620,TARIFAS!A:K,11,FALSE),0)
      )
   )
)
</f>
        <v>0</v>
      </c>
      <c r="U620" s="45">
        <f>IF(R620="",0,MAX(0,R620 - TARIFAS!G$2) * TARIFAS!F$2)
</f>
        <v>0</v>
      </c>
      <c r="V620" s="45">
        <f>+T620*TARIFAS!$K$2</f>
        <v>0</v>
      </c>
      <c r="W620" s="45">
        <f t="shared" si="2"/>
        <v>0</v>
      </c>
      <c r="X620" s="45">
        <f t="shared" si="3"/>
        <v>0</v>
      </c>
      <c r="Y620" s="45">
        <f t="shared" si="4"/>
        <v>0</v>
      </c>
      <c r="Z620" s="42" t="str">
        <f>CONFERENCIAS!AB620</f>
        <v/>
      </c>
      <c r="AA620" s="42" t="str">
        <f>CONFERENCIAS!AC620</f>
        <v/>
      </c>
      <c r="AB620" s="47" t="str">
        <f t="shared" si="5"/>
        <v/>
      </c>
      <c r="AC620" s="9" t="str">
        <f t="shared" si="6"/>
        <v/>
      </c>
    </row>
    <row r="621">
      <c r="A621" s="42" t="str">
        <f>CONFERENCIAS!A621</f>
        <v/>
      </c>
      <c r="D621" s="42" t="str">
        <f>CONFERENCIAS!C621</f>
        <v/>
      </c>
      <c r="E621" s="42" t="str">
        <f>CONFERENCIAS!K621</f>
        <v/>
      </c>
      <c r="F621" s="49" t="str">
        <f>CONFERENCIAS!J621</f>
        <v/>
      </c>
      <c r="G621" s="42" t="str">
        <f>CONFERENCIAS!O621</f>
        <v/>
      </c>
      <c r="H621" s="42" t="str">
        <f>CONFERENCIAS!X621</f>
        <v/>
      </c>
      <c r="I621" s="42" t="str">
        <f>CONFERENCIAS!AA621</f>
        <v/>
      </c>
      <c r="J621" s="44" t="str">
        <f>CONFERENCIAS!P621</f>
        <v/>
      </c>
      <c r="K621" s="45" t="str">
        <f>CONFERENCIAS!R621</f>
        <v/>
      </c>
      <c r="L621" s="45">
        <f>IF(D621="",0,
 IF(E621=1,
   IF(H621="Presencial",
      VLOOKUP(D621,TARIFAS!A:K,3,FALSE) + IF(I621="Sí",VLOOKUP(D621,TARIFAS!A:K,5,FALSE),0),
      VLOOKUP(D621,TARIFAS!A:K,4,FALSE) + IF(I621="Sí",VLOOKUP(D621,TARIFAS!A:K,5,FALSE),0)
   ),
   IF(H621="Presencial",
      VLOOKUP(D621,TARIFAS!A:K,9,FALSE) + IF(I621="Sí",VLOOKUP(D621,TARIFAS!A:K,11,FALSE),0),
      VLOOKUP(D621,TARIFAS!A:K,10,FALSE) + IF(I621="Sí",VLOOKUP(D621,TARIFAS!A:K,11,FALSE),0)
   )
 )
)
</f>
        <v>0</v>
      </c>
      <c r="M621" s="45">
        <f>IF(J621="",0,MAX(0,J621 - TARIFAS!G$2) * TARIFAS!F$2)
</f>
        <v>0</v>
      </c>
      <c r="N621" s="45">
        <f>+L621*TARIFAS!$K$2</f>
        <v>0</v>
      </c>
      <c r="O621" s="45">
        <f t="shared" si="1"/>
        <v>0</v>
      </c>
      <c r="P621" s="45">
        <f>+M621+O621+K621+(+I621-(I621*TARIFAS!$K$2))</f>
        <v>0</v>
      </c>
      <c r="Q621" s="42" t="str">
        <f>CONFERENCIAS!T621</f>
        <v/>
      </c>
      <c r="R621" s="45" t="str">
        <f>CONFERENCIAS!U621</f>
        <v/>
      </c>
      <c r="S621" s="45" t="str">
        <f>CONFERENCIAS!W621</f>
        <v/>
      </c>
      <c r="T621" s="48">
        <f>IF(Q621="",0,
   IF(E621=1,
      IF(H621="Presencial",
         VLOOKUP(D621,TARIFAS!A:K,3,FALSE) + IF(I621="Sí",VLOOKUP(D621,TARIFAS!A:K,5,FALSE),0),
         VLOOKUP(D621,TARIFAS!A:K,4,FALSE) + IF(I621="Sí",VLOOKUP(D621,TARIFAS!A:K,5,FALSE),0)
      ),
      IF(H621="Presencial",
         VLOOKUP(D621,TARIFAS!A:K,9,FALSE) + IF(I621="Sí",VLOOKUP(D621,TARIFAS!A:K,11,FALSE),0),
         VLOOKUP(D621,TARIFAS!A:K,10,FALSE) + IF(I621="Sí",VLOOKUP(D621,TARIFAS!A:K,11,FALSE),0)
      )
   )
)
</f>
        <v>0</v>
      </c>
      <c r="U621" s="45">
        <f>IF(R621="",0,MAX(0,R621 - TARIFAS!G$2) * TARIFAS!F$2)
</f>
        <v>0</v>
      </c>
      <c r="V621" s="45">
        <f>+T621*TARIFAS!$K$2</f>
        <v>0</v>
      </c>
      <c r="W621" s="45">
        <f t="shared" si="2"/>
        <v>0</v>
      </c>
      <c r="X621" s="45">
        <f t="shared" si="3"/>
        <v>0</v>
      </c>
      <c r="Y621" s="45">
        <f t="shared" si="4"/>
        <v>0</v>
      </c>
      <c r="Z621" s="42" t="str">
        <f>CONFERENCIAS!AB621</f>
        <v/>
      </c>
      <c r="AA621" s="42" t="str">
        <f>CONFERENCIAS!AC621</f>
        <v/>
      </c>
      <c r="AB621" s="47" t="str">
        <f t="shared" si="5"/>
        <v/>
      </c>
      <c r="AC621" s="9" t="str">
        <f t="shared" si="6"/>
        <v/>
      </c>
    </row>
    <row r="622">
      <c r="A622" s="42" t="str">
        <f>CONFERENCIAS!A622</f>
        <v/>
      </c>
      <c r="D622" s="42" t="str">
        <f>CONFERENCIAS!C622</f>
        <v/>
      </c>
      <c r="E622" s="42" t="str">
        <f>CONFERENCIAS!K622</f>
        <v/>
      </c>
      <c r="F622" s="49" t="str">
        <f>CONFERENCIAS!J622</f>
        <v/>
      </c>
      <c r="G622" s="42" t="str">
        <f>CONFERENCIAS!O622</f>
        <v/>
      </c>
      <c r="H622" s="42" t="str">
        <f>CONFERENCIAS!X622</f>
        <v/>
      </c>
      <c r="I622" s="42" t="str">
        <f>CONFERENCIAS!AA622</f>
        <v/>
      </c>
      <c r="J622" s="44" t="str">
        <f>CONFERENCIAS!P622</f>
        <v/>
      </c>
      <c r="K622" s="45" t="str">
        <f>CONFERENCIAS!R622</f>
        <v/>
      </c>
      <c r="L622" s="45">
        <f>IF(D622="",0,
 IF(E622=1,
   IF(H622="Presencial",
      VLOOKUP(D622,TARIFAS!A:K,3,FALSE) + IF(I622="Sí",VLOOKUP(D622,TARIFAS!A:K,5,FALSE),0),
      VLOOKUP(D622,TARIFAS!A:K,4,FALSE) + IF(I622="Sí",VLOOKUP(D622,TARIFAS!A:K,5,FALSE),0)
   ),
   IF(H622="Presencial",
      VLOOKUP(D622,TARIFAS!A:K,9,FALSE) + IF(I622="Sí",VLOOKUP(D622,TARIFAS!A:K,11,FALSE),0),
      VLOOKUP(D622,TARIFAS!A:K,10,FALSE) + IF(I622="Sí",VLOOKUP(D622,TARIFAS!A:K,11,FALSE),0)
   )
 )
)
</f>
        <v>0</v>
      </c>
      <c r="M622" s="45">
        <f>IF(J622="",0,MAX(0,J622 - TARIFAS!G$2) * TARIFAS!F$2)
</f>
        <v>0</v>
      </c>
      <c r="N622" s="45">
        <f>+L622*TARIFAS!$K$2</f>
        <v>0</v>
      </c>
      <c r="O622" s="45">
        <f t="shared" si="1"/>
        <v>0</v>
      </c>
      <c r="P622" s="45">
        <f>+M622+O622+K622+(+I622-(I622*TARIFAS!$K$2))</f>
        <v>0</v>
      </c>
      <c r="Q622" s="42" t="str">
        <f>CONFERENCIAS!T622</f>
        <v/>
      </c>
      <c r="R622" s="45" t="str">
        <f>CONFERENCIAS!U622</f>
        <v/>
      </c>
      <c r="S622" s="45" t="str">
        <f>CONFERENCIAS!W622</f>
        <v/>
      </c>
      <c r="T622" s="48">
        <f>IF(Q622="",0,
   IF(E622=1,
      IF(H622="Presencial",
         VLOOKUP(D622,TARIFAS!A:K,3,FALSE) + IF(I622="Sí",VLOOKUP(D622,TARIFAS!A:K,5,FALSE),0),
         VLOOKUP(D622,TARIFAS!A:K,4,FALSE) + IF(I622="Sí",VLOOKUP(D622,TARIFAS!A:K,5,FALSE),0)
      ),
      IF(H622="Presencial",
         VLOOKUP(D622,TARIFAS!A:K,9,FALSE) + IF(I622="Sí",VLOOKUP(D622,TARIFAS!A:K,11,FALSE),0),
         VLOOKUP(D622,TARIFAS!A:K,10,FALSE) + IF(I622="Sí",VLOOKUP(D622,TARIFAS!A:K,11,FALSE),0)
      )
   )
)
</f>
        <v>0</v>
      </c>
      <c r="U622" s="45">
        <f>IF(R622="",0,MAX(0,R622 - TARIFAS!G$2) * TARIFAS!F$2)
</f>
        <v>0</v>
      </c>
      <c r="V622" s="45">
        <f>+T622*TARIFAS!$K$2</f>
        <v>0</v>
      </c>
      <c r="W622" s="45">
        <f t="shared" si="2"/>
        <v>0</v>
      </c>
      <c r="X622" s="45">
        <f t="shared" si="3"/>
        <v>0</v>
      </c>
      <c r="Y622" s="45">
        <f t="shared" si="4"/>
        <v>0</v>
      </c>
      <c r="Z622" s="42" t="str">
        <f>CONFERENCIAS!AB622</f>
        <v/>
      </c>
      <c r="AA622" s="42" t="str">
        <f>CONFERENCIAS!AC622</f>
        <v/>
      </c>
      <c r="AB622" s="47" t="str">
        <f t="shared" si="5"/>
        <v/>
      </c>
      <c r="AC622" s="9" t="str">
        <f t="shared" si="6"/>
        <v/>
      </c>
    </row>
    <row r="623">
      <c r="A623" s="42" t="str">
        <f>CONFERENCIAS!A623</f>
        <v/>
      </c>
      <c r="D623" s="42" t="str">
        <f>CONFERENCIAS!C623</f>
        <v/>
      </c>
      <c r="E623" s="42" t="str">
        <f>CONFERENCIAS!K623</f>
        <v/>
      </c>
      <c r="F623" s="49" t="str">
        <f>CONFERENCIAS!J623</f>
        <v/>
      </c>
      <c r="G623" s="42" t="str">
        <f>CONFERENCIAS!O623</f>
        <v/>
      </c>
      <c r="H623" s="42" t="str">
        <f>CONFERENCIAS!X623</f>
        <v/>
      </c>
      <c r="I623" s="42" t="str">
        <f>CONFERENCIAS!AA623</f>
        <v/>
      </c>
      <c r="J623" s="44" t="str">
        <f>CONFERENCIAS!P623</f>
        <v/>
      </c>
      <c r="K623" s="45" t="str">
        <f>CONFERENCIAS!R623</f>
        <v/>
      </c>
      <c r="L623" s="45">
        <f>IF(D623="",0,
 IF(E623=1,
   IF(H623="Presencial",
      VLOOKUP(D623,TARIFAS!A:K,3,FALSE) + IF(I623="Sí",VLOOKUP(D623,TARIFAS!A:K,5,FALSE),0),
      VLOOKUP(D623,TARIFAS!A:K,4,FALSE) + IF(I623="Sí",VLOOKUP(D623,TARIFAS!A:K,5,FALSE),0)
   ),
   IF(H623="Presencial",
      VLOOKUP(D623,TARIFAS!A:K,9,FALSE) + IF(I623="Sí",VLOOKUP(D623,TARIFAS!A:K,11,FALSE),0),
      VLOOKUP(D623,TARIFAS!A:K,10,FALSE) + IF(I623="Sí",VLOOKUP(D623,TARIFAS!A:K,11,FALSE),0)
   )
 )
)
</f>
        <v>0</v>
      </c>
      <c r="M623" s="45">
        <f>IF(J623="",0,MAX(0,J623 - TARIFAS!G$2) * TARIFAS!F$2)
</f>
        <v>0</v>
      </c>
      <c r="N623" s="45">
        <f>+L623*TARIFAS!$K$2</f>
        <v>0</v>
      </c>
      <c r="O623" s="45">
        <f t="shared" si="1"/>
        <v>0</v>
      </c>
      <c r="P623" s="45">
        <f>+M623+O623+K623+(+I623-(I623*TARIFAS!$K$2))</f>
        <v>0</v>
      </c>
      <c r="Q623" s="42" t="str">
        <f>CONFERENCIAS!T623</f>
        <v/>
      </c>
      <c r="R623" s="45" t="str">
        <f>CONFERENCIAS!U623</f>
        <v/>
      </c>
      <c r="S623" s="45" t="str">
        <f>CONFERENCIAS!W623</f>
        <v/>
      </c>
      <c r="T623" s="48">
        <f>IF(Q623="",0,
   IF(E623=1,
      IF(H623="Presencial",
         VLOOKUP(D623,TARIFAS!A:K,3,FALSE) + IF(I623="Sí",VLOOKUP(D623,TARIFAS!A:K,5,FALSE),0),
         VLOOKUP(D623,TARIFAS!A:K,4,FALSE) + IF(I623="Sí",VLOOKUP(D623,TARIFAS!A:K,5,FALSE),0)
      ),
      IF(H623="Presencial",
         VLOOKUP(D623,TARIFAS!A:K,9,FALSE) + IF(I623="Sí",VLOOKUP(D623,TARIFAS!A:K,11,FALSE),0),
         VLOOKUP(D623,TARIFAS!A:K,10,FALSE) + IF(I623="Sí",VLOOKUP(D623,TARIFAS!A:K,11,FALSE),0)
      )
   )
)
</f>
        <v>0</v>
      </c>
      <c r="U623" s="45">
        <f>IF(R623="",0,MAX(0,R623 - TARIFAS!G$2) * TARIFAS!F$2)
</f>
        <v>0</v>
      </c>
      <c r="V623" s="45">
        <f>+T623*TARIFAS!$K$2</f>
        <v>0</v>
      </c>
      <c r="W623" s="45">
        <f t="shared" si="2"/>
        <v>0</v>
      </c>
      <c r="X623" s="45">
        <f t="shared" si="3"/>
        <v>0</v>
      </c>
      <c r="Y623" s="45">
        <f t="shared" si="4"/>
        <v>0</v>
      </c>
      <c r="Z623" s="42" t="str">
        <f>CONFERENCIAS!AB623</f>
        <v/>
      </c>
      <c r="AA623" s="42" t="str">
        <f>CONFERENCIAS!AC623</f>
        <v/>
      </c>
      <c r="AB623" s="47" t="str">
        <f t="shared" si="5"/>
        <v/>
      </c>
      <c r="AC623" s="9" t="str">
        <f t="shared" si="6"/>
        <v/>
      </c>
    </row>
    <row r="624">
      <c r="A624" s="42" t="str">
        <f>CONFERENCIAS!A624</f>
        <v/>
      </c>
      <c r="D624" s="42" t="str">
        <f>CONFERENCIAS!C624</f>
        <v/>
      </c>
      <c r="E624" s="42" t="str">
        <f>CONFERENCIAS!K624</f>
        <v/>
      </c>
      <c r="F624" s="49" t="str">
        <f>CONFERENCIAS!J624</f>
        <v/>
      </c>
      <c r="G624" s="42" t="str">
        <f>CONFERENCIAS!O624</f>
        <v/>
      </c>
      <c r="H624" s="42" t="str">
        <f>CONFERENCIAS!X624</f>
        <v/>
      </c>
      <c r="I624" s="42" t="str">
        <f>CONFERENCIAS!AA624</f>
        <v/>
      </c>
      <c r="J624" s="44" t="str">
        <f>CONFERENCIAS!P624</f>
        <v/>
      </c>
      <c r="K624" s="45" t="str">
        <f>CONFERENCIAS!R624</f>
        <v/>
      </c>
      <c r="L624" s="45">
        <f>IF(D624="",0,
 IF(E624=1,
   IF(H624="Presencial",
      VLOOKUP(D624,TARIFAS!A:K,3,FALSE) + IF(I624="Sí",VLOOKUP(D624,TARIFAS!A:K,5,FALSE),0),
      VLOOKUP(D624,TARIFAS!A:K,4,FALSE) + IF(I624="Sí",VLOOKUP(D624,TARIFAS!A:K,5,FALSE),0)
   ),
   IF(H624="Presencial",
      VLOOKUP(D624,TARIFAS!A:K,9,FALSE) + IF(I624="Sí",VLOOKUP(D624,TARIFAS!A:K,11,FALSE),0),
      VLOOKUP(D624,TARIFAS!A:K,10,FALSE) + IF(I624="Sí",VLOOKUP(D624,TARIFAS!A:K,11,FALSE),0)
   )
 )
)
</f>
        <v>0</v>
      </c>
      <c r="M624" s="45">
        <f>IF(J624="",0,MAX(0,J624 - TARIFAS!G$2) * TARIFAS!F$2)
</f>
        <v>0</v>
      </c>
      <c r="N624" s="45">
        <f>+L624*TARIFAS!$K$2</f>
        <v>0</v>
      </c>
      <c r="O624" s="45">
        <f t="shared" si="1"/>
        <v>0</v>
      </c>
      <c r="P624" s="45">
        <f>+M624+O624+K624+(+I624-(I624*TARIFAS!$K$2))</f>
        <v>0</v>
      </c>
      <c r="Q624" s="42" t="str">
        <f>CONFERENCIAS!T624</f>
        <v/>
      </c>
      <c r="R624" s="45" t="str">
        <f>CONFERENCIAS!U624</f>
        <v/>
      </c>
      <c r="S624" s="45" t="str">
        <f>CONFERENCIAS!W624</f>
        <v/>
      </c>
      <c r="T624" s="48">
        <f>IF(Q624="",0,
   IF(E624=1,
      IF(H624="Presencial",
         VLOOKUP(D624,TARIFAS!A:K,3,FALSE) + IF(I624="Sí",VLOOKUP(D624,TARIFAS!A:K,5,FALSE),0),
         VLOOKUP(D624,TARIFAS!A:K,4,FALSE) + IF(I624="Sí",VLOOKUP(D624,TARIFAS!A:K,5,FALSE),0)
      ),
      IF(H624="Presencial",
         VLOOKUP(D624,TARIFAS!A:K,9,FALSE) + IF(I624="Sí",VLOOKUP(D624,TARIFAS!A:K,11,FALSE),0),
         VLOOKUP(D624,TARIFAS!A:K,10,FALSE) + IF(I624="Sí",VLOOKUP(D624,TARIFAS!A:K,11,FALSE),0)
      )
   )
)
</f>
        <v>0</v>
      </c>
      <c r="U624" s="45">
        <f>IF(R624="",0,MAX(0,R624 - TARIFAS!G$2) * TARIFAS!F$2)
</f>
        <v>0</v>
      </c>
      <c r="V624" s="45">
        <f>+T624*TARIFAS!$K$2</f>
        <v>0</v>
      </c>
      <c r="W624" s="45">
        <f t="shared" si="2"/>
        <v>0</v>
      </c>
      <c r="X624" s="45">
        <f t="shared" si="3"/>
        <v>0</v>
      </c>
      <c r="Y624" s="45">
        <f t="shared" si="4"/>
        <v>0</v>
      </c>
      <c r="Z624" s="42" t="str">
        <f>CONFERENCIAS!AB624</f>
        <v/>
      </c>
      <c r="AA624" s="42" t="str">
        <f>CONFERENCIAS!AC624</f>
        <v/>
      </c>
      <c r="AB624" s="47" t="str">
        <f t="shared" si="5"/>
        <v/>
      </c>
      <c r="AC624" s="9" t="str">
        <f t="shared" si="6"/>
        <v/>
      </c>
    </row>
    <row r="625">
      <c r="A625" s="42" t="str">
        <f>CONFERENCIAS!A625</f>
        <v/>
      </c>
      <c r="D625" s="42" t="str">
        <f>CONFERENCIAS!C625</f>
        <v/>
      </c>
      <c r="E625" s="42" t="str">
        <f>CONFERENCIAS!K625</f>
        <v/>
      </c>
      <c r="F625" s="49" t="str">
        <f>CONFERENCIAS!J625</f>
        <v/>
      </c>
      <c r="G625" s="42" t="str">
        <f>CONFERENCIAS!O625</f>
        <v/>
      </c>
      <c r="H625" s="42" t="str">
        <f>CONFERENCIAS!X625</f>
        <v/>
      </c>
      <c r="I625" s="42" t="str">
        <f>CONFERENCIAS!AA625</f>
        <v/>
      </c>
      <c r="J625" s="44" t="str">
        <f>CONFERENCIAS!P625</f>
        <v/>
      </c>
      <c r="K625" s="45" t="str">
        <f>CONFERENCIAS!R625</f>
        <v/>
      </c>
      <c r="L625" s="45">
        <f>IF(D625="",0,
 IF(E625=1,
   IF(H625="Presencial",
      VLOOKUP(D625,TARIFAS!A:K,3,FALSE) + IF(I625="Sí",VLOOKUP(D625,TARIFAS!A:K,5,FALSE),0),
      VLOOKUP(D625,TARIFAS!A:K,4,FALSE) + IF(I625="Sí",VLOOKUP(D625,TARIFAS!A:K,5,FALSE),0)
   ),
   IF(H625="Presencial",
      VLOOKUP(D625,TARIFAS!A:K,9,FALSE) + IF(I625="Sí",VLOOKUP(D625,TARIFAS!A:K,11,FALSE),0),
      VLOOKUP(D625,TARIFAS!A:K,10,FALSE) + IF(I625="Sí",VLOOKUP(D625,TARIFAS!A:K,11,FALSE),0)
   )
 )
)
</f>
        <v>0</v>
      </c>
      <c r="M625" s="45">
        <f>IF(J625="",0,MAX(0,J625 - TARIFAS!G$2) * TARIFAS!F$2)
</f>
        <v>0</v>
      </c>
      <c r="N625" s="45">
        <f>+L625*TARIFAS!$K$2</f>
        <v>0</v>
      </c>
      <c r="O625" s="45">
        <f t="shared" si="1"/>
        <v>0</v>
      </c>
      <c r="P625" s="45">
        <f>+M625+O625+K625+(+I625-(I625*TARIFAS!$K$2))</f>
        <v>0</v>
      </c>
      <c r="Q625" s="42" t="str">
        <f>CONFERENCIAS!T625</f>
        <v/>
      </c>
      <c r="R625" s="45" t="str">
        <f>CONFERENCIAS!U625</f>
        <v/>
      </c>
      <c r="S625" s="45" t="str">
        <f>CONFERENCIAS!W625</f>
        <v/>
      </c>
      <c r="T625" s="48">
        <f>IF(Q625="",0,
   IF(E625=1,
      IF(H625="Presencial",
         VLOOKUP(D625,TARIFAS!A:K,3,FALSE) + IF(I625="Sí",VLOOKUP(D625,TARIFAS!A:K,5,FALSE),0),
         VLOOKUP(D625,TARIFAS!A:K,4,FALSE) + IF(I625="Sí",VLOOKUP(D625,TARIFAS!A:K,5,FALSE),0)
      ),
      IF(H625="Presencial",
         VLOOKUP(D625,TARIFAS!A:K,9,FALSE) + IF(I625="Sí",VLOOKUP(D625,TARIFAS!A:K,11,FALSE),0),
         VLOOKUP(D625,TARIFAS!A:K,10,FALSE) + IF(I625="Sí",VLOOKUP(D625,TARIFAS!A:K,11,FALSE),0)
      )
   )
)
</f>
        <v>0</v>
      </c>
      <c r="U625" s="45">
        <f>IF(R625="",0,MAX(0,R625 - TARIFAS!G$2) * TARIFAS!F$2)
</f>
        <v>0</v>
      </c>
      <c r="V625" s="45">
        <f>+T625*TARIFAS!$K$2</f>
        <v>0</v>
      </c>
      <c r="W625" s="45">
        <f t="shared" si="2"/>
        <v>0</v>
      </c>
      <c r="X625" s="45">
        <f t="shared" si="3"/>
        <v>0</v>
      </c>
      <c r="Y625" s="45">
        <f t="shared" si="4"/>
        <v>0</v>
      </c>
      <c r="Z625" s="42" t="str">
        <f>CONFERENCIAS!AB625</f>
        <v/>
      </c>
      <c r="AA625" s="42" t="str">
        <f>CONFERENCIAS!AC625</f>
        <v/>
      </c>
      <c r="AB625" s="47" t="str">
        <f t="shared" si="5"/>
        <v/>
      </c>
      <c r="AC625" s="9" t="str">
        <f t="shared" si="6"/>
        <v/>
      </c>
    </row>
    <row r="626">
      <c r="A626" s="42" t="str">
        <f>CONFERENCIAS!A626</f>
        <v/>
      </c>
      <c r="D626" s="42" t="str">
        <f>CONFERENCIAS!C626</f>
        <v/>
      </c>
      <c r="E626" s="42" t="str">
        <f>CONFERENCIAS!K626</f>
        <v/>
      </c>
      <c r="F626" s="49" t="str">
        <f>CONFERENCIAS!J626</f>
        <v/>
      </c>
      <c r="G626" s="42" t="str">
        <f>CONFERENCIAS!O626</f>
        <v/>
      </c>
      <c r="H626" s="42" t="str">
        <f>CONFERENCIAS!X626</f>
        <v/>
      </c>
      <c r="I626" s="42" t="str">
        <f>CONFERENCIAS!AA626</f>
        <v/>
      </c>
      <c r="J626" s="44" t="str">
        <f>CONFERENCIAS!P626</f>
        <v/>
      </c>
      <c r="K626" s="45" t="str">
        <f>CONFERENCIAS!R626</f>
        <v/>
      </c>
      <c r="L626" s="45">
        <f>IF(D626="",0,
 IF(E626=1,
   IF(H626="Presencial",
      VLOOKUP(D626,TARIFAS!A:K,3,FALSE) + IF(I626="Sí",VLOOKUP(D626,TARIFAS!A:K,5,FALSE),0),
      VLOOKUP(D626,TARIFAS!A:K,4,FALSE) + IF(I626="Sí",VLOOKUP(D626,TARIFAS!A:K,5,FALSE),0)
   ),
   IF(H626="Presencial",
      VLOOKUP(D626,TARIFAS!A:K,9,FALSE) + IF(I626="Sí",VLOOKUP(D626,TARIFAS!A:K,11,FALSE),0),
      VLOOKUP(D626,TARIFAS!A:K,10,FALSE) + IF(I626="Sí",VLOOKUP(D626,TARIFAS!A:K,11,FALSE),0)
   )
 )
)
</f>
        <v>0</v>
      </c>
      <c r="M626" s="45">
        <f>IF(J626="",0,MAX(0,J626 - TARIFAS!G$2) * TARIFAS!F$2)
</f>
        <v>0</v>
      </c>
      <c r="N626" s="45">
        <f>+L626*TARIFAS!$K$2</f>
        <v>0</v>
      </c>
      <c r="O626" s="45">
        <f t="shared" si="1"/>
        <v>0</v>
      </c>
      <c r="P626" s="45">
        <f>+M626+O626+K626+(+I626-(I626*TARIFAS!$K$2))</f>
        <v>0</v>
      </c>
      <c r="Q626" s="42" t="str">
        <f>CONFERENCIAS!T626</f>
        <v/>
      </c>
      <c r="R626" s="45" t="str">
        <f>CONFERENCIAS!U626</f>
        <v/>
      </c>
      <c r="S626" s="45" t="str">
        <f>CONFERENCIAS!W626</f>
        <v/>
      </c>
      <c r="T626" s="48">
        <f>IF(Q626="",0,
   IF(E626=1,
      IF(H626="Presencial",
         VLOOKUP(D626,TARIFAS!A:K,3,FALSE) + IF(I626="Sí",VLOOKUP(D626,TARIFAS!A:K,5,FALSE),0),
         VLOOKUP(D626,TARIFAS!A:K,4,FALSE) + IF(I626="Sí",VLOOKUP(D626,TARIFAS!A:K,5,FALSE),0)
      ),
      IF(H626="Presencial",
         VLOOKUP(D626,TARIFAS!A:K,9,FALSE) + IF(I626="Sí",VLOOKUP(D626,TARIFAS!A:K,11,FALSE),0),
         VLOOKUP(D626,TARIFAS!A:K,10,FALSE) + IF(I626="Sí",VLOOKUP(D626,TARIFAS!A:K,11,FALSE),0)
      )
   )
)
</f>
        <v>0</v>
      </c>
      <c r="U626" s="45">
        <f>IF(R626="",0,MAX(0,R626 - TARIFAS!G$2) * TARIFAS!F$2)
</f>
        <v>0</v>
      </c>
      <c r="V626" s="45">
        <f>+T626*TARIFAS!$K$2</f>
        <v>0</v>
      </c>
      <c r="W626" s="45">
        <f t="shared" si="2"/>
        <v>0</v>
      </c>
      <c r="X626" s="45">
        <f t="shared" si="3"/>
        <v>0</v>
      </c>
      <c r="Y626" s="45">
        <f t="shared" si="4"/>
        <v>0</v>
      </c>
      <c r="Z626" s="42" t="str">
        <f>CONFERENCIAS!AB626</f>
        <v/>
      </c>
      <c r="AA626" s="42" t="str">
        <f>CONFERENCIAS!AC626</f>
        <v/>
      </c>
      <c r="AB626" s="47" t="str">
        <f t="shared" si="5"/>
        <v/>
      </c>
      <c r="AC626" s="9" t="str">
        <f t="shared" si="6"/>
        <v/>
      </c>
    </row>
    <row r="627">
      <c r="A627" s="42" t="str">
        <f>CONFERENCIAS!A627</f>
        <v/>
      </c>
      <c r="D627" s="42" t="str">
        <f>CONFERENCIAS!C627</f>
        <v/>
      </c>
      <c r="E627" s="42" t="str">
        <f>CONFERENCIAS!K627</f>
        <v/>
      </c>
      <c r="F627" s="49" t="str">
        <f>CONFERENCIAS!J627</f>
        <v/>
      </c>
      <c r="G627" s="42" t="str">
        <f>CONFERENCIAS!O627</f>
        <v/>
      </c>
      <c r="H627" s="42" t="str">
        <f>CONFERENCIAS!X627</f>
        <v/>
      </c>
      <c r="I627" s="42" t="str">
        <f>CONFERENCIAS!AA627</f>
        <v/>
      </c>
      <c r="J627" s="44" t="str">
        <f>CONFERENCIAS!P627</f>
        <v/>
      </c>
      <c r="K627" s="45" t="str">
        <f>CONFERENCIAS!R627</f>
        <v/>
      </c>
      <c r="L627" s="45">
        <f>IF(D627="",0,
 IF(E627=1,
   IF(H627="Presencial",
      VLOOKUP(D627,TARIFAS!A:K,3,FALSE) + IF(I627="Sí",VLOOKUP(D627,TARIFAS!A:K,5,FALSE),0),
      VLOOKUP(D627,TARIFAS!A:K,4,FALSE) + IF(I627="Sí",VLOOKUP(D627,TARIFAS!A:K,5,FALSE),0)
   ),
   IF(H627="Presencial",
      VLOOKUP(D627,TARIFAS!A:K,9,FALSE) + IF(I627="Sí",VLOOKUP(D627,TARIFAS!A:K,11,FALSE),0),
      VLOOKUP(D627,TARIFAS!A:K,10,FALSE) + IF(I627="Sí",VLOOKUP(D627,TARIFAS!A:K,11,FALSE),0)
   )
 )
)
</f>
        <v>0</v>
      </c>
      <c r="M627" s="45">
        <f>IF(J627="",0,MAX(0,J627 - TARIFAS!G$2) * TARIFAS!F$2)
</f>
        <v>0</v>
      </c>
      <c r="N627" s="45">
        <f>+L627*TARIFAS!$K$2</f>
        <v>0</v>
      </c>
      <c r="O627" s="45">
        <f t="shared" si="1"/>
        <v>0</v>
      </c>
      <c r="P627" s="45">
        <f>+M627+O627+K627+(+I627-(I627*TARIFAS!$K$2))</f>
        <v>0</v>
      </c>
      <c r="Q627" s="42" t="str">
        <f>CONFERENCIAS!T627</f>
        <v/>
      </c>
      <c r="R627" s="45" t="str">
        <f>CONFERENCIAS!U627</f>
        <v/>
      </c>
      <c r="S627" s="45" t="str">
        <f>CONFERENCIAS!W627</f>
        <v/>
      </c>
      <c r="T627" s="48">
        <f>IF(Q627="",0,
   IF(E627=1,
      IF(H627="Presencial",
         VLOOKUP(D627,TARIFAS!A:K,3,FALSE) + IF(I627="Sí",VLOOKUP(D627,TARIFAS!A:K,5,FALSE),0),
         VLOOKUP(D627,TARIFAS!A:K,4,FALSE) + IF(I627="Sí",VLOOKUP(D627,TARIFAS!A:K,5,FALSE),0)
      ),
      IF(H627="Presencial",
         VLOOKUP(D627,TARIFAS!A:K,9,FALSE) + IF(I627="Sí",VLOOKUP(D627,TARIFAS!A:K,11,FALSE),0),
         VLOOKUP(D627,TARIFAS!A:K,10,FALSE) + IF(I627="Sí",VLOOKUP(D627,TARIFAS!A:K,11,FALSE),0)
      )
   )
)
</f>
        <v>0</v>
      </c>
      <c r="U627" s="45">
        <f>IF(R627="",0,MAX(0,R627 - TARIFAS!G$2) * TARIFAS!F$2)
</f>
        <v>0</v>
      </c>
      <c r="V627" s="45">
        <f>+T627*TARIFAS!$K$2</f>
        <v>0</v>
      </c>
      <c r="W627" s="45">
        <f t="shared" si="2"/>
        <v>0</v>
      </c>
      <c r="X627" s="45">
        <f t="shared" si="3"/>
        <v>0</v>
      </c>
      <c r="Y627" s="45">
        <f t="shared" si="4"/>
        <v>0</v>
      </c>
      <c r="Z627" s="42" t="str">
        <f>CONFERENCIAS!AB627</f>
        <v/>
      </c>
      <c r="AA627" s="42" t="str">
        <f>CONFERENCIAS!AC627</f>
        <v/>
      </c>
      <c r="AB627" s="47" t="str">
        <f t="shared" si="5"/>
        <v/>
      </c>
      <c r="AC627" s="9" t="str">
        <f t="shared" si="6"/>
        <v/>
      </c>
    </row>
    <row r="628">
      <c r="A628" s="42" t="str">
        <f>CONFERENCIAS!A628</f>
        <v/>
      </c>
      <c r="D628" s="42" t="str">
        <f>CONFERENCIAS!C628</f>
        <v/>
      </c>
      <c r="E628" s="42" t="str">
        <f>CONFERENCIAS!K628</f>
        <v/>
      </c>
      <c r="F628" s="49" t="str">
        <f>CONFERENCIAS!J628</f>
        <v/>
      </c>
      <c r="G628" s="42" t="str">
        <f>CONFERENCIAS!O628</f>
        <v/>
      </c>
      <c r="H628" s="42" t="str">
        <f>CONFERENCIAS!X628</f>
        <v/>
      </c>
      <c r="I628" s="42" t="str">
        <f>CONFERENCIAS!AA628</f>
        <v/>
      </c>
      <c r="J628" s="44" t="str">
        <f>CONFERENCIAS!P628</f>
        <v/>
      </c>
      <c r="K628" s="45" t="str">
        <f>CONFERENCIAS!R628</f>
        <v/>
      </c>
      <c r="L628" s="45">
        <f>IF(D628="",0,
 IF(E628=1,
   IF(H628="Presencial",
      VLOOKUP(D628,TARIFAS!A:K,3,FALSE) + IF(I628="Sí",VLOOKUP(D628,TARIFAS!A:K,5,FALSE),0),
      VLOOKUP(D628,TARIFAS!A:K,4,FALSE) + IF(I628="Sí",VLOOKUP(D628,TARIFAS!A:K,5,FALSE),0)
   ),
   IF(H628="Presencial",
      VLOOKUP(D628,TARIFAS!A:K,9,FALSE) + IF(I628="Sí",VLOOKUP(D628,TARIFAS!A:K,11,FALSE),0),
      VLOOKUP(D628,TARIFAS!A:K,10,FALSE) + IF(I628="Sí",VLOOKUP(D628,TARIFAS!A:K,11,FALSE),0)
   )
 )
)
</f>
        <v>0</v>
      </c>
      <c r="M628" s="45">
        <f>IF(J628="",0,MAX(0,J628 - TARIFAS!G$2) * TARIFAS!F$2)
</f>
        <v>0</v>
      </c>
      <c r="N628" s="45">
        <f>+L628*TARIFAS!$K$2</f>
        <v>0</v>
      </c>
      <c r="O628" s="45">
        <f t="shared" si="1"/>
        <v>0</v>
      </c>
      <c r="P628" s="45">
        <f>+M628+O628+K628+(+I628-(I628*TARIFAS!$K$2))</f>
        <v>0</v>
      </c>
      <c r="Q628" s="42" t="str">
        <f>CONFERENCIAS!T628</f>
        <v/>
      </c>
      <c r="R628" s="45" t="str">
        <f>CONFERENCIAS!U628</f>
        <v/>
      </c>
      <c r="S628" s="45" t="str">
        <f>CONFERENCIAS!W628</f>
        <v/>
      </c>
      <c r="T628" s="48">
        <f>IF(Q628="",0,
   IF(E628=1,
      IF(H628="Presencial",
         VLOOKUP(D628,TARIFAS!A:K,3,FALSE) + IF(I628="Sí",VLOOKUP(D628,TARIFAS!A:K,5,FALSE),0),
         VLOOKUP(D628,TARIFAS!A:K,4,FALSE) + IF(I628="Sí",VLOOKUP(D628,TARIFAS!A:K,5,FALSE),0)
      ),
      IF(H628="Presencial",
         VLOOKUP(D628,TARIFAS!A:K,9,FALSE) + IF(I628="Sí",VLOOKUP(D628,TARIFAS!A:K,11,FALSE),0),
         VLOOKUP(D628,TARIFAS!A:K,10,FALSE) + IF(I628="Sí",VLOOKUP(D628,TARIFAS!A:K,11,FALSE),0)
      )
   )
)
</f>
        <v>0</v>
      </c>
      <c r="U628" s="45">
        <f>IF(R628="",0,MAX(0,R628 - TARIFAS!G$2) * TARIFAS!F$2)
</f>
        <v>0</v>
      </c>
      <c r="V628" s="45">
        <f>+T628*TARIFAS!$K$2</f>
        <v>0</v>
      </c>
      <c r="W628" s="45">
        <f t="shared" si="2"/>
        <v>0</v>
      </c>
      <c r="X628" s="45">
        <f t="shared" si="3"/>
        <v>0</v>
      </c>
      <c r="Y628" s="45">
        <f t="shared" si="4"/>
        <v>0</v>
      </c>
      <c r="Z628" s="42" t="str">
        <f>CONFERENCIAS!AB628</f>
        <v/>
      </c>
      <c r="AA628" s="42" t="str">
        <f>CONFERENCIAS!AC628</f>
        <v/>
      </c>
      <c r="AB628" s="47" t="str">
        <f t="shared" si="5"/>
        <v/>
      </c>
      <c r="AC628" s="9" t="str">
        <f t="shared" si="6"/>
        <v/>
      </c>
    </row>
    <row r="629">
      <c r="A629" s="42" t="str">
        <f>CONFERENCIAS!A629</f>
        <v/>
      </c>
      <c r="D629" s="42" t="str">
        <f>CONFERENCIAS!C629</f>
        <v/>
      </c>
      <c r="E629" s="42" t="str">
        <f>CONFERENCIAS!K629</f>
        <v/>
      </c>
      <c r="F629" s="49" t="str">
        <f>CONFERENCIAS!J629</f>
        <v/>
      </c>
      <c r="G629" s="42" t="str">
        <f>CONFERENCIAS!O629</f>
        <v/>
      </c>
      <c r="H629" s="42" t="str">
        <f>CONFERENCIAS!X629</f>
        <v/>
      </c>
      <c r="I629" s="42" t="str">
        <f>CONFERENCIAS!AA629</f>
        <v/>
      </c>
      <c r="J629" s="44" t="str">
        <f>CONFERENCIAS!P629</f>
        <v/>
      </c>
      <c r="K629" s="45" t="str">
        <f>CONFERENCIAS!R629</f>
        <v/>
      </c>
      <c r="L629" s="45">
        <f>IF(D629="",0,
 IF(E629=1,
   IF(H629="Presencial",
      VLOOKUP(D629,TARIFAS!A:K,3,FALSE) + IF(I629="Sí",VLOOKUP(D629,TARIFAS!A:K,5,FALSE),0),
      VLOOKUP(D629,TARIFAS!A:K,4,FALSE) + IF(I629="Sí",VLOOKUP(D629,TARIFAS!A:K,5,FALSE),0)
   ),
   IF(H629="Presencial",
      VLOOKUP(D629,TARIFAS!A:K,9,FALSE) + IF(I629="Sí",VLOOKUP(D629,TARIFAS!A:K,11,FALSE),0),
      VLOOKUP(D629,TARIFAS!A:K,10,FALSE) + IF(I629="Sí",VLOOKUP(D629,TARIFAS!A:K,11,FALSE),0)
   )
 )
)
</f>
        <v>0</v>
      </c>
      <c r="M629" s="45">
        <f>IF(J629="",0,MAX(0,J629 - TARIFAS!G$2) * TARIFAS!F$2)
</f>
        <v>0</v>
      </c>
      <c r="N629" s="45">
        <f>+L629*TARIFAS!$K$2</f>
        <v>0</v>
      </c>
      <c r="O629" s="45">
        <f t="shared" si="1"/>
        <v>0</v>
      </c>
      <c r="P629" s="45">
        <f>+M629+O629+K629+(+I629-(I629*TARIFAS!$K$2))</f>
        <v>0</v>
      </c>
      <c r="Q629" s="42" t="str">
        <f>CONFERENCIAS!T629</f>
        <v/>
      </c>
      <c r="R629" s="45" t="str">
        <f>CONFERENCIAS!U629</f>
        <v/>
      </c>
      <c r="S629" s="45" t="str">
        <f>CONFERENCIAS!W629</f>
        <v/>
      </c>
      <c r="T629" s="48">
        <f>IF(Q629="",0,
   IF(E629=1,
      IF(H629="Presencial",
         VLOOKUP(D629,TARIFAS!A:K,3,FALSE) + IF(I629="Sí",VLOOKUP(D629,TARIFAS!A:K,5,FALSE),0),
         VLOOKUP(D629,TARIFAS!A:K,4,FALSE) + IF(I629="Sí",VLOOKUP(D629,TARIFAS!A:K,5,FALSE),0)
      ),
      IF(H629="Presencial",
         VLOOKUP(D629,TARIFAS!A:K,9,FALSE) + IF(I629="Sí",VLOOKUP(D629,TARIFAS!A:K,11,FALSE),0),
         VLOOKUP(D629,TARIFAS!A:K,10,FALSE) + IF(I629="Sí",VLOOKUP(D629,TARIFAS!A:K,11,FALSE),0)
      )
   )
)
</f>
        <v>0</v>
      </c>
      <c r="U629" s="45">
        <f>IF(R629="",0,MAX(0,R629 - TARIFAS!G$2) * TARIFAS!F$2)
</f>
        <v>0</v>
      </c>
      <c r="V629" s="45">
        <f>+T629*TARIFAS!$K$2</f>
        <v>0</v>
      </c>
      <c r="W629" s="45">
        <f t="shared" si="2"/>
        <v>0</v>
      </c>
      <c r="X629" s="45">
        <f t="shared" si="3"/>
        <v>0</v>
      </c>
      <c r="Y629" s="45">
        <f t="shared" si="4"/>
        <v>0</v>
      </c>
      <c r="Z629" s="42" t="str">
        <f>CONFERENCIAS!AB629</f>
        <v/>
      </c>
      <c r="AA629" s="42" t="str">
        <f>CONFERENCIAS!AC629</f>
        <v/>
      </c>
      <c r="AB629" s="47" t="str">
        <f t="shared" si="5"/>
        <v/>
      </c>
      <c r="AC629" s="9" t="str">
        <f t="shared" si="6"/>
        <v/>
      </c>
    </row>
    <row r="630">
      <c r="A630" s="42" t="str">
        <f>CONFERENCIAS!A630</f>
        <v/>
      </c>
      <c r="D630" s="42" t="str">
        <f>CONFERENCIAS!C630</f>
        <v/>
      </c>
      <c r="E630" s="42" t="str">
        <f>CONFERENCIAS!K630</f>
        <v/>
      </c>
      <c r="F630" s="49" t="str">
        <f>CONFERENCIAS!J630</f>
        <v/>
      </c>
      <c r="G630" s="42" t="str">
        <f>CONFERENCIAS!O630</f>
        <v/>
      </c>
      <c r="H630" s="42" t="str">
        <f>CONFERENCIAS!X630</f>
        <v/>
      </c>
      <c r="I630" s="42" t="str">
        <f>CONFERENCIAS!AA630</f>
        <v/>
      </c>
      <c r="J630" s="44" t="str">
        <f>CONFERENCIAS!P630</f>
        <v/>
      </c>
      <c r="K630" s="45" t="str">
        <f>CONFERENCIAS!R630</f>
        <v/>
      </c>
      <c r="L630" s="45">
        <f>IF(D630="",0,
 IF(E630=1,
   IF(H630="Presencial",
      VLOOKUP(D630,TARIFAS!A:K,3,FALSE) + IF(I630="Sí",VLOOKUP(D630,TARIFAS!A:K,5,FALSE),0),
      VLOOKUP(D630,TARIFAS!A:K,4,FALSE) + IF(I630="Sí",VLOOKUP(D630,TARIFAS!A:K,5,FALSE),0)
   ),
   IF(H630="Presencial",
      VLOOKUP(D630,TARIFAS!A:K,9,FALSE) + IF(I630="Sí",VLOOKUP(D630,TARIFAS!A:K,11,FALSE),0),
      VLOOKUP(D630,TARIFAS!A:K,10,FALSE) + IF(I630="Sí",VLOOKUP(D630,TARIFAS!A:K,11,FALSE),0)
   )
 )
)
</f>
        <v>0</v>
      </c>
      <c r="M630" s="45">
        <f>IF(J630="",0,MAX(0,J630 - TARIFAS!G$2) * TARIFAS!F$2)
</f>
        <v>0</v>
      </c>
      <c r="N630" s="45">
        <f>+L630*TARIFAS!$K$2</f>
        <v>0</v>
      </c>
      <c r="O630" s="45">
        <f t="shared" si="1"/>
        <v>0</v>
      </c>
      <c r="P630" s="45">
        <f>+M630+O630+K630+(+I630-(I630*TARIFAS!$K$2))</f>
        <v>0</v>
      </c>
      <c r="Q630" s="42" t="str">
        <f>CONFERENCIAS!T630</f>
        <v/>
      </c>
      <c r="R630" s="45" t="str">
        <f>CONFERENCIAS!U630</f>
        <v/>
      </c>
      <c r="S630" s="45" t="str">
        <f>CONFERENCIAS!W630</f>
        <v/>
      </c>
      <c r="T630" s="48">
        <f>IF(Q630="",0,
   IF(E630=1,
      IF(H630="Presencial",
         VLOOKUP(D630,TARIFAS!A:K,3,FALSE) + IF(I630="Sí",VLOOKUP(D630,TARIFAS!A:K,5,FALSE),0),
         VLOOKUP(D630,TARIFAS!A:K,4,FALSE) + IF(I630="Sí",VLOOKUP(D630,TARIFAS!A:K,5,FALSE),0)
      ),
      IF(H630="Presencial",
         VLOOKUP(D630,TARIFAS!A:K,9,FALSE) + IF(I630="Sí",VLOOKUP(D630,TARIFAS!A:K,11,FALSE),0),
         VLOOKUP(D630,TARIFAS!A:K,10,FALSE) + IF(I630="Sí",VLOOKUP(D630,TARIFAS!A:K,11,FALSE),0)
      )
   )
)
</f>
        <v>0</v>
      </c>
      <c r="U630" s="45">
        <f>IF(R630="",0,MAX(0,R630 - TARIFAS!G$2) * TARIFAS!F$2)
</f>
        <v>0</v>
      </c>
      <c r="V630" s="45">
        <f>+T630*TARIFAS!$K$2</f>
        <v>0</v>
      </c>
      <c r="W630" s="45">
        <f t="shared" si="2"/>
        <v>0</v>
      </c>
      <c r="X630" s="45">
        <f t="shared" si="3"/>
        <v>0</v>
      </c>
      <c r="Y630" s="45">
        <f t="shared" si="4"/>
        <v>0</v>
      </c>
      <c r="Z630" s="42" t="str">
        <f>CONFERENCIAS!AB630</f>
        <v/>
      </c>
      <c r="AA630" s="42" t="str">
        <f>CONFERENCIAS!AC630</f>
        <v/>
      </c>
      <c r="AB630" s="47" t="str">
        <f t="shared" si="5"/>
        <v/>
      </c>
      <c r="AC630" s="9" t="str">
        <f t="shared" si="6"/>
        <v/>
      </c>
    </row>
    <row r="631">
      <c r="A631" s="42" t="str">
        <f>CONFERENCIAS!A631</f>
        <v/>
      </c>
      <c r="D631" s="42" t="str">
        <f>CONFERENCIAS!C631</f>
        <v/>
      </c>
      <c r="E631" s="42" t="str">
        <f>CONFERENCIAS!K631</f>
        <v/>
      </c>
      <c r="F631" s="49" t="str">
        <f>CONFERENCIAS!J631</f>
        <v/>
      </c>
      <c r="G631" s="42" t="str">
        <f>CONFERENCIAS!O631</f>
        <v/>
      </c>
      <c r="H631" s="42" t="str">
        <f>CONFERENCIAS!X631</f>
        <v/>
      </c>
      <c r="I631" s="42" t="str">
        <f>CONFERENCIAS!AA631</f>
        <v/>
      </c>
      <c r="J631" s="44" t="str">
        <f>CONFERENCIAS!P631</f>
        <v/>
      </c>
      <c r="K631" s="45" t="str">
        <f>CONFERENCIAS!R631</f>
        <v/>
      </c>
      <c r="L631" s="45">
        <f>IF(D631="",0,
 IF(E631=1,
   IF(H631="Presencial",
      VLOOKUP(D631,TARIFAS!A:K,3,FALSE) + IF(I631="Sí",VLOOKUP(D631,TARIFAS!A:K,5,FALSE),0),
      VLOOKUP(D631,TARIFAS!A:K,4,FALSE) + IF(I631="Sí",VLOOKUP(D631,TARIFAS!A:K,5,FALSE),0)
   ),
   IF(H631="Presencial",
      VLOOKUP(D631,TARIFAS!A:K,9,FALSE) + IF(I631="Sí",VLOOKUP(D631,TARIFAS!A:K,11,FALSE),0),
      VLOOKUP(D631,TARIFAS!A:K,10,FALSE) + IF(I631="Sí",VLOOKUP(D631,TARIFAS!A:K,11,FALSE),0)
   )
 )
)
</f>
        <v>0</v>
      </c>
      <c r="M631" s="45">
        <f>IF(J631="",0,MAX(0,J631 - TARIFAS!G$2) * TARIFAS!F$2)
</f>
        <v>0</v>
      </c>
      <c r="N631" s="45">
        <f>+L631*TARIFAS!$K$2</f>
        <v>0</v>
      </c>
      <c r="O631" s="45">
        <f t="shared" si="1"/>
        <v>0</v>
      </c>
      <c r="P631" s="45">
        <f>+M631+O631+K631+(+I631-(I631*TARIFAS!$K$2))</f>
        <v>0</v>
      </c>
      <c r="Q631" s="42" t="str">
        <f>CONFERENCIAS!T631</f>
        <v/>
      </c>
      <c r="R631" s="45" t="str">
        <f>CONFERENCIAS!U631</f>
        <v/>
      </c>
      <c r="S631" s="45" t="str">
        <f>CONFERENCIAS!W631</f>
        <v/>
      </c>
      <c r="T631" s="48">
        <f>IF(Q631="",0,
   IF(E631=1,
      IF(H631="Presencial",
         VLOOKUP(D631,TARIFAS!A:K,3,FALSE) + IF(I631="Sí",VLOOKUP(D631,TARIFAS!A:K,5,FALSE),0),
         VLOOKUP(D631,TARIFAS!A:K,4,FALSE) + IF(I631="Sí",VLOOKUP(D631,TARIFAS!A:K,5,FALSE),0)
      ),
      IF(H631="Presencial",
         VLOOKUP(D631,TARIFAS!A:K,9,FALSE) + IF(I631="Sí",VLOOKUP(D631,TARIFAS!A:K,11,FALSE),0),
         VLOOKUP(D631,TARIFAS!A:K,10,FALSE) + IF(I631="Sí",VLOOKUP(D631,TARIFAS!A:K,11,FALSE),0)
      )
   )
)
</f>
        <v>0</v>
      </c>
      <c r="U631" s="45">
        <f>IF(R631="",0,MAX(0,R631 - TARIFAS!G$2) * TARIFAS!F$2)
</f>
        <v>0</v>
      </c>
      <c r="V631" s="45">
        <f>+T631*TARIFAS!$K$2</f>
        <v>0</v>
      </c>
      <c r="W631" s="45">
        <f t="shared" si="2"/>
        <v>0</v>
      </c>
      <c r="X631" s="45">
        <f t="shared" si="3"/>
        <v>0</v>
      </c>
      <c r="Y631" s="45">
        <f t="shared" si="4"/>
        <v>0</v>
      </c>
      <c r="Z631" s="42" t="str">
        <f>CONFERENCIAS!AB631</f>
        <v/>
      </c>
      <c r="AA631" s="42" t="str">
        <f>CONFERENCIAS!AC631</f>
        <v/>
      </c>
      <c r="AB631" s="47" t="str">
        <f t="shared" si="5"/>
        <v/>
      </c>
      <c r="AC631" s="9" t="str">
        <f t="shared" si="6"/>
        <v/>
      </c>
    </row>
    <row r="632">
      <c r="A632" s="42" t="str">
        <f>CONFERENCIAS!A632</f>
        <v/>
      </c>
      <c r="D632" s="42" t="str">
        <f>CONFERENCIAS!C632</f>
        <v/>
      </c>
      <c r="E632" s="42" t="str">
        <f>CONFERENCIAS!K632</f>
        <v/>
      </c>
      <c r="F632" s="49" t="str">
        <f>CONFERENCIAS!J632</f>
        <v/>
      </c>
      <c r="G632" s="42" t="str">
        <f>CONFERENCIAS!O632</f>
        <v/>
      </c>
      <c r="H632" s="42" t="str">
        <f>CONFERENCIAS!X632</f>
        <v/>
      </c>
      <c r="I632" s="42" t="str">
        <f>CONFERENCIAS!AA632</f>
        <v/>
      </c>
      <c r="J632" s="44" t="str">
        <f>CONFERENCIAS!P632</f>
        <v/>
      </c>
      <c r="K632" s="45" t="str">
        <f>CONFERENCIAS!R632</f>
        <v/>
      </c>
      <c r="L632" s="45">
        <f>IF(D632="",0,
 IF(E632=1,
   IF(H632="Presencial",
      VLOOKUP(D632,TARIFAS!A:K,3,FALSE) + IF(I632="Sí",VLOOKUP(D632,TARIFAS!A:K,5,FALSE),0),
      VLOOKUP(D632,TARIFAS!A:K,4,FALSE) + IF(I632="Sí",VLOOKUP(D632,TARIFAS!A:K,5,FALSE),0)
   ),
   IF(H632="Presencial",
      VLOOKUP(D632,TARIFAS!A:K,9,FALSE) + IF(I632="Sí",VLOOKUP(D632,TARIFAS!A:K,11,FALSE),0),
      VLOOKUP(D632,TARIFAS!A:K,10,FALSE) + IF(I632="Sí",VLOOKUP(D632,TARIFAS!A:K,11,FALSE),0)
   )
 )
)
</f>
        <v>0</v>
      </c>
      <c r="M632" s="45">
        <f>IF(J632="",0,MAX(0,J632 - TARIFAS!G$2) * TARIFAS!F$2)
</f>
        <v>0</v>
      </c>
      <c r="N632" s="45">
        <f>+L632*TARIFAS!$K$2</f>
        <v>0</v>
      </c>
      <c r="O632" s="45">
        <f t="shared" si="1"/>
        <v>0</v>
      </c>
      <c r="P632" s="45">
        <f>+M632+O632+K632+(+I632-(I632*TARIFAS!$K$2))</f>
        <v>0</v>
      </c>
      <c r="Q632" s="42" t="str">
        <f>CONFERENCIAS!T632</f>
        <v/>
      </c>
      <c r="R632" s="45" t="str">
        <f>CONFERENCIAS!U632</f>
        <v/>
      </c>
      <c r="S632" s="45" t="str">
        <f>CONFERENCIAS!W632</f>
        <v/>
      </c>
      <c r="T632" s="48">
        <f>IF(Q632="",0,
   IF(E632=1,
      IF(H632="Presencial",
         VLOOKUP(D632,TARIFAS!A:K,3,FALSE) + IF(I632="Sí",VLOOKUP(D632,TARIFAS!A:K,5,FALSE),0),
         VLOOKUP(D632,TARIFAS!A:K,4,FALSE) + IF(I632="Sí",VLOOKUP(D632,TARIFAS!A:K,5,FALSE),0)
      ),
      IF(H632="Presencial",
         VLOOKUP(D632,TARIFAS!A:K,9,FALSE) + IF(I632="Sí",VLOOKUP(D632,TARIFAS!A:K,11,FALSE),0),
         VLOOKUP(D632,TARIFAS!A:K,10,FALSE) + IF(I632="Sí",VLOOKUP(D632,TARIFAS!A:K,11,FALSE),0)
      )
   )
)
</f>
        <v>0</v>
      </c>
      <c r="U632" s="45">
        <f>IF(R632="",0,MAX(0,R632 - TARIFAS!G$2) * TARIFAS!F$2)
</f>
        <v>0</v>
      </c>
      <c r="V632" s="45">
        <f>+T632*TARIFAS!$K$2</f>
        <v>0</v>
      </c>
      <c r="W632" s="45">
        <f t="shared" si="2"/>
        <v>0</v>
      </c>
      <c r="X632" s="45">
        <f t="shared" si="3"/>
        <v>0</v>
      </c>
      <c r="Y632" s="45">
        <f t="shared" si="4"/>
        <v>0</v>
      </c>
      <c r="Z632" s="42" t="str">
        <f>CONFERENCIAS!AB632</f>
        <v/>
      </c>
      <c r="AA632" s="42" t="str">
        <f>CONFERENCIAS!AC632</f>
        <v/>
      </c>
      <c r="AB632" s="47" t="str">
        <f t="shared" si="5"/>
        <v/>
      </c>
      <c r="AC632" s="9" t="str">
        <f t="shared" si="6"/>
        <v/>
      </c>
    </row>
    <row r="633">
      <c r="A633" s="42" t="str">
        <f>CONFERENCIAS!A633</f>
        <v/>
      </c>
      <c r="D633" s="42" t="str">
        <f>CONFERENCIAS!C633</f>
        <v/>
      </c>
      <c r="E633" s="42" t="str">
        <f>CONFERENCIAS!K633</f>
        <v/>
      </c>
      <c r="F633" s="49" t="str">
        <f>CONFERENCIAS!J633</f>
        <v/>
      </c>
      <c r="G633" s="42" t="str">
        <f>CONFERENCIAS!O633</f>
        <v/>
      </c>
      <c r="H633" s="42" t="str">
        <f>CONFERENCIAS!X633</f>
        <v/>
      </c>
      <c r="I633" s="42" t="str">
        <f>CONFERENCIAS!AA633</f>
        <v/>
      </c>
      <c r="J633" s="44" t="str">
        <f>CONFERENCIAS!P633</f>
        <v/>
      </c>
      <c r="K633" s="45" t="str">
        <f>CONFERENCIAS!R633</f>
        <v/>
      </c>
      <c r="L633" s="45">
        <f>IF(D633="",0,
 IF(E633=1,
   IF(H633="Presencial",
      VLOOKUP(D633,TARIFAS!A:K,3,FALSE) + IF(I633="Sí",VLOOKUP(D633,TARIFAS!A:K,5,FALSE),0),
      VLOOKUP(D633,TARIFAS!A:K,4,FALSE) + IF(I633="Sí",VLOOKUP(D633,TARIFAS!A:K,5,FALSE),0)
   ),
   IF(H633="Presencial",
      VLOOKUP(D633,TARIFAS!A:K,9,FALSE) + IF(I633="Sí",VLOOKUP(D633,TARIFAS!A:K,11,FALSE),0),
      VLOOKUP(D633,TARIFAS!A:K,10,FALSE) + IF(I633="Sí",VLOOKUP(D633,TARIFAS!A:K,11,FALSE),0)
   )
 )
)
</f>
        <v>0</v>
      </c>
      <c r="M633" s="45">
        <f>IF(J633="",0,MAX(0,J633 - TARIFAS!G$2) * TARIFAS!F$2)
</f>
        <v>0</v>
      </c>
      <c r="N633" s="45">
        <f>+L633*TARIFAS!$K$2</f>
        <v>0</v>
      </c>
      <c r="O633" s="45">
        <f t="shared" si="1"/>
        <v>0</v>
      </c>
      <c r="P633" s="45">
        <f>+M633+O633+K633+(+I633-(I633*TARIFAS!$K$2))</f>
        <v>0</v>
      </c>
      <c r="Q633" s="42" t="str">
        <f>CONFERENCIAS!T633</f>
        <v/>
      </c>
      <c r="R633" s="45" t="str">
        <f>CONFERENCIAS!U633</f>
        <v/>
      </c>
      <c r="S633" s="45" t="str">
        <f>CONFERENCIAS!W633</f>
        <v/>
      </c>
      <c r="T633" s="48">
        <f>IF(Q633="",0,
   IF(E633=1,
      IF(H633="Presencial",
         VLOOKUP(D633,TARIFAS!A:K,3,FALSE) + IF(I633="Sí",VLOOKUP(D633,TARIFAS!A:K,5,FALSE),0),
         VLOOKUP(D633,TARIFAS!A:K,4,FALSE) + IF(I633="Sí",VLOOKUP(D633,TARIFAS!A:K,5,FALSE),0)
      ),
      IF(H633="Presencial",
         VLOOKUP(D633,TARIFAS!A:K,9,FALSE) + IF(I633="Sí",VLOOKUP(D633,TARIFAS!A:K,11,FALSE),0),
         VLOOKUP(D633,TARIFAS!A:K,10,FALSE) + IF(I633="Sí",VLOOKUP(D633,TARIFAS!A:K,11,FALSE),0)
      )
   )
)
</f>
        <v>0</v>
      </c>
      <c r="U633" s="45">
        <f>IF(R633="",0,MAX(0,R633 - TARIFAS!G$2) * TARIFAS!F$2)
</f>
        <v>0</v>
      </c>
      <c r="V633" s="45">
        <f>+T633*TARIFAS!$K$2</f>
        <v>0</v>
      </c>
      <c r="W633" s="45">
        <f t="shared" si="2"/>
        <v>0</v>
      </c>
      <c r="X633" s="45">
        <f t="shared" si="3"/>
        <v>0</v>
      </c>
      <c r="Y633" s="45">
        <f t="shared" si="4"/>
        <v>0</v>
      </c>
      <c r="Z633" s="42" t="str">
        <f>CONFERENCIAS!AB633</f>
        <v/>
      </c>
      <c r="AA633" s="42" t="str">
        <f>CONFERENCIAS!AC633</f>
        <v/>
      </c>
      <c r="AB633" s="47" t="str">
        <f t="shared" si="5"/>
        <v/>
      </c>
      <c r="AC633" s="9" t="str">
        <f t="shared" si="6"/>
        <v/>
      </c>
    </row>
    <row r="634">
      <c r="A634" s="42" t="str">
        <f>CONFERENCIAS!A634</f>
        <v/>
      </c>
      <c r="D634" s="42" t="str">
        <f>CONFERENCIAS!C634</f>
        <v/>
      </c>
      <c r="E634" s="42" t="str">
        <f>CONFERENCIAS!K634</f>
        <v/>
      </c>
      <c r="F634" s="49" t="str">
        <f>CONFERENCIAS!J634</f>
        <v/>
      </c>
      <c r="G634" s="42" t="str">
        <f>CONFERENCIAS!O634</f>
        <v/>
      </c>
      <c r="H634" s="42" t="str">
        <f>CONFERENCIAS!X634</f>
        <v/>
      </c>
      <c r="I634" s="42" t="str">
        <f>CONFERENCIAS!AA634</f>
        <v/>
      </c>
      <c r="J634" s="44" t="str">
        <f>CONFERENCIAS!P634</f>
        <v/>
      </c>
      <c r="K634" s="45" t="str">
        <f>CONFERENCIAS!R634</f>
        <v/>
      </c>
      <c r="L634" s="45">
        <f>IF(D634="",0,
 IF(E634=1,
   IF(H634="Presencial",
      VLOOKUP(D634,TARIFAS!A:K,3,FALSE) + IF(I634="Sí",VLOOKUP(D634,TARIFAS!A:K,5,FALSE),0),
      VLOOKUP(D634,TARIFAS!A:K,4,FALSE) + IF(I634="Sí",VLOOKUP(D634,TARIFAS!A:K,5,FALSE),0)
   ),
   IF(H634="Presencial",
      VLOOKUP(D634,TARIFAS!A:K,9,FALSE) + IF(I634="Sí",VLOOKUP(D634,TARIFAS!A:K,11,FALSE),0),
      VLOOKUP(D634,TARIFAS!A:K,10,FALSE) + IF(I634="Sí",VLOOKUP(D634,TARIFAS!A:K,11,FALSE),0)
   )
 )
)
</f>
        <v>0</v>
      </c>
      <c r="M634" s="45">
        <f>IF(J634="",0,MAX(0,J634 - TARIFAS!G$2) * TARIFAS!F$2)
</f>
        <v>0</v>
      </c>
      <c r="N634" s="45">
        <f>+L634*TARIFAS!$K$2</f>
        <v>0</v>
      </c>
      <c r="O634" s="45">
        <f t="shared" si="1"/>
        <v>0</v>
      </c>
      <c r="P634" s="45">
        <f>+M634+O634+K634+(+I634-(I634*TARIFAS!$K$2))</f>
        <v>0</v>
      </c>
      <c r="Q634" s="42" t="str">
        <f>CONFERENCIAS!T634</f>
        <v/>
      </c>
      <c r="R634" s="45" t="str">
        <f>CONFERENCIAS!U634</f>
        <v/>
      </c>
      <c r="S634" s="45" t="str">
        <f>CONFERENCIAS!W634</f>
        <v/>
      </c>
      <c r="T634" s="48">
        <f>IF(Q634="",0,
   IF(E634=1,
      IF(H634="Presencial",
         VLOOKUP(D634,TARIFAS!A:K,3,FALSE) + IF(I634="Sí",VLOOKUP(D634,TARIFAS!A:K,5,FALSE),0),
         VLOOKUP(D634,TARIFAS!A:K,4,FALSE) + IF(I634="Sí",VLOOKUP(D634,TARIFAS!A:K,5,FALSE),0)
      ),
      IF(H634="Presencial",
         VLOOKUP(D634,TARIFAS!A:K,9,FALSE) + IF(I634="Sí",VLOOKUP(D634,TARIFAS!A:K,11,FALSE),0),
         VLOOKUP(D634,TARIFAS!A:K,10,FALSE) + IF(I634="Sí",VLOOKUP(D634,TARIFAS!A:K,11,FALSE),0)
      )
   )
)
</f>
        <v>0</v>
      </c>
      <c r="U634" s="45">
        <f>IF(R634="",0,MAX(0,R634 - TARIFAS!G$2) * TARIFAS!F$2)
</f>
        <v>0</v>
      </c>
      <c r="V634" s="45">
        <f>+T634*TARIFAS!$K$2</f>
        <v>0</v>
      </c>
      <c r="W634" s="45">
        <f t="shared" si="2"/>
        <v>0</v>
      </c>
      <c r="X634" s="45">
        <f t="shared" si="3"/>
        <v>0</v>
      </c>
      <c r="Y634" s="45">
        <f t="shared" si="4"/>
        <v>0</v>
      </c>
      <c r="Z634" s="42" t="str">
        <f>CONFERENCIAS!AB634</f>
        <v/>
      </c>
      <c r="AA634" s="42" t="str">
        <f>CONFERENCIAS!AC634</f>
        <v/>
      </c>
      <c r="AB634" s="47" t="str">
        <f t="shared" si="5"/>
        <v/>
      </c>
      <c r="AC634" s="9" t="str">
        <f t="shared" si="6"/>
        <v/>
      </c>
    </row>
    <row r="635">
      <c r="A635" s="42" t="str">
        <f>CONFERENCIAS!A635</f>
        <v/>
      </c>
      <c r="D635" s="42" t="str">
        <f>CONFERENCIAS!C635</f>
        <v/>
      </c>
      <c r="E635" s="42" t="str">
        <f>CONFERENCIAS!K635</f>
        <v/>
      </c>
      <c r="F635" s="49" t="str">
        <f>CONFERENCIAS!J635</f>
        <v/>
      </c>
      <c r="G635" s="42" t="str">
        <f>CONFERENCIAS!O635</f>
        <v/>
      </c>
      <c r="H635" s="42" t="str">
        <f>CONFERENCIAS!X635</f>
        <v/>
      </c>
      <c r="I635" s="42" t="str">
        <f>CONFERENCIAS!AA635</f>
        <v/>
      </c>
      <c r="J635" s="44" t="str">
        <f>CONFERENCIAS!P635</f>
        <v/>
      </c>
      <c r="K635" s="45" t="str">
        <f>CONFERENCIAS!R635</f>
        <v/>
      </c>
      <c r="L635" s="45">
        <f>IF(D635="",0,
 IF(E635=1,
   IF(H635="Presencial",
      VLOOKUP(D635,TARIFAS!A:K,3,FALSE) + IF(I635="Sí",VLOOKUP(D635,TARIFAS!A:K,5,FALSE),0),
      VLOOKUP(D635,TARIFAS!A:K,4,FALSE) + IF(I635="Sí",VLOOKUP(D635,TARIFAS!A:K,5,FALSE),0)
   ),
   IF(H635="Presencial",
      VLOOKUP(D635,TARIFAS!A:K,9,FALSE) + IF(I635="Sí",VLOOKUP(D635,TARIFAS!A:K,11,FALSE),0),
      VLOOKUP(D635,TARIFAS!A:K,10,FALSE) + IF(I635="Sí",VLOOKUP(D635,TARIFAS!A:K,11,FALSE),0)
   )
 )
)
</f>
        <v>0</v>
      </c>
      <c r="M635" s="45">
        <f>IF(J635="",0,MAX(0,J635 - TARIFAS!G$2) * TARIFAS!F$2)
</f>
        <v>0</v>
      </c>
      <c r="N635" s="45">
        <f>+L635*TARIFAS!$K$2</f>
        <v>0</v>
      </c>
      <c r="O635" s="45">
        <f t="shared" si="1"/>
        <v>0</v>
      </c>
      <c r="P635" s="45">
        <f>+M635+O635+K635+(+I635-(I635*TARIFAS!$K$2))</f>
        <v>0</v>
      </c>
      <c r="Q635" s="42" t="str">
        <f>CONFERENCIAS!T635</f>
        <v/>
      </c>
      <c r="R635" s="45" t="str">
        <f>CONFERENCIAS!U635</f>
        <v/>
      </c>
      <c r="S635" s="45" t="str">
        <f>CONFERENCIAS!W635</f>
        <v/>
      </c>
      <c r="T635" s="48">
        <f>IF(Q635="",0,
   IF(E635=1,
      IF(H635="Presencial",
         VLOOKUP(D635,TARIFAS!A:K,3,FALSE) + IF(I635="Sí",VLOOKUP(D635,TARIFAS!A:K,5,FALSE),0),
         VLOOKUP(D635,TARIFAS!A:K,4,FALSE) + IF(I635="Sí",VLOOKUP(D635,TARIFAS!A:K,5,FALSE),0)
      ),
      IF(H635="Presencial",
         VLOOKUP(D635,TARIFAS!A:K,9,FALSE) + IF(I635="Sí",VLOOKUP(D635,TARIFAS!A:K,11,FALSE),0),
         VLOOKUP(D635,TARIFAS!A:K,10,FALSE) + IF(I635="Sí",VLOOKUP(D635,TARIFAS!A:K,11,FALSE),0)
      )
   )
)
</f>
        <v>0</v>
      </c>
      <c r="U635" s="45">
        <f>IF(R635="",0,MAX(0,R635 - TARIFAS!G$2) * TARIFAS!F$2)
</f>
        <v>0</v>
      </c>
      <c r="V635" s="45">
        <f>+T635*TARIFAS!$K$2</f>
        <v>0</v>
      </c>
      <c r="W635" s="45">
        <f t="shared" si="2"/>
        <v>0</v>
      </c>
      <c r="X635" s="45">
        <f t="shared" si="3"/>
        <v>0</v>
      </c>
      <c r="Y635" s="45">
        <f t="shared" si="4"/>
        <v>0</v>
      </c>
      <c r="Z635" s="42" t="str">
        <f>CONFERENCIAS!AB635</f>
        <v/>
      </c>
      <c r="AA635" s="42" t="str">
        <f>CONFERENCIAS!AC635</f>
        <v/>
      </c>
      <c r="AB635" s="47" t="str">
        <f t="shared" si="5"/>
        <v/>
      </c>
      <c r="AC635" s="9" t="str">
        <f t="shared" si="6"/>
        <v/>
      </c>
    </row>
    <row r="636">
      <c r="A636" s="42" t="str">
        <f>CONFERENCIAS!A636</f>
        <v/>
      </c>
      <c r="D636" s="42" t="str">
        <f>CONFERENCIAS!C636</f>
        <v/>
      </c>
      <c r="E636" s="42" t="str">
        <f>CONFERENCIAS!K636</f>
        <v/>
      </c>
      <c r="F636" s="49" t="str">
        <f>CONFERENCIAS!J636</f>
        <v/>
      </c>
      <c r="G636" s="42" t="str">
        <f>CONFERENCIAS!O636</f>
        <v/>
      </c>
      <c r="H636" s="42" t="str">
        <f>CONFERENCIAS!X636</f>
        <v/>
      </c>
      <c r="I636" s="42" t="str">
        <f>CONFERENCIAS!AA636</f>
        <v/>
      </c>
      <c r="J636" s="44" t="str">
        <f>CONFERENCIAS!P636</f>
        <v/>
      </c>
      <c r="K636" s="45" t="str">
        <f>CONFERENCIAS!R636</f>
        <v/>
      </c>
      <c r="L636" s="45">
        <f>IF(D636="",0,
 IF(E636=1,
   IF(H636="Presencial",
      VLOOKUP(D636,TARIFAS!A:K,3,FALSE) + IF(I636="Sí",VLOOKUP(D636,TARIFAS!A:K,5,FALSE),0),
      VLOOKUP(D636,TARIFAS!A:K,4,FALSE) + IF(I636="Sí",VLOOKUP(D636,TARIFAS!A:K,5,FALSE),0)
   ),
   IF(H636="Presencial",
      VLOOKUP(D636,TARIFAS!A:K,9,FALSE) + IF(I636="Sí",VLOOKUP(D636,TARIFAS!A:K,11,FALSE),0),
      VLOOKUP(D636,TARIFAS!A:K,10,FALSE) + IF(I636="Sí",VLOOKUP(D636,TARIFAS!A:K,11,FALSE),0)
   )
 )
)
</f>
        <v>0</v>
      </c>
      <c r="M636" s="45">
        <f>IF(J636="",0,MAX(0,J636 - TARIFAS!G$2) * TARIFAS!F$2)
</f>
        <v>0</v>
      </c>
      <c r="N636" s="45">
        <f>+L636*TARIFAS!$K$2</f>
        <v>0</v>
      </c>
      <c r="O636" s="45">
        <f t="shared" si="1"/>
        <v>0</v>
      </c>
      <c r="P636" s="45">
        <f>+M636+O636+K636+(+I636-(I636*TARIFAS!$K$2))</f>
        <v>0</v>
      </c>
      <c r="Q636" s="42" t="str">
        <f>CONFERENCIAS!T636</f>
        <v/>
      </c>
      <c r="R636" s="45" t="str">
        <f>CONFERENCIAS!U636</f>
        <v/>
      </c>
      <c r="S636" s="45" t="str">
        <f>CONFERENCIAS!W636</f>
        <v/>
      </c>
      <c r="T636" s="48">
        <f>IF(Q636="",0,
   IF(E636=1,
      IF(H636="Presencial",
         VLOOKUP(D636,TARIFAS!A:K,3,FALSE) + IF(I636="Sí",VLOOKUP(D636,TARIFAS!A:K,5,FALSE),0),
         VLOOKUP(D636,TARIFAS!A:K,4,FALSE) + IF(I636="Sí",VLOOKUP(D636,TARIFAS!A:K,5,FALSE),0)
      ),
      IF(H636="Presencial",
         VLOOKUP(D636,TARIFAS!A:K,9,FALSE) + IF(I636="Sí",VLOOKUP(D636,TARIFAS!A:K,11,FALSE),0),
         VLOOKUP(D636,TARIFAS!A:K,10,FALSE) + IF(I636="Sí",VLOOKUP(D636,TARIFAS!A:K,11,FALSE),0)
      )
   )
)
</f>
        <v>0</v>
      </c>
      <c r="U636" s="45">
        <f>IF(R636="",0,MAX(0,R636 - TARIFAS!G$2) * TARIFAS!F$2)
</f>
        <v>0</v>
      </c>
      <c r="V636" s="45">
        <f>+T636*TARIFAS!$K$2</f>
        <v>0</v>
      </c>
      <c r="W636" s="45">
        <f t="shared" si="2"/>
        <v>0</v>
      </c>
      <c r="X636" s="45">
        <f t="shared" si="3"/>
        <v>0</v>
      </c>
      <c r="Y636" s="45">
        <f t="shared" si="4"/>
        <v>0</v>
      </c>
      <c r="Z636" s="42" t="str">
        <f>CONFERENCIAS!AB636</f>
        <v/>
      </c>
      <c r="AA636" s="42" t="str">
        <f>CONFERENCIAS!AC636</f>
        <v/>
      </c>
      <c r="AB636" s="47" t="str">
        <f t="shared" si="5"/>
        <v/>
      </c>
      <c r="AC636" s="9" t="str">
        <f t="shared" si="6"/>
        <v/>
      </c>
    </row>
    <row r="637">
      <c r="A637" s="42" t="str">
        <f>CONFERENCIAS!A637</f>
        <v/>
      </c>
      <c r="D637" s="42" t="str">
        <f>CONFERENCIAS!C637</f>
        <v/>
      </c>
      <c r="E637" s="42" t="str">
        <f>CONFERENCIAS!K637</f>
        <v/>
      </c>
      <c r="F637" s="49" t="str">
        <f>CONFERENCIAS!J637</f>
        <v/>
      </c>
      <c r="G637" s="42" t="str">
        <f>CONFERENCIAS!O637</f>
        <v/>
      </c>
      <c r="H637" s="42" t="str">
        <f>CONFERENCIAS!X637</f>
        <v/>
      </c>
      <c r="I637" s="42" t="str">
        <f>CONFERENCIAS!AA637</f>
        <v/>
      </c>
      <c r="J637" s="44" t="str">
        <f>CONFERENCIAS!P637</f>
        <v/>
      </c>
      <c r="K637" s="45" t="str">
        <f>CONFERENCIAS!R637</f>
        <v/>
      </c>
      <c r="L637" s="45">
        <f>IF(D637="",0,
 IF(E637=1,
   IF(H637="Presencial",
      VLOOKUP(D637,TARIFAS!A:K,3,FALSE) + IF(I637="Sí",VLOOKUP(D637,TARIFAS!A:K,5,FALSE),0),
      VLOOKUP(D637,TARIFAS!A:K,4,FALSE) + IF(I637="Sí",VLOOKUP(D637,TARIFAS!A:K,5,FALSE),0)
   ),
   IF(H637="Presencial",
      VLOOKUP(D637,TARIFAS!A:K,9,FALSE) + IF(I637="Sí",VLOOKUP(D637,TARIFAS!A:K,11,FALSE),0),
      VLOOKUP(D637,TARIFAS!A:K,10,FALSE) + IF(I637="Sí",VLOOKUP(D637,TARIFAS!A:K,11,FALSE),0)
   )
 )
)
</f>
        <v>0</v>
      </c>
      <c r="M637" s="45">
        <f>IF(J637="",0,MAX(0,J637 - TARIFAS!G$2) * TARIFAS!F$2)
</f>
        <v>0</v>
      </c>
      <c r="N637" s="45">
        <f>+L637*TARIFAS!$K$2</f>
        <v>0</v>
      </c>
      <c r="O637" s="45">
        <f t="shared" si="1"/>
        <v>0</v>
      </c>
      <c r="P637" s="45">
        <f>+M637+O637+K637+(+I637-(I637*TARIFAS!$K$2))</f>
        <v>0</v>
      </c>
      <c r="Q637" s="42" t="str">
        <f>CONFERENCIAS!T637</f>
        <v/>
      </c>
      <c r="R637" s="45" t="str">
        <f>CONFERENCIAS!U637</f>
        <v/>
      </c>
      <c r="S637" s="45" t="str">
        <f>CONFERENCIAS!W637</f>
        <v/>
      </c>
      <c r="T637" s="48">
        <f>IF(Q637="",0,
   IF(E637=1,
      IF(H637="Presencial",
         VLOOKUP(D637,TARIFAS!A:K,3,FALSE) + IF(I637="Sí",VLOOKUP(D637,TARIFAS!A:K,5,FALSE),0),
         VLOOKUP(D637,TARIFAS!A:K,4,FALSE) + IF(I637="Sí",VLOOKUP(D637,TARIFAS!A:K,5,FALSE),0)
      ),
      IF(H637="Presencial",
         VLOOKUP(D637,TARIFAS!A:K,9,FALSE) + IF(I637="Sí",VLOOKUP(D637,TARIFAS!A:K,11,FALSE),0),
         VLOOKUP(D637,TARIFAS!A:K,10,FALSE) + IF(I637="Sí",VLOOKUP(D637,TARIFAS!A:K,11,FALSE),0)
      )
   )
)
</f>
        <v>0</v>
      </c>
      <c r="U637" s="45">
        <f>IF(R637="",0,MAX(0,R637 - TARIFAS!G$2) * TARIFAS!F$2)
</f>
        <v>0</v>
      </c>
      <c r="V637" s="45">
        <f>+T637*TARIFAS!$K$2</f>
        <v>0</v>
      </c>
      <c r="W637" s="45">
        <f t="shared" si="2"/>
        <v>0</v>
      </c>
      <c r="X637" s="45">
        <f t="shared" si="3"/>
        <v>0</v>
      </c>
      <c r="Y637" s="45">
        <f t="shared" si="4"/>
        <v>0</v>
      </c>
      <c r="Z637" s="42" t="str">
        <f>CONFERENCIAS!AB637</f>
        <v/>
      </c>
      <c r="AA637" s="42" t="str">
        <f>CONFERENCIAS!AC637</f>
        <v/>
      </c>
      <c r="AB637" s="47" t="str">
        <f t="shared" si="5"/>
        <v/>
      </c>
      <c r="AC637" s="9" t="str">
        <f t="shared" si="6"/>
        <v/>
      </c>
    </row>
    <row r="638">
      <c r="A638" s="42" t="str">
        <f>CONFERENCIAS!A638</f>
        <v/>
      </c>
      <c r="D638" s="42" t="str">
        <f>CONFERENCIAS!C638</f>
        <v/>
      </c>
      <c r="E638" s="42" t="str">
        <f>CONFERENCIAS!K638</f>
        <v/>
      </c>
      <c r="F638" s="49" t="str">
        <f>CONFERENCIAS!J638</f>
        <v/>
      </c>
      <c r="G638" s="42" t="str">
        <f>CONFERENCIAS!O638</f>
        <v/>
      </c>
      <c r="H638" s="42" t="str">
        <f>CONFERENCIAS!X638</f>
        <v/>
      </c>
      <c r="I638" s="42" t="str">
        <f>CONFERENCIAS!AA638</f>
        <v/>
      </c>
      <c r="J638" s="44" t="str">
        <f>CONFERENCIAS!P638</f>
        <v/>
      </c>
      <c r="K638" s="45" t="str">
        <f>CONFERENCIAS!R638</f>
        <v/>
      </c>
      <c r="L638" s="45">
        <f>IF(D638="",0,
 IF(E638=1,
   IF(H638="Presencial",
      VLOOKUP(D638,TARIFAS!A:K,3,FALSE) + IF(I638="Sí",VLOOKUP(D638,TARIFAS!A:K,5,FALSE),0),
      VLOOKUP(D638,TARIFAS!A:K,4,FALSE) + IF(I638="Sí",VLOOKUP(D638,TARIFAS!A:K,5,FALSE),0)
   ),
   IF(H638="Presencial",
      VLOOKUP(D638,TARIFAS!A:K,9,FALSE) + IF(I638="Sí",VLOOKUP(D638,TARIFAS!A:K,11,FALSE),0),
      VLOOKUP(D638,TARIFAS!A:K,10,FALSE) + IF(I638="Sí",VLOOKUP(D638,TARIFAS!A:K,11,FALSE),0)
   )
 )
)
</f>
        <v>0</v>
      </c>
      <c r="M638" s="45">
        <f>IF(J638="",0,MAX(0,J638 - TARIFAS!G$2) * TARIFAS!F$2)
</f>
        <v>0</v>
      </c>
      <c r="N638" s="45">
        <f>+L638*TARIFAS!$K$2</f>
        <v>0</v>
      </c>
      <c r="O638" s="45">
        <f t="shared" si="1"/>
        <v>0</v>
      </c>
      <c r="P638" s="45">
        <f>+M638+O638+K638+(+I638-(I638*TARIFAS!$K$2))</f>
        <v>0</v>
      </c>
      <c r="Q638" s="42" t="str">
        <f>CONFERENCIAS!T638</f>
        <v/>
      </c>
      <c r="R638" s="45" t="str">
        <f>CONFERENCIAS!U638</f>
        <v/>
      </c>
      <c r="S638" s="45" t="str">
        <f>CONFERENCIAS!W638</f>
        <v/>
      </c>
      <c r="T638" s="48">
        <f>IF(Q638="",0,
   IF(E638=1,
      IF(H638="Presencial",
         VLOOKUP(D638,TARIFAS!A:K,3,FALSE) + IF(I638="Sí",VLOOKUP(D638,TARIFAS!A:K,5,FALSE),0),
         VLOOKUP(D638,TARIFAS!A:K,4,FALSE) + IF(I638="Sí",VLOOKUP(D638,TARIFAS!A:K,5,FALSE),0)
      ),
      IF(H638="Presencial",
         VLOOKUP(D638,TARIFAS!A:K,9,FALSE) + IF(I638="Sí",VLOOKUP(D638,TARIFAS!A:K,11,FALSE),0),
         VLOOKUP(D638,TARIFAS!A:K,10,FALSE) + IF(I638="Sí",VLOOKUP(D638,TARIFAS!A:K,11,FALSE),0)
      )
   )
)
</f>
        <v>0</v>
      </c>
      <c r="U638" s="45">
        <f>IF(R638="",0,MAX(0,R638 - TARIFAS!G$2) * TARIFAS!F$2)
</f>
        <v>0</v>
      </c>
      <c r="V638" s="45">
        <f>+T638*TARIFAS!$K$2</f>
        <v>0</v>
      </c>
      <c r="W638" s="45">
        <f t="shared" si="2"/>
        <v>0</v>
      </c>
      <c r="X638" s="45">
        <f t="shared" si="3"/>
        <v>0</v>
      </c>
      <c r="Y638" s="45">
        <f t="shared" si="4"/>
        <v>0</v>
      </c>
      <c r="Z638" s="42" t="str">
        <f>CONFERENCIAS!AB638</f>
        <v/>
      </c>
      <c r="AA638" s="42" t="str">
        <f>CONFERENCIAS!AC638</f>
        <v/>
      </c>
      <c r="AB638" s="47" t="str">
        <f t="shared" si="5"/>
        <v/>
      </c>
      <c r="AC638" s="9" t="str">
        <f t="shared" si="6"/>
        <v/>
      </c>
    </row>
    <row r="639">
      <c r="A639" s="42" t="str">
        <f>CONFERENCIAS!A639</f>
        <v/>
      </c>
      <c r="D639" s="42" t="str">
        <f>CONFERENCIAS!C639</f>
        <v/>
      </c>
      <c r="E639" s="42" t="str">
        <f>CONFERENCIAS!K639</f>
        <v/>
      </c>
      <c r="F639" s="49" t="str">
        <f>CONFERENCIAS!J639</f>
        <v/>
      </c>
      <c r="G639" s="42" t="str">
        <f>CONFERENCIAS!O639</f>
        <v/>
      </c>
      <c r="H639" s="42" t="str">
        <f>CONFERENCIAS!X639</f>
        <v/>
      </c>
      <c r="I639" s="42" t="str">
        <f>CONFERENCIAS!AA639</f>
        <v/>
      </c>
      <c r="J639" s="44" t="str">
        <f>CONFERENCIAS!P639</f>
        <v/>
      </c>
      <c r="K639" s="45" t="str">
        <f>CONFERENCIAS!R639</f>
        <v/>
      </c>
      <c r="L639" s="45">
        <f>IF(D639="",0,
 IF(E639=1,
   IF(H639="Presencial",
      VLOOKUP(D639,TARIFAS!A:K,3,FALSE) + IF(I639="Sí",VLOOKUP(D639,TARIFAS!A:K,5,FALSE),0),
      VLOOKUP(D639,TARIFAS!A:K,4,FALSE) + IF(I639="Sí",VLOOKUP(D639,TARIFAS!A:K,5,FALSE),0)
   ),
   IF(H639="Presencial",
      VLOOKUP(D639,TARIFAS!A:K,9,FALSE) + IF(I639="Sí",VLOOKUP(D639,TARIFAS!A:K,11,FALSE),0),
      VLOOKUP(D639,TARIFAS!A:K,10,FALSE) + IF(I639="Sí",VLOOKUP(D639,TARIFAS!A:K,11,FALSE),0)
   )
 )
)
</f>
        <v>0</v>
      </c>
      <c r="M639" s="45">
        <f>IF(J639="",0,MAX(0,J639 - TARIFAS!G$2) * TARIFAS!F$2)
</f>
        <v>0</v>
      </c>
      <c r="N639" s="45">
        <f>+L639*TARIFAS!$K$2</f>
        <v>0</v>
      </c>
      <c r="O639" s="45">
        <f t="shared" si="1"/>
        <v>0</v>
      </c>
      <c r="P639" s="45">
        <f>+M639+O639+K639+(+I639-(I639*TARIFAS!$K$2))</f>
        <v>0</v>
      </c>
      <c r="Q639" s="42" t="str">
        <f>CONFERENCIAS!T639</f>
        <v/>
      </c>
      <c r="R639" s="45" t="str">
        <f>CONFERENCIAS!U639</f>
        <v/>
      </c>
      <c r="S639" s="45" t="str">
        <f>CONFERENCIAS!W639</f>
        <v/>
      </c>
      <c r="T639" s="48">
        <f>IF(Q639="",0,
   IF(E639=1,
      IF(H639="Presencial",
         VLOOKUP(D639,TARIFAS!A:K,3,FALSE) + IF(I639="Sí",VLOOKUP(D639,TARIFAS!A:K,5,FALSE),0),
         VLOOKUP(D639,TARIFAS!A:K,4,FALSE) + IF(I639="Sí",VLOOKUP(D639,TARIFAS!A:K,5,FALSE),0)
      ),
      IF(H639="Presencial",
         VLOOKUP(D639,TARIFAS!A:K,9,FALSE) + IF(I639="Sí",VLOOKUP(D639,TARIFAS!A:K,11,FALSE),0),
         VLOOKUP(D639,TARIFAS!A:K,10,FALSE) + IF(I639="Sí",VLOOKUP(D639,TARIFAS!A:K,11,FALSE),0)
      )
   )
)
</f>
        <v>0</v>
      </c>
      <c r="U639" s="45">
        <f>IF(R639="",0,MAX(0,R639 - TARIFAS!G$2) * TARIFAS!F$2)
</f>
        <v>0</v>
      </c>
      <c r="V639" s="45">
        <f>+T639*TARIFAS!$K$2</f>
        <v>0</v>
      </c>
      <c r="W639" s="45">
        <f t="shared" si="2"/>
        <v>0</v>
      </c>
      <c r="X639" s="45">
        <f t="shared" si="3"/>
        <v>0</v>
      </c>
      <c r="Y639" s="45">
        <f t="shared" si="4"/>
        <v>0</v>
      </c>
      <c r="Z639" s="42" t="str">
        <f>CONFERENCIAS!AB639</f>
        <v/>
      </c>
      <c r="AA639" s="42" t="str">
        <f>CONFERENCIAS!AC639</f>
        <v/>
      </c>
      <c r="AB639" s="47" t="str">
        <f t="shared" si="5"/>
        <v/>
      </c>
      <c r="AC639" s="9" t="str">
        <f t="shared" si="6"/>
        <v/>
      </c>
    </row>
    <row r="640">
      <c r="A640" s="42" t="str">
        <f>CONFERENCIAS!A640</f>
        <v/>
      </c>
      <c r="D640" s="42" t="str">
        <f>CONFERENCIAS!C640</f>
        <v/>
      </c>
      <c r="E640" s="42" t="str">
        <f>CONFERENCIAS!K640</f>
        <v/>
      </c>
      <c r="F640" s="49" t="str">
        <f>CONFERENCIAS!J640</f>
        <v/>
      </c>
      <c r="G640" s="42" t="str">
        <f>CONFERENCIAS!O640</f>
        <v/>
      </c>
      <c r="H640" s="42" t="str">
        <f>CONFERENCIAS!X640</f>
        <v/>
      </c>
      <c r="I640" s="42" t="str">
        <f>CONFERENCIAS!AA640</f>
        <v/>
      </c>
      <c r="J640" s="44" t="str">
        <f>CONFERENCIAS!P640</f>
        <v/>
      </c>
      <c r="K640" s="45" t="str">
        <f>CONFERENCIAS!R640</f>
        <v/>
      </c>
      <c r="L640" s="45">
        <f>IF(D640="",0,
 IF(E640=1,
   IF(H640="Presencial",
      VLOOKUP(D640,TARIFAS!A:K,3,FALSE) + IF(I640="Sí",VLOOKUP(D640,TARIFAS!A:K,5,FALSE),0),
      VLOOKUP(D640,TARIFAS!A:K,4,FALSE) + IF(I640="Sí",VLOOKUP(D640,TARIFAS!A:K,5,FALSE),0)
   ),
   IF(H640="Presencial",
      VLOOKUP(D640,TARIFAS!A:K,9,FALSE) + IF(I640="Sí",VLOOKUP(D640,TARIFAS!A:K,11,FALSE),0),
      VLOOKUP(D640,TARIFAS!A:K,10,FALSE) + IF(I640="Sí",VLOOKUP(D640,TARIFAS!A:K,11,FALSE),0)
   )
 )
)
</f>
        <v>0</v>
      </c>
      <c r="M640" s="45">
        <f>IF(J640="",0,MAX(0,J640 - TARIFAS!G$2) * TARIFAS!F$2)
</f>
        <v>0</v>
      </c>
      <c r="N640" s="45">
        <f>+L640*TARIFAS!$K$2</f>
        <v>0</v>
      </c>
      <c r="O640" s="45">
        <f t="shared" si="1"/>
        <v>0</v>
      </c>
      <c r="P640" s="45">
        <f>+M640+O640+K640+(+I640-(I640*TARIFAS!$K$2))</f>
        <v>0</v>
      </c>
      <c r="Q640" s="42" t="str">
        <f>CONFERENCIAS!T640</f>
        <v/>
      </c>
      <c r="R640" s="45" t="str">
        <f>CONFERENCIAS!U640</f>
        <v/>
      </c>
      <c r="S640" s="45" t="str">
        <f>CONFERENCIAS!W640</f>
        <v/>
      </c>
      <c r="T640" s="48">
        <f>IF(Q640="",0,
   IF(E640=1,
      IF(H640="Presencial",
         VLOOKUP(D640,TARIFAS!A:K,3,FALSE) + IF(I640="Sí",VLOOKUP(D640,TARIFAS!A:K,5,FALSE),0),
         VLOOKUP(D640,TARIFAS!A:K,4,FALSE) + IF(I640="Sí",VLOOKUP(D640,TARIFAS!A:K,5,FALSE),0)
      ),
      IF(H640="Presencial",
         VLOOKUP(D640,TARIFAS!A:K,9,FALSE) + IF(I640="Sí",VLOOKUP(D640,TARIFAS!A:K,11,FALSE),0),
         VLOOKUP(D640,TARIFAS!A:K,10,FALSE) + IF(I640="Sí",VLOOKUP(D640,TARIFAS!A:K,11,FALSE),0)
      )
   )
)
</f>
        <v>0</v>
      </c>
      <c r="U640" s="45">
        <f>IF(R640="",0,MAX(0,R640 - TARIFAS!G$2) * TARIFAS!F$2)
</f>
        <v>0</v>
      </c>
      <c r="V640" s="45">
        <f>+T640*TARIFAS!$K$2</f>
        <v>0</v>
      </c>
      <c r="W640" s="45">
        <f t="shared" si="2"/>
        <v>0</v>
      </c>
      <c r="X640" s="45">
        <f t="shared" si="3"/>
        <v>0</v>
      </c>
      <c r="Y640" s="45">
        <f t="shared" si="4"/>
        <v>0</v>
      </c>
      <c r="Z640" s="42" t="str">
        <f>CONFERENCIAS!AB640</f>
        <v/>
      </c>
      <c r="AA640" s="42" t="str">
        <f>CONFERENCIAS!AC640</f>
        <v/>
      </c>
      <c r="AB640" s="47" t="str">
        <f t="shared" si="5"/>
        <v/>
      </c>
      <c r="AC640" s="9" t="str">
        <f t="shared" si="6"/>
        <v/>
      </c>
    </row>
    <row r="641">
      <c r="A641" s="42" t="str">
        <f>CONFERENCIAS!A641</f>
        <v/>
      </c>
      <c r="D641" s="42" t="str">
        <f>CONFERENCIAS!C641</f>
        <v/>
      </c>
      <c r="E641" s="42" t="str">
        <f>CONFERENCIAS!K641</f>
        <v/>
      </c>
      <c r="F641" s="49" t="str">
        <f>CONFERENCIAS!J641</f>
        <v/>
      </c>
      <c r="G641" s="42" t="str">
        <f>CONFERENCIAS!O641</f>
        <v/>
      </c>
      <c r="H641" s="42" t="str">
        <f>CONFERENCIAS!X641</f>
        <v/>
      </c>
      <c r="I641" s="42" t="str">
        <f>CONFERENCIAS!AA641</f>
        <v/>
      </c>
      <c r="J641" s="44" t="str">
        <f>CONFERENCIAS!P641</f>
        <v/>
      </c>
      <c r="K641" s="45" t="str">
        <f>CONFERENCIAS!R641</f>
        <v/>
      </c>
      <c r="L641" s="45">
        <f>IF(D641="",0,
 IF(E641=1,
   IF(H641="Presencial",
      VLOOKUP(D641,TARIFAS!A:K,3,FALSE) + IF(I641="Sí",VLOOKUP(D641,TARIFAS!A:K,5,FALSE),0),
      VLOOKUP(D641,TARIFAS!A:K,4,FALSE) + IF(I641="Sí",VLOOKUP(D641,TARIFAS!A:K,5,FALSE),0)
   ),
   IF(H641="Presencial",
      VLOOKUP(D641,TARIFAS!A:K,9,FALSE) + IF(I641="Sí",VLOOKUP(D641,TARIFAS!A:K,11,FALSE),0),
      VLOOKUP(D641,TARIFAS!A:K,10,FALSE) + IF(I641="Sí",VLOOKUP(D641,TARIFAS!A:K,11,FALSE),0)
   )
 )
)
</f>
        <v>0</v>
      </c>
      <c r="M641" s="45">
        <f>IF(J641="",0,MAX(0,J641 - TARIFAS!G$2) * TARIFAS!F$2)
</f>
        <v>0</v>
      </c>
      <c r="N641" s="45">
        <f>+L641*TARIFAS!$K$2</f>
        <v>0</v>
      </c>
      <c r="O641" s="45">
        <f t="shared" si="1"/>
        <v>0</v>
      </c>
      <c r="P641" s="45">
        <f>+M641+O641+K641+(+I641-(I641*TARIFAS!$K$2))</f>
        <v>0</v>
      </c>
      <c r="Q641" s="42" t="str">
        <f>CONFERENCIAS!T641</f>
        <v/>
      </c>
      <c r="R641" s="45" t="str">
        <f>CONFERENCIAS!U641</f>
        <v/>
      </c>
      <c r="S641" s="45" t="str">
        <f>CONFERENCIAS!W641</f>
        <v/>
      </c>
      <c r="T641" s="48">
        <f>IF(Q641="",0,
   IF(E641=1,
      IF(H641="Presencial",
         VLOOKUP(D641,TARIFAS!A:K,3,FALSE) + IF(I641="Sí",VLOOKUP(D641,TARIFAS!A:K,5,FALSE),0),
         VLOOKUP(D641,TARIFAS!A:K,4,FALSE) + IF(I641="Sí",VLOOKUP(D641,TARIFAS!A:K,5,FALSE),0)
      ),
      IF(H641="Presencial",
         VLOOKUP(D641,TARIFAS!A:K,9,FALSE) + IF(I641="Sí",VLOOKUP(D641,TARIFAS!A:K,11,FALSE),0),
         VLOOKUP(D641,TARIFAS!A:K,10,FALSE) + IF(I641="Sí",VLOOKUP(D641,TARIFAS!A:K,11,FALSE),0)
      )
   )
)
</f>
        <v>0</v>
      </c>
      <c r="U641" s="45">
        <f>IF(R641="",0,MAX(0,R641 - TARIFAS!G$2) * TARIFAS!F$2)
</f>
        <v>0</v>
      </c>
      <c r="V641" s="45">
        <f>+T641*TARIFAS!$K$2</f>
        <v>0</v>
      </c>
      <c r="W641" s="45">
        <f t="shared" si="2"/>
        <v>0</v>
      </c>
      <c r="X641" s="45">
        <f t="shared" si="3"/>
        <v>0</v>
      </c>
      <c r="Y641" s="45">
        <f t="shared" si="4"/>
        <v>0</v>
      </c>
      <c r="Z641" s="42" t="str">
        <f>CONFERENCIAS!AB641</f>
        <v/>
      </c>
      <c r="AA641" s="42" t="str">
        <f>CONFERENCIAS!AC641</f>
        <v/>
      </c>
      <c r="AB641" s="47" t="str">
        <f t="shared" si="5"/>
        <v/>
      </c>
      <c r="AC641" s="9" t="str">
        <f t="shared" si="6"/>
        <v/>
      </c>
    </row>
    <row r="642">
      <c r="A642" s="42" t="str">
        <f>CONFERENCIAS!A642</f>
        <v/>
      </c>
      <c r="D642" s="42" t="str">
        <f>CONFERENCIAS!C642</f>
        <v/>
      </c>
      <c r="E642" s="42" t="str">
        <f>CONFERENCIAS!K642</f>
        <v/>
      </c>
      <c r="F642" s="49" t="str">
        <f>CONFERENCIAS!J642</f>
        <v/>
      </c>
      <c r="G642" s="42" t="str">
        <f>CONFERENCIAS!O642</f>
        <v/>
      </c>
      <c r="H642" s="42" t="str">
        <f>CONFERENCIAS!X642</f>
        <v/>
      </c>
      <c r="I642" s="42" t="str">
        <f>CONFERENCIAS!AA642</f>
        <v/>
      </c>
      <c r="J642" s="44" t="str">
        <f>CONFERENCIAS!P642</f>
        <v/>
      </c>
      <c r="K642" s="45" t="str">
        <f>CONFERENCIAS!R642</f>
        <v/>
      </c>
      <c r="L642" s="45">
        <f>IF(D642="",0,
 IF(E642=1,
   IF(H642="Presencial",
      VLOOKUP(D642,TARIFAS!A:K,3,FALSE) + IF(I642="Sí",VLOOKUP(D642,TARIFAS!A:K,5,FALSE),0),
      VLOOKUP(D642,TARIFAS!A:K,4,FALSE) + IF(I642="Sí",VLOOKUP(D642,TARIFAS!A:K,5,FALSE),0)
   ),
   IF(H642="Presencial",
      VLOOKUP(D642,TARIFAS!A:K,9,FALSE) + IF(I642="Sí",VLOOKUP(D642,TARIFAS!A:K,11,FALSE),0),
      VLOOKUP(D642,TARIFAS!A:K,10,FALSE) + IF(I642="Sí",VLOOKUP(D642,TARIFAS!A:K,11,FALSE),0)
   )
 )
)
</f>
        <v>0</v>
      </c>
      <c r="M642" s="45">
        <f>IF(J642="",0,MAX(0,J642 - TARIFAS!G$2) * TARIFAS!F$2)
</f>
        <v>0</v>
      </c>
      <c r="N642" s="45">
        <f>+L642*TARIFAS!$K$2</f>
        <v>0</v>
      </c>
      <c r="O642" s="45">
        <f t="shared" si="1"/>
        <v>0</v>
      </c>
      <c r="P642" s="45">
        <f>+M642+O642+K642+(+I642-(I642*TARIFAS!$K$2))</f>
        <v>0</v>
      </c>
      <c r="Q642" s="42" t="str">
        <f>CONFERENCIAS!T642</f>
        <v/>
      </c>
      <c r="R642" s="45" t="str">
        <f>CONFERENCIAS!U642</f>
        <v/>
      </c>
      <c r="S642" s="45" t="str">
        <f>CONFERENCIAS!W642</f>
        <v/>
      </c>
      <c r="T642" s="48">
        <f>IF(Q642="",0,
   IF(E642=1,
      IF(H642="Presencial",
         VLOOKUP(D642,TARIFAS!A:K,3,FALSE) + IF(I642="Sí",VLOOKUP(D642,TARIFAS!A:K,5,FALSE),0),
         VLOOKUP(D642,TARIFAS!A:K,4,FALSE) + IF(I642="Sí",VLOOKUP(D642,TARIFAS!A:K,5,FALSE),0)
      ),
      IF(H642="Presencial",
         VLOOKUP(D642,TARIFAS!A:K,9,FALSE) + IF(I642="Sí",VLOOKUP(D642,TARIFAS!A:K,11,FALSE),0),
         VLOOKUP(D642,TARIFAS!A:K,10,FALSE) + IF(I642="Sí",VLOOKUP(D642,TARIFAS!A:K,11,FALSE),0)
      )
   )
)
</f>
        <v>0</v>
      </c>
      <c r="U642" s="45">
        <f>IF(R642="",0,MAX(0,R642 - TARIFAS!G$2) * TARIFAS!F$2)
</f>
        <v>0</v>
      </c>
      <c r="V642" s="45">
        <f>+T642*TARIFAS!$K$2</f>
        <v>0</v>
      </c>
      <c r="W642" s="45">
        <f t="shared" si="2"/>
        <v>0</v>
      </c>
      <c r="X642" s="45">
        <f t="shared" si="3"/>
        <v>0</v>
      </c>
      <c r="Y642" s="45">
        <f t="shared" si="4"/>
        <v>0</v>
      </c>
      <c r="Z642" s="42" t="str">
        <f>CONFERENCIAS!AB642</f>
        <v/>
      </c>
      <c r="AA642" s="42" t="str">
        <f>CONFERENCIAS!AC642</f>
        <v/>
      </c>
      <c r="AB642" s="47" t="str">
        <f t="shared" si="5"/>
        <v/>
      </c>
      <c r="AC642" s="9" t="str">
        <f t="shared" si="6"/>
        <v/>
      </c>
    </row>
    <row r="643">
      <c r="A643" s="42" t="str">
        <f>CONFERENCIAS!A643</f>
        <v/>
      </c>
      <c r="D643" s="42" t="str">
        <f>CONFERENCIAS!C643</f>
        <v/>
      </c>
      <c r="E643" s="42" t="str">
        <f>CONFERENCIAS!K643</f>
        <v/>
      </c>
      <c r="F643" s="49" t="str">
        <f>CONFERENCIAS!J643</f>
        <v/>
      </c>
      <c r="G643" s="42" t="str">
        <f>CONFERENCIAS!O643</f>
        <v/>
      </c>
      <c r="H643" s="42" t="str">
        <f>CONFERENCIAS!X643</f>
        <v/>
      </c>
      <c r="I643" s="42" t="str">
        <f>CONFERENCIAS!AA643</f>
        <v/>
      </c>
      <c r="J643" s="44" t="str">
        <f>CONFERENCIAS!P643</f>
        <v/>
      </c>
      <c r="K643" s="45" t="str">
        <f>CONFERENCIAS!R643</f>
        <v/>
      </c>
      <c r="L643" s="45">
        <f>IF(D643="",0,
 IF(E643=1,
   IF(H643="Presencial",
      VLOOKUP(D643,TARIFAS!A:K,3,FALSE) + IF(I643="Sí",VLOOKUP(D643,TARIFAS!A:K,5,FALSE),0),
      VLOOKUP(D643,TARIFAS!A:K,4,FALSE) + IF(I643="Sí",VLOOKUP(D643,TARIFAS!A:K,5,FALSE),0)
   ),
   IF(H643="Presencial",
      VLOOKUP(D643,TARIFAS!A:K,9,FALSE) + IF(I643="Sí",VLOOKUP(D643,TARIFAS!A:K,11,FALSE),0),
      VLOOKUP(D643,TARIFAS!A:K,10,FALSE) + IF(I643="Sí",VLOOKUP(D643,TARIFAS!A:K,11,FALSE),0)
   )
 )
)
</f>
        <v>0</v>
      </c>
      <c r="M643" s="45">
        <f>IF(J643="",0,MAX(0,J643 - TARIFAS!G$2) * TARIFAS!F$2)
</f>
        <v>0</v>
      </c>
      <c r="N643" s="45">
        <f>+L643*TARIFAS!$K$2</f>
        <v>0</v>
      </c>
      <c r="O643" s="45">
        <f t="shared" si="1"/>
        <v>0</v>
      </c>
      <c r="P643" s="45">
        <f>+M643+O643+K643+(+I643-(I643*TARIFAS!$K$2))</f>
        <v>0</v>
      </c>
      <c r="Q643" s="42" t="str">
        <f>CONFERENCIAS!T643</f>
        <v/>
      </c>
      <c r="R643" s="45" t="str">
        <f>CONFERENCIAS!U643</f>
        <v/>
      </c>
      <c r="S643" s="45" t="str">
        <f>CONFERENCIAS!W643</f>
        <v/>
      </c>
      <c r="T643" s="48">
        <f>IF(Q643="",0,
   IF(E643=1,
      IF(H643="Presencial",
         VLOOKUP(D643,TARIFAS!A:K,3,FALSE) + IF(I643="Sí",VLOOKUP(D643,TARIFAS!A:K,5,FALSE),0),
         VLOOKUP(D643,TARIFAS!A:K,4,FALSE) + IF(I643="Sí",VLOOKUP(D643,TARIFAS!A:K,5,FALSE),0)
      ),
      IF(H643="Presencial",
         VLOOKUP(D643,TARIFAS!A:K,9,FALSE) + IF(I643="Sí",VLOOKUP(D643,TARIFAS!A:K,11,FALSE),0),
         VLOOKUP(D643,TARIFAS!A:K,10,FALSE) + IF(I643="Sí",VLOOKUP(D643,TARIFAS!A:K,11,FALSE),0)
      )
   )
)
</f>
        <v>0</v>
      </c>
      <c r="U643" s="45">
        <f>IF(R643="",0,MAX(0,R643 - TARIFAS!G$2) * TARIFAS!F$2)
</f>
        <v>0</v>
      </c>
      <c r="V643" s="45">
        <f>+T643*TARIFAS!$K$2</f>
        <v>0</v>
      </c>
      <c r="W643" s="45">
        <f t="shared" si="2"/>
        <v>0</v>
      </c>
      <c r="X643" s="45">
        <f t="shared" si="3"/>
        <v>0</v>
      </c>
      <c r="Y643" s="45">
        <f t="shared" si="4"/>
        <v>0</v>
      </c>
      <c r="Z643" s="42" t="str">
        <f>CONFERENCIAS!AB643</f>
        <v/>
      </c>
      <c r="AA643" s="42" t="str">
        <f>CONFERENCIAS!AC643</f>
        <v/>
      </c>
      <c r="AB643" s="47" t="str">
        <f t="shared" si="5"/>
        <v/>
      </c>
      <c r="AC643" s="9" t="str">
        <f t="shared" si="6"/>
        <v/>
      </c>
    </row>
    <row r="644">
      <c r="A644" s="42" t="str">
        <f>CONFERENCIAS!A644</f>
        <v/>
      </c>
      <c r="D644" s="42" t="str">
        <f>CONFERENCIAS!C644</f>
        <v/>
      </c>
      <c r="E644" s="42" t="str">
        <f>CONFERENCIAS!K644</f>
        <v/>
      </c>
      <c r="F644" s="49" t="str">
        <f>CONFERENCIAS!J644</f>
        <v/>
      </c>
      <c r="G644" s="42" t="str">
        <f>CONFERENCIAS!O644</f>
        <v/>
      </c>
      <c r="H644" s="42" t="str">
        <f>CONFERENCIAS!X644</f>
        <v/>
      </c>
      <c r="I644" s="42" t="str">
        <f>CONFERENCIAS!AA644</f>
        <v/>
      </c>
      <c r="J644" s="44" t="str">
        <f>CONFERENCIAS!P644</f>
        <v/>
      </c>
      <c r="K644" s="45" t="str">
        <f>CONFERENCIAS!R644</f>
        <v/>
      </c>
      <c r="L644" s="45">
        <f>IF(D644="",0,
 IF(E644=1,
   IF(H644="Presencial",
      VLOOKUP(D644,TARIFAS!A:K,3,FALSE) + IF(I644="Sí",VLOOKUP(D644,TARIFAS!A:K,5,FALSE),0),
      VLOOKUP(D644,TARIFAS!A:K,4,FALSE) + IF(I644="Sí",VLOOKUP(D644,TARIFAS!A:K,5,FALSE),0)
   ),
   IF(H644="Presencial",
      VLOOKUP(D644,TARIFAS!A:K,9,FALSE) + IF(I644="Sí",VLOOKUP(D644,TARIFAS!A:K,11,FALSE),0),
      VLOOKUP(D644,TARIFAS!A:K,10,FALSE) + IF(I644="Sí",VLOOKUP(D644,TARIFAS!A:K,11,FALSE),0)
   )
 )
)
</f>
        <v>0</v>
      </c>
      <c r="M644" s="45">
        <f>IF(J644="",0,MAX(0,J644 - TARIFAS!G$2) * TARIFAS!F$2)
</f>
        <v>0</v>
      </c>
      <c r="N644" s="45">
        <f>+L644*TARIFAS!$K$2</f>
        <v>0</v>
      </c>
      <c r="O644" s="45">
        <f t="shared" si="1"/>
        <v>0</v>
      </c>
      <c r="P644" s="45">
        <f>+M644+O644+K644+(+I644-(I644*TARIFAS!$K$2))</f>
        <v>0</v>
      </c>
      <c r="Q644" s="42" t="str">
        <f>CONFERENCIAS!T644</f>
        <v/>
      </c>
      <c r="R644" s="45" t="str">
        <f>CONFERENCIAS!U644</f>
        <v/>
      </c>
      <c r="S644" s="45" t="str">
        <f>CONFERENCIAS!W644</f>
        <v/>
      </c>
      <c r="T644" s="48">
        <f>IF(Q644="",0,
   IF(E644=1,
      IF(H644="Presencial",
         VLOOKUP(D644,TARIFAS!A:K,3,FALSE) + IF(I644="Sí",VLOOKUP(D644,TARIFAS!A:K,5,FALSE),0),
         VLOOKUP(D644,TARIFAS!A:K,4,FALSE) + IF(I644="Sí",VLOOKUP(D644,TARIFAS!A:K,5,FALSE),0)
      ),
      IF(H644="Presencial",
         VLOOKUP(D644,TARIFAS!A:K,9,FALSE) + IF(I644="Sí",VLOOKUP(D644,TARIFAS!A:K,11,FALSE),0),
         VLOOKUP(D644,TARIFAS!A:K,10,FALSE) + IF(I644="Sí",VLOOKUP(D644,TARIFAS!A:K,11,FALSE),0)
      )
   )
)
</f>
        <v>0</v>
      </c>
      <c r="U644" s="45">
        <f>IF(R644="",0,MAX(0,R644 - TARIFAS!G$2) * TARIFAS!F$2)
</f>
        <v>0</v>
      </c>
      <c r="V644" s="45">
        <f>+T644*TARIFAS!$K$2</f>
        <v>0</v>
      </c>
      <c r="W644" s="45">
        <f t="shared" si="2"/>
        <v>0</v>
      </c>
      <c r="X644" s="45">
        <f t="shared" si="3"/>
        <v>0</v>
      </c>
      <c r="Y644" s="45">
        <f t="shared" si="4"/>
        <v>0</v>
      </c>
      <c r="Z644" s="42" t="str">
        <f>CONFERENCIAS!AB644</f>
        <v/>
      </c>
      <c r="AA644" s="42" t="str">
        <f>CONFERENCIAS!AC644</f>
        <v/>
      </c>
      <c r="AB644" s="47" t="str">
        <f t="shared" si="5"/>
        <v/>
      </c>
      <c r="AC644" s="9" t="str">
        <f t="shared" si="6"/>
        <v/>
      </c>
    </row>
    <row r="645">
      <c r="A645" s="42" t="str">
        <f>CONFERENCIAS!A645</f>
        <v/>
      </c>
      <c r="D645" s="42" t="str">
        <f>CONFERENCIAS!C645</f>
        <v/>
      </c>
      <c r="E645" s="42" t="str">
        <f>CONFERENCIAS!K645</f>
        <v/>
      </c>
      <c r="F645" s="49" t="str">
        <f>CONFERENCIAS!J645</f>
        <v/>
      </c>
      <c r="G645" s="42" t="str">
        <f>CONFERENCIAS!O645</f>
        <v/>
      </c>
      <c r="H645" s="42" t="str">
        <f>CONFERENCIAS!X645</f>
        <v/>
      </c>
      <c r="I645" s="42" t="str">
        <f>CONFERENCIAS!AA645</f>
        <v/>
      </c>
      <c r="J645" s="44" t="str">
        <f>CONFERENCIAS!P645</f>
        <v/>
      </c>
      <c r="K645" s="45" t="str">
        <f>CONFERENCIAS!R645</f>
        <v/>
      </c>
      <c r="L645" s="45">
        <f>IF(D645="",0,
 IF(E645=1,
   IF(H645="Presencial",
      VLOOKUP(D645,TARIFAS!A:K,3,FALSE) + IF(I645="Sí",VLOOKUP(D645,TARIFAS!A:K,5,FALSE),0),
      VLOOKUP(D645,TARIFAS!A:K,4,FALSE) + IF(I645="Sí",VLOOKUP(D645,TARIFAS!A:K,5,FALSE),0)
   ),
   IF(H645="Presencial",
      VLOOKUP(D645,TARIFAS!A:K,9,FALSE) + IF(I645="Sí",VLOOKUP(D645,TARIFAS!A:K,11,FALSE),0),
      VLOOKUP(D645,TARIFAS!A:K,10,FALSE) + IF(I645="Sí",VLOOKUP(D645,TARIFAS!A:K,11,FALSE),0)
   )
 )
)
</f>
        <v>0</v>
      </c>
      <c r="M645" s="45">
        <f>IF(J645="",0,MAX(0,J645 - TARIFAS!G$2) * TARIFAS!F$2)
</f>
        <v>0</v>
      </c>
      <c r="N645" s="45">
        <f>+L645*TARIFAS!$K$2</f>
        <v>0</v>
      </c>
      <c r="O645" s="45">
        <f t="shared" si="1"/>
        <v>0</v>
      </c>
      <c r="P645" s="45">
        <f>+M645+O645+K645+(+I645-(I645*TARIFAS!$K$2))</f>
        <v>0</v>
      </c>
      <c r="Q645" s="42" t="str">
        <f>CONFERENCIAS!T645</f>
        <v/>
      </c>
      <c r="R645" s="45" t="str">
        <f>CONFERENCIAS!U645</f>
        <v/>
      </c>
      <c r="S645" s="45" t="str">
        <f>CONFERENCIAS!W645</f>
        <v/>
      </c>
      <c r="T645" s="48">
        <f>IF(Q645="",0,
   IF(E645=1,
      IF(H645="Presencial",
         VLOOKUP(D645,TARIFAS!A:K,3,FALSE) + IF(I645="Sí",VLOOKUP(D645,TARIFAS!A:K,5,FALSE),0),
         VLOOKUP(D645,TARIFAS!A:K,4,FALSE) + IF(I645="Sí",VLOOKUP(D645,TARIFAS!A:K,5,FALSE),0)
      ),
      IF(H645="Presencial",
         VLOOKUP(D645,TARIFAS!A:K,9,FALSE) + IF(I645="Sí",VLOOKUP(D645,TARIFAS!A:K,11,FALSE),0),
         VLOOKUP(D645,TARIFAS!A:K,10,FALSE) + IF(I645="Sí",VLOOKUP(D645,TARIFAS!A:K,11,FALSE),0)
      )
   )
)
</f>
        <v>0</v>
      </c>
      <c r="U645" s="45">
        <f>IF(R645="",0,MAX(0,R645 - TARIFAS!G$2) * TARIFAS!F$2)
</f>
        <v>0</v>
      </c>
      <c r="V645" s="45">
        <f>+T645*TARIFAS!$K$2</f>
        <v>0</v>
      </c>
      <c r="W645" s="45">
        <f t="shared" si="2"/>
        <v>0</v>
      </c>
      <c r="X645" s="45">
        <f t="shared" si="3"/>
        <v>0</v>
      </c>
      <c r="Y645" s="45">
        <f t="shared" si="4"/>
        <v>0</v>
      </c>
      <c r="Z645" s="42" t="str">
        <f>CONFERENCIAS!AB645</f>
        <v/>
      </c>
      <c r="AA645" s="42" t="str">
        <f>CONFERENCIAS!AC645</f>
        <v/>
      </c>
      <c r="AB645" s="47" t="str">
        <f t="shared" si="5"/>
        <v/>
      </c>
      <c r="AC645" s="9" t="str">
        <f t="shared" si="6"/>
        <v/>
      </c>
    </row>
    <row r="646">
      <c r="A646" s="42" t="str">
        <f>CONFERENCIAS!A646</f>
        <v/>
      </c>
      <c r="D646" s="42" t="str">
        <f>CONFERENCIAS!C646</f>
        <v/>
      </c>
      <c r="E646" s="42" t="str">
        <f>CONFERENCIAS!K646</f>
        <v/>
      </c>
      <c r="F646" s="49" t="str">
        <f>CONFERENCIAS!J646</f>
        <v/>
      </c>
      <c r="G646" s="42" t="str">
        <f>CONFERENCIAS!O646</f>
        <v/>
      </c>
      <c r="H646" s="42" t="str">
        <f>CONFERENCIAS!X646</f>
        <v/>
      </c>
      <c r="I646" s="42" t="str">
        <f>CONFERENCIAS!AA646</f>
        <v/>
      </c>
      <c r="J646" s="44" t="str">
        <f>CONFERENCIAS!P646</f>
        <v/>
      </c>
      <c r="K646" s="45" t="str">
        <f>CONFERENCIAS!R646</f>
        <v/>
      </c>
      <c r="L646" s="45">
        <f>IF(D646="",0,
 IF(E646=1,
   IF(H646="Presencial",
      VLOOKUP(D646,TARIFAS!A:K,3,FALSE) + IF(I646="Sí",VLOOKUP(D646,TARIFAS!A:K,5,FALSE),0),
      VLOOKUP(D646,TARIFAS!A:K,4,FALSE) + IF(I646="Sí",VLOOKUP(D646,TARIFAS!A:K,5,FALSE),0)
   ),
   IF(H646="Presencial",
      VLOOKUP(D646,TARIFAS!A:K,9,FALSE) + IF(I646="Sí",VLOOKUP(D646,TARIFAS!A:K,11,FALSE),0),
      VLOOKUP(D646,TARIFAS!A:K,10,FALSE) + IF(I646="Sí",VLOOKUP(D646,TARIFAS!A:K,11,FALSE),0)
   )
 )
)
</f>
        <v>0</v>
      </c>
      <c r="M646" s="45">
        <f>IF(J646="",0,MAX(0,J646 - TARIFAS!G$2) * TARIFAS!F$2)
</f>
        <v>0</v>
      </c>
      <c r="N646" s="45">
        <f>+L646*TARIFAS!$K$2</f>
        <v>0</v>
      </c>
      <c r="O646" s="45">
        <f t="shared" si="1"/>
        <v>0</v>
      </c>
      <c r="P646" s="45">
        <f>+M646+O646+K646+(+I646-(I646*TARIFAS!$K$2))</f>
        <v>0</v>
      </c>
      <c r="Q646" s="42" t="str">
        <f>CONFERENCIAS!T646</f>
        <v/>
      </c>
      <c r="R646" s="45" t="str">
        <f>CONFERENCIAS!U646</f>
        <v/>
      </c>
      <c r="S646" s="45" t="str">
        <f>CONFERENCIAS!W646</f>
        <v/>
      </c>
      <c r="T646" s="48">
        <f>IF(Q646="",0,
   IF(E646=1,
      IF(H646="Presencial",
         VLOOKUP(D646,TARIFAS!A:K,3,FALSE) + IF(I646="Sí",VLOOKUP(D646,TARIFAS!A:K,5,FALSE),0),
         VLOOKUP(D646,TARIFAS!A:K,4,FALSE) + IF(I646="Sí",VLOOKUP(D646,TARIFAS!A:K,5,FALSE),0)
      ),
      IF(H646="Presencial",
         VLOOKUP(D646,TARIFAS!A:K,9,FALSE) + IF(I646="Sí",VLOOKUP(D646,TARIFAS!A:K,11,FALSE),0),
         VLOOKUP(D646,TARIFAS!A:K,10,FALSE) + IF(I646="Sí",VLOOKUP(D646,TARIFAS!A:K,11,FALSE),0)
      )
   )
)
</f>
        <v>0</v>
      </c>
      <c r="U646" s="45">
        <f>IF(R646="",0,MAX(0,R646 - TARIFAS!G$2) * TARIFAS!F$2)
</f>
        <v>0</v>
      </c>
      <c r="V646" s="45">
        <f>+T646*TARIFAS!$K$2</f>
        <v>0</v>
      </c>
      <c r="W646" s="45">
        <f t="shared" si="2"/>
        <v>0</v>
      </c>
      <c r="X646" s="45">
        <f t="shared" si="3"/>
        <v>0</v>
      </c>
      <c r="Y646" s="45">
        <f t="shared" si="4"/>
        <v>0</v>
      </c>
      <c r="Z646" s="42" t="str">
        <f>CONFERENCIAS!AB646</f>
        <v/>
      </c>
      <c r="AA646" s="42" t="str">
        <f>CONFERENCIAS!AC646</f>
        <v/>
      </c>
      <c r="AB646" s="47" t="str">
        <f t="shared" si="5"/>
        <v/>
      </c>
      <c r="AC646" s="9" t="str">
        <f t="shared" si="6"/>
        <v/>
      </c>
    </row>
    <row r="647">
      <c r="A647" s="42" t="str">
        <f>CONFERENCIAS!A647</f>
        <v/>
      </c>
      <c r="D647" s="42" t="str">
        <f>CONFERENCIAS!C647</f>
        <v/>
      </c>
      <c r="E647" s="42" t="str">
        <f>CONFERENCIAS!K647</f>
        <v/>
      </c>
      <c r="F647" s="49" t="str">
        <f>CONFERENCIAS!J647</f>
        <v/>
      </c>
      <c r="G647" s="42" t="str">
        <f>CONFERENCIAS!O647</f>
        <v/>
      </c>
      <c r="H647" s="42" t="str">
        <f>CONFERENCIAS!X647</f>
        <v/>
      </c>
      <c r="I647" s="42" t="str">
        <f>CONFERENCIAS!AA647</f>
        <v/>
      </c>
      <c r="J647" s="44" t="str">
        <f>CONFERENCIAS!P647</f>
        <v/>
      </c>
      <c r="K647" s="45" t="str">
        <f>CONFERENCIAS!R647</f>
        <v/>
      </c>
      <c r="L647" s="45">
        <f>IF(D647="",0,
 IF(E647=1,
   IF(H647="Presencial",
      VLOOKUP(D647,TARIFAS!A:K,3,FALSE) + IF(I647="Sí",VLOOKUP(D647,TARIFAS!A:K,5,FALSE),0),
      VLOOKUP(D647,TARIFAS!A:K,4,FALSE) + IF(I647="Sí",VLOOKUP(D647,TARIFAS!A:K,5,FALSE),0)
   ),
   IF(H647="Presencial",
      VLOOKUP(D647,TARIFAS!A:K,9,FALSE) + IF(I647="Sí",VLOOKUP(D647,TARIFAS!A:K,11,FALSE),0),
      VLOOKUP(D647,TARIFAS!A:K,10,FALSE) + IF(I647="Sí",VLOOKUP(D647,TARIFAS!A:K,11,FALSE),0)
   )
 )
)
</f>
        <v>0</v>
      </c>
      <c r="M647" s="45">
        <f>IF(J647="",0,MAX(0,J647 - TARIFAS!G$2) * TARIFAS!F$2)
</f>
        <v>0</v>
      </c>
      <c r="N647" s="45">
        <f>+L647*TARIFAS!$K$2</f>
        <v>0</v>
      </c>
      <c r="O647" s="45">
        <f t="shared" si="1"/>
        <v>0</v>
      </c>
      <c r="P647" s="45">
        <f>+M647+O647+K647+(+I647-(I647*TARIFAS!$K$2))</f>
        <v>0</v>
      </c>
      <c r="Q647" s="42" t="str">
        <f>CONFERENCIAS!T647</f>
        <v/>
      </c>
      <c r="R647" s="45" t="str">
        <f>CONFERENCIAS!U647</f>
        <v/>
      </c>
      <c r="S647" s="45" t="str">
        <f>CONFERENCIAS!W647</f>
        <v/>
      </c>
      <c r="T647" s="48">
        <f>IF(Q647="",0,
   IF(E647=1,
      IF(H647="Presencial",
         VLOOKUP(D647,TARIFAS!A:K,3,FALSE) + IF(I647="Sí",VLOOKUP(D647,TARIFAS!A:K,5,FALSE),0),
         VLOOKUP(D647,TARIFAS!A:K,4,FALSE) + IF(I647="Sí",VLOOKUP(D647,TARIFAS!A:K,5,FALSE),0)
      ),
      IF(H647="Presencial",
         VLOOKUP(D647,TARIFAS!A:K,9,FALSE) + IF(I647="Sí",VLOOKUP(D647,TARIFAS!A:K,11,FALSE),0),
         VLOOKUP(D647,TARIFAS!A:K,10,FALSE) + IF(I647="Sí",VLOOKUP(D647,TARIFAS!A:K,11,FALSE),0)
      )
   )
)
</f>
        <v>0</v>
      </c>
      <c r="U647" s="45">
        <f>IF(R647="",0,MAX(0,R647 - TARIFAS!G$2) * TARIFAS!F$2)
</f>
        <v>0</v>
      </c>
      <c r="V647" s="45">
        <f>+T647*TARIFAS!$K$2</f>
        <v>0</v>
      </c>
      <c r="W647" s="45">
        <f t="shared" si="2"/>
        <v>0</v>
      </c>
      <c r="X647" s="45">
        <f t="shared" si="3"/>
        <v>0</v>
      </c>
      <c r="Y647" s="45">
        <f t="shared" si="4"/>
        <v>0</v>
      </c>
      <c r="Z647" s="42" t="str">
        <f>CONFERENCIAS!AB647</f>
        <v/>
      </c>
      <c r="AA647" s="42" t="str">
        <f>CONFERENCIAS!AC647</f>
        <v/>
      </c>
      <c r="AB647" s="47" t="str">
        <f t="shared" si="5"/>
        <v/>
      </c>
      <c r="AC647" s="9" t="str">
        <f t="shared" si="6"/>
        <v/>
      </c>
    </row>
    <row r="648">
      <c r="A648" s="42" t="str">
        <f>CONFERENCIAS!A648</f>
        <v/>
      </c>
      <c r="D648" s="42" t="str">
        <f>CONFERENCIAS!C648</f>
        <v/>
      </c>
      <c r="E648" s="42" t="str">
        <f>CONFERENCIAS!K648</f>
        <v/>
      </c>
      <c r="F648" s="49" t="str">
        <f>CONFERENCIAS!J648</f>
        <v/>
      </c>
      <c r="G648" s="42" t="str">
        <f>CONFERENCIAS!O648</f>
        <v/>
      </c>
      <c r="H648" s="42" t="str">
        <f>CONFERENCIAS!X648</f>
        <v/>
      </c>
      <c r="I648" s="42" t="str">
        <f>CONFERENCIAS!AA648</f>
        <v/>
      </c>
      <c r="J648" s="44" t="str">
        <f>CONFERENCIAS!P648</f>
        <v/>
      </c>
      <c r="K648" s="45" t="str">
        <f>CONFERENCIAS!R648</f>
        <v/>
      </c>
      <c r="L648" s="45">
        <f>IF(D648="",0,
 IF(E648=1,
   IF(H648="Presencial",
      VLOOKUP(D648,TARIFAS!A:K,3,FALSE) + IF(I648="Sí",VLOOKUP(D648,TARIFAS!A:K,5,FALSE),0),
      VLOOKUP(D648,TARIFAS!A:K,4,FALSE) + IF(I648="Sí",VLOOKUP(D648,TARIFAS!A:K,5,FALSE),0)
   ),
   IF(H648="Presencial",
      VLOOKUP(D648,TARIFAS!A:K,9,FALSE) + IF(I648="Sí",VLOOKUP(D648,TARIFAS!A:K,11,FALSE),0),
      VLOOKUP(D648,TARIFAS!A:K,10,FALSE) + IF(I648="Sí",VLOOKUP(D648,TARIFAS!A:K,11,FALSE),0)
   )
 )
)
</f>
        <v>0</v>
      </c>
      <c r="M648" s="45">
        <f>IF(J648="",0,MAX(0,J648 - TARIFAS!G$2) * TARIFAS!F$2)
</f>
        <v>0</v>
      </c>
      <c r="N648" s="45">
        <f>+L648*TARIFAS!$K$2</f>
        <v>0</v>
      </c>
      <c r="O648" s="45">
        <f t="shared" si="1"/>
        <v>0</v>
      </c>
      <c r="P648" s="45">
        <f>+M648+O648+K648+(+I648-(I648*TARIFAS!$K$2))</f>
        <v>0</v>
      </c>
      <c r="Q648" s="42" t="str">
        <f>CONFERENCIAS!T648</f>
        <v/>
      </c>
      <c r="R648" s="45" t="str">
        <f>CONFERENCIAS!U648</f>
        <v/>
      </c>
      <c r="S648" s="45" t="str">
        <f>CONFERENCIAS!W648</f>
        <v/>
      </c>
      <c r="T648" s="48">
        <f>IF(Q648="",0,
   IF(E648=1,
      IF(H648="Presencial",
         VLOOKUP(D648,TARIFAS!A:K,3,FALSE) + IF(I648="Sí",VLOOKUP(D648,TARIFAS!A:K,5,FALSE),0),
         VLOOKUP(D648,TARIFAS!A:K,4,FALSE) + IF(I648="Sí",VLOOKUP(D648,TARIFAS!A:K,5,FALSE),0)
      ),
      IF(H648="Presencial",
         VLOOKUP(D648,TARIFAS!A:K,9,FALSE) + IF(I648="Sí",VLOOKUP(D648,TARIFAS!A:K,11,FALSE),0),
         VLOOKUP(D648,TARIFAS!A:K,10,FALSE) + IF(I648="Sí",VLOOKUP(D648,TARIFAS!A:K,11,FALSE),0)
      )
   )
)
</f>
        <v>0</v>
      </c>
      <c r="U648" s="45">
        <f>IF(R648="",0,MAX(0,R648 - TARIFAS!G$2) * TARIFAS!F$2)
</f>
        <v>0</v>
      </c>
      <c r="V648" s="45">
        <f>+T648*TARIFAS!$K$2</f>
        <v>0</v>
      </c>
      <c r="W648" s="45">
        <f t="shared" si="2"/>
        <v>0</v>
      </c>
      <c r="X648" s="45">
        <f t="shared" si="3"/>
        <v>0</v>
      </c>
      <c r="Y648" s="45">
        <f t="shared" si="4"/>
        <v>0</v>
      </c>
      <c r="Z648" s="42" t="str">
        <f>CONFERENCIAS!AB648</f>
        <v/>
      </c>
      <c r="AA648" s="42" t="str">
        <f>CONFERENCIAS!AC648</f>
        <v/>
      </c>
      <c r="AB648" s="47" t="str">
        <f t="shared" si="5"/>
        <v/>
      </c>
      <c r="AC648" s="9" t="str">
        <f t="shared" si="6"/>
        <v/>
      </c>
    </row>
    <row r="649">
      <c r="A649" s="42" t="str">
        <f>CONFERENCIAS!A649</f>
        <v/>
      </c>
      <c r="D649" s="42" t="str">
        <f>CONFERENCIAS!C649</f>
        <v/>
      </c>
      <c r="E649" s="42" t="str">
        <f>CONFERENCIAS!K649</f>
        <v/>
      </c>
      <c r="F649" s="49" t="str">
        <f>CONFERENCIAS!J649</f>
        <v/>
      </c>
      <c r="G649" s="42" t="str">
        <f>CONFERENCIAS!O649</f>
        <v/>
      </c>
      <c r="H649" s="42" t="str">
        <f>CONFERENCIAS!X649</f>
        <v/>
      </c>
      <c r="I649" s="42" t="str">
        <f>CONFERENCIAS!AA649</f>
        <v/>
      </c>
      <c r="J649" s="44" t="str">
        <f>CONFERENCIAS!P649</f>
        <v/>
      </c>
      <c r="K649" s="45" t="str">
        <f>CONFERENCIAS!R649</f>
        <v/>
      </c>
      <c r="L649" s="45">
        <f>IF(D649="",0,
 IF(E649=1,
   IF(H649="Presencial",
      VLOOKUP(D649,TARIFAS!A:K,3,FALSE) + IF(I649="Sí",VLOOKUP(D649,TARIFAS!A:K,5,FALSE),0),
      VLOOKUP(D649,TARIFAS!A:K,4,FALSE) + IF(I649="Sí",VLOOKUP(D649,TARIFAS!A:K,5,FALSE),0)
   ),
   IF(H649="Presencial",
      VLOOKUP(D649,TARIFAS!A:K,9,FALSE) + IF(I649="Sí",VLOOKUP(D649,TARIFAS!A:K,11,FALSE),0),
      VLOOKUP(D649,TARIFAS!A:K,10,FALSE) + IF(I649="Sí",VLOOKUP(D649,TARIFAS!A:K,11,FALSE),0)
   )
 )
)
</f>
        <v>0</v>
      </c>
      <c r="M649" s="45">
        <f>IF(J649="",0,MAX(0,J649 - TARIFAS!G$2) * TARIFAS!F$2)
</f>
        <v>0</v>
      </c>
      <c r="N649" s="45">
        <f>+L649*TARIFAS!$K$2</f>
        <v>0</v>
      </c>
      <c r="O649" s="45">
        <f t="shared" si="1"/>
        <v>0</v>
      </c>
      <c r="P649" s="45">
        <f>+M649+O649+K649+(+I649-(I649*TARIFAS!$K$2))</f>
        <v>0</v>
      </c>
      <c r="Q649" s="42" t="str">
        <f>CONFERENCIAS!T649</f>
        <v/>
      </c>
      <c r="R649" s="45" t="str">
        <f>CONFERENCIAS!U649</f>
        <v/>
      </c>
      <c r="S649" s="45" t="str">
        <f>CONFERENCIAS!W649</f>
        <v/>
      </c>
      <c r="T649" s="48">
        <f>IF(Q649="",0,
   IF(E649=1,
      IF(H649="Presencial",
         VLOOKUP(D649,TARIFAS!A:K,3,FALSE) + IF(I649="Sí",VLOOKUP(D649,TARIFAS!A:K,5,FALSE),0),
         VLOOKUP(D649,TARIFAS!A:K,4,FALSE) + IF(I649="Sí",VLOOKUP(D649,TARIFAS!A:K,5,FALSE),0)
      ),
      IF(H649="Presencial",
         VLOOKUP(D649,TARIFAS!A:K,9,FALSE) + IF(I649="Sí",VLOOKUP(D649,TARIFAS!A:K,11,FALSE),0),
         VLOOKUP(D649,TARIFAS!A:K,10,FALSE) + IF(I649="Sí",VLOOKUP(D649,TARIFAS!A:K,11,FALSE),0)
      )
   )
)
</f>
        <v>0</v>
      </c>
      <c r="U649" s="45">
        <f>IF(R649="",0,MAX(0,R649 - TARIFAS!G$2) * TARIFAS!F$2)
</f>
        <v>0</v>
      </c>
      <c r="V649" s="45">
        <f>+T649*TARIFAS!$K$2</f>
        <v>0</v>
      </c>
      <c r="W649" s="45">
        <f t="shared" si="2"/>
        <v>0</v>
      </c>
      <c r="X649" s="45">
        <f t="shared" si="3"/>
        <v>0</v>
      </c>
      <c r="Y649" s="45">
        <f t="shared" si="4"/>
        <v>0</v>
      </c>
      <c r="Z649" s="42" t="str">
        <f>CONFERENCIAS!AB649</f>
        <v/>
      </c>
      <c r="AA649" s="42" t="str">
        <f>CONFERENCIAS!AC649</f>
        <v/>
      </c>
      <c r="AB649" s="47" t="str">
        <f t="shared" si="5"/>
        <v/>
      </c>
      <c r="AC649" s="9" t="str">
        <f t="shared" si="6"/>
        <v/>
      </c>
    </row>
    <row r="650">
      <c r="A650" s="42" t="str">
        <f>CONFERENCIAS!A650</f>
        <v/>
      </c>
      <c r="D650" s="42" t="str">
        <f>CONFERENCIAS!C650</f>
        <v/>
      </c>
      <c r="E650" s="42" t="str">
        <f>CONFERENCIAS!K650</f>
        <v/>
      </c>
      <c r="F650" s="49" t="str">
        <f>CONFERENCIAS!J650</f>
        <v/>
      </c>
      <c r="G650" s="42" t="str">
        <f>CONFERENCIAS!O650</f>
        <v/>
      </c>
      <c r="H650" s="42" t="str">
        <f>CONFERENCIAS!X650</f>
        <v/>
      </c>
      <c r="I650" s="42" t="str">
        <f>CONFERENCIAS!AA650</f>
        <v/>
      </c>
      <c r="J650" s="44" t="str">
        <f>CONFERENCIAS!P650</f>
        <v/>
      </c>
      <c r="K650" s="45" t="str">
        <f>CONFERENCIAS!R650</f>
        <v/>
      </c>
      <c r="L650" s="45">
        <f>IF(D650="",0,
 IF(E650=1,
   IF(H650="Presencial",
      VLOOKUP(D650,TARIFAS!A:K,3,FALSE) + IF(I650="Sí",VLOOKUP(D650,TARIFAS!A:K,5,FALSE),0),
      VLOOKUP(D650,TARIFAS!A:K,4,FALSE) + IF(I650="Sí",VLOOKUP(D650,TARIFAS!A:K,5,FALSE),0)
   ),
   IF(H650="Presencial",
      VLOOKUP(D650,TARIFAS!A:K,9,FALSE) + IF(I650="Sí",VLOOKUP(D650,TARIFAS!A:K,11,FALSE),0),
      VLOOKUP(D650,TARIFAS!A:K,10,FALSE) + IF(I650="Sí",VLOOKUP(D650,TARIFAS!A:K,11,FALSE),0)
   )
 )
)
</f>
        <v>0</v>
      </c>
      <c r="M650" s="45">
        <f>IF(J650="",0,MAX(0,J650 - TARIFAS!G$2) * TARIFAS!F$2)
</f>
        <v>0</v>
      </c>
      <c r="N650" s="45">
        <f>+L650*TARIFAS!$K$2</f>
        <v>0</v>
      </c>
      <c r="O650" s="45">
        <f t="shared" si="1"/>
        <v>0</v>
      </c>
      <c r="P650" s="45">
        <f>+M650+O650+K650+(+I650-(I650*TARIFAS!$K$2))</f>
        <v>0</v>
      </c>
      <c r="Q650" s="42" t="str">
        <f>CONFERENCIAS!T650</f>
        <v/>
      </c>
      <c r="R650" s="45" t="str">
        <f>CONFERENCIAS!U650</f>
        <v/>
      </c>
      <c r="S650" s="45" t="str">
        <f>CONFERENCIAS!W650</f>
        <v/>
      </c>
      <c r="T650" s="48">
        <f>IF(Q650="",0,
   IF(E650=1,
      IF(H650="Presencial",
         VLOOKUP(D650,TARIFAS!A:K,3,FALSE) + IF(I650="Sí",VLOOKUP(D650,TARIFAS!A:K,5,FALSE),0),
         VLOOKUP(D650,TARIFAS!A:K,4,FALSE) + IF(I650="Sí",VLOOKUP(D650,TARIFAS!A:K,5,FALSE),0)
      ),
      IF(H650="Presencial",
         VLOOKUP(D650,TARIFAS!A:K,9,FALSE) + IF(I650="Sí",VLOOKUP(D650,TARIFAS!A:K,11,FALSE),0),
         VLOOKUP(D650,TARIFAS!A:K,10,FALSE) + IF(I650="Sí",VLOOKUP(D650,TARIFAS!A:K,11,FALSE),0)
      )
   )
)
</f>
        <v>0</v>
      </c>
      <c r="U650" s="45">
        <f>IF(R650="",0,MAX(0,R650 - TARIFAS!G$2) * TARIFAS!F$2)
</f>
        <v>0</v>
      </c>
      <c r="V650" s="45">
        <f>+T650*TARIFAS!$K$2</f>
        <v>0</v>
      </c>
      <c r="W650" s="45">
        <f t="shared" si="2"/>
        <v>0</v>
      </c>
      <c r="X650" s="45">
        <f t="shared" si="3"/>
        <v>0</v>
      </c>
      <c r="Y650" s="45">
        <f t="shared" si="4"/>
        <v>0</v>
      </c>
      <c r="Z650" s="42" t="str">
        <f>CONFERENCIAS!AB650</f>
        <v/>
      </c>
      <c r="AA650" s="42" t="str">
        <f>CONFERENCIAS!AC650</f>
        <v/>
      </c>
      <c r="AB650" s="47" t="str">
        <f t="shared" si="5"/>
        <v/>
      </c>
      <c r="AC650" s="9" t="str">
        <f t="shared" si="6"/>
        <v/>
      </c>
    </row>
    <row r="651">
      <c r="A651" s="42" t="str">
        <f>CONFERENCIAS!A651</f>
        <v/>
      </c>
      <c r="D651" s="42" t="str">
        <f>CONFERENCIAS!C651</f>
        <v/>
      </c>
      <c r="E651" s="42" t="str">
        <f>CONFERENCIAS!K651</f>
        <v/>
      </c>
      <c r="F651" s="49" t="str">
        <f>CONFERENCIAS!J651</f>
        <v/>
      </c>
      <c r="G651" s="42" t="str">
        <f>CONFERENCIAS!O651</f>
        <v/>
      </c>
      <c r="H651" s="42" t="str">
        <f>CONFERENCIAS!X651</f>
        <v/>
      </c>
      <c r="I651" s="42" t="str">
        <f>CONFERENCIAS!AA651</f>
        <v/>
      </c>
      <c r="J651" s="44" t="str">
        <f>CONFERENCIAS!P651</f>
        <v/>
      </c>
      <c r="K651" s="45" t="str">
        <f>CONFERENCIAS!R651</f>
        <v/>
      </c>
      <c r="L651" s="45">
        <f>IF(D651="",0,
 IF(E651=1,
   IF(H651="Presencial",
      VLOOKUP(D651,TARIFAS!A:K,3,FALSE) + IF(I651="Sí",VLOOKUP(D651,TARIFAS!A:K,5,FALSE),0),
      VLOOKUP(D651,TARIFAS!A:K,4,FALSE) + IF(I651="Sí",VLOOKUP(D651,TARIFAS!A:K,5,FALSE),0)
   ),
   IF(H651="Presencial",
      VLOOKUP(D651,TARIFAS!A:K,9,FALSE) + IF(I651="Sí",VLOOKUP(D651,TARIFAS!A:K,11,FALSE),0),
      VLOOKUP(D651,TARIFAS!A:K,10,FALSE) + IF(I651="Sí",VLOOKUP(D651,TARIFAS!A:K,11,FALSE),0)
   )
 )
)
</f>
        <v>0</v>
      </c>
      <c r="M651" s="45">
        <f>IF(J651="",0,MAX(0,J651 - TARIFAS!G$2) * TARIFAS!F$2)
</f>
        <v>0</v>
      </c>
      <c r="N651" s="45">
        <f>+L651*TARIFAS!$K$2</f>
        <v>0</v>
      </c>
      <c r="O651" s="45">
        <f t="shared" si="1"/>
        <v>0</v>
      </c>
      <c r="P651" s="45">
        <f>+M651+O651+K651+(+I651-(I651*TARIFAS!$K$2))</f>
        <v>0</v>
      </c>
      <c r="Q651" s="42" t="str">
        <f>CONFERENCIAS!T651</f>
        <v/>
      </c>
      <c r="R651" s="45" t="str">
        <f>CONFERENCIAS!U651</f>
        <v/>
      </c>
      <c r="S651" s="45" t="str">
        <f>CONFERENCIAS!W651</f>
        <v/>
      </c>
      <c r="T651" s="48">
        <f>IF(Q651="",0,
   IF(E651=1,
      IF(H651="Presencial",
         VLOOKUP(D651,TARIFAS!A:K,3,FALSE) + IF(I651="Sí",VLOOKUP(D651,TARIFAS!A:K,5,FALSE),0),
         VLOOKUP(D651,TARIFAS!A:K,4,FALSE) + IF(I651="Sí",VLOOKUP(D651,TARIFAS!A:K,5,FALSE),0)
      ),
      IF(H651="Presencial",
         VLOOKUP(D651,TARIFAS!A:K,9,FALSE) + IF(I651="Sí",VLOOKUP(D651,TARIFAS!A:K,11,FALSE),0),
         VLOOKUP(D651,TARIFAS!A:K,10,FALSE) + IF(I651="Sí",VLOOKUP(D651,TARIFAS!A:K,11,FALSE),0)
      )
   )
)
</f>
        <v>0</v>
      </c>
      <c r="U651" s="45">
        <f>IF(R651="",0,MAX(0,R651 - TARIFAS!G$2) * TARIFAS!F$2)
</f>
        <v>0</v>
      </c>
      <c r="V651" s="45">
        <f>+T651*TARIFAS!$K$2</f>
        <v>0</v>
      </c>
      <c r="W651" s="45">
        <f t="shared" si="2"/>
        <v>0</v>
      </c>
      <c r="X651" s="45">
        <f t="shared" si="3"/>
        <v>0</v>
      </c>
      <c r="Y651" s="45">
        <f t="shared" si="4"/>
        <v>0</v>
      </c>
      <c r="Z651" s="42" t="str">
        <f>CONFERENCIAS!AB651</f>
        <v/>
      </c>
      <c r="AA651" s="42" t="str">
        <f>CONFERENCIAS!AC651</f>
        <v/>
      </c>
      <c r="AB651" s="47" t="str">
        <f t="shared" si="5"/>
        <v/>
      </c>
      <c r="AC651" s="9" t="str">
        <f t="shared" si="6"/>
        <v/>
      </c>
    </row>
    <row r="652">
      <c r="A652" s="42" t="str">
        <f>CONFERENCIAS!A652</f>
        <v/>
      </c>
      <c r="D652" s="42" t="str">
        <f>CONFERENCIAS!C652</f>
        <v/>
      </c>
      <c r="E652" s="42" t="str">
        <f>CONFERENCIAS!K652</f>
        <v/>
      </c>
      <c r="F652" s="49" t="str">
        <f>CONFERENCIAS!J652</f>
        <v/>
      </c>
      <c r="G652" s="42" t="str">
        <f>CONFERENCIAS!O652</f>
        <v/>
      </c>
      <c r="H652" s="42" t="str">
        <f>CONFERENCIAS!X652</f>
        <v/>
      </c>
      <c r="I652" s="42" t="str">
        <f>CONFERENCIAS!AA652</f>
        <v/>
      </c>
      <c r="J652" s="44" t="str">
        <f>CONFERENCIAS!P652</f>
        <v/>
      </c>
      <c r="K652" s="45" t="str">
        <f>CONFERENCIAS!R652</f>
        <v/>
      </c>
      <c r="L652" s="45">
        <f>IF(D652="",0,
 IF(E652=1,
   IF(H652="Presencial",
      VLOOKUP(D652,TARIFAS!A:K,3,FALSE) + IF(I652="Sí",VLOOKUP(D652,TARIFAS!A:K,5,FALSE),0),
      VLOOKUP(D652,TARIFAS!A:K,4,FALSE) + IF(I652="Sí",VLOOKUP(D652,TARIFAS!A:K,5,FALSE),0)
   ),
   IF(H652="Presencial",
      VLOOKUP(D652,TARIFAS!A:K,9,FALSE) + IF(I652="Sí",VLOOKUP(D652,TARIFAS!A:K,11,FALSE),0),
      VLOOKUP(D652,TARIFAS!A:K,10,FALSE) + IF(I652="Sí",VLOOKUP(D652,TARIFAS!A:K,11,FALSE),0)
   )
 )
)
</f>
        <v>0</v>
      </c>
      <c r="M652" s="45">
        <f>IF(J652="",0,MAX(0,J652 - TARIFAS!G$2) * TARIFAS!F$2)
</f>
        <v>0</v>
      </c>
      <c r="N652" s="45">
        <f>+L652*TARIFAS!$K$2</f>
        <v>0</v>
      </c>
      <c r="O652" s="45">
        <f t="shared" si="1"/>
        <v>0</v>
      </c>
      <c r="P652" s="45">
        <f>+M652+O652+K652+(+I652-(I652*TARIFAS!$K$2))</f>
        <v>0</v>
      </c>
      <c r="Q652" s="42" t="str">
        <f>CONFERENCIAS!T652</f>
        <v/>
      </c>
      <c r="R652" s="45" t="str">
        <f>CONFERENCIAS!U652</f>
        <v/>
      </c>
      <c r="S652" s="45" t="str">
        <f>CONFERENCIAS!W652</f>
        <v/>
      </c>
      <c r="T652" s="48">
        <f>IF(Q652="",0,
   IF(E652=1,
      IF(H652="Presencial",
         VLOOKUP(D652,TARIFAS!A:K,3,FALSE) + IF(I652="Sí",VLOOKUP(D652,TARIFAS!A:K,5,FALSE),0),
         VLOOKUP(D652,TARIFAS!A:K,4,FALSE) + IF(I652="Sí",VLOOKUP(D652,TARIFAS!A:K,5,FALSE),0)
      ),
      IF(H652="Presencial",
         VLOOKUP(D652,TARIFAS!A:K,9,FALSE) + IF(I652="Sí",VLOOKUP(D652,TARIFAS!A:K,11,FALSE),0),
         VLOOKUP(D652,TARIFAS!A:K,10,FALSE) + IF(I652="Sí",VLOOKUP(D652,TARIFAS!A:K,11,FALSE),0)
      )
   )
)
</f>
        <v>0</v>
      </c>
      <c r="U652" s="45">
        <f>IF(R652="",0,MAX(0,R652 - TARIFAS!G$2) * TARIFAS!F$2)
</f>
        <v>0</v>
      </c>
      <c r="V652" s="45">
        <f>+T652*TARIFAS!$K$2</f>
        <v>0</v>
      </c>
      <c r="W652" s="45">
        <f t="shared" si="2"/>
        <v>0</v>
      </c>
      <c r="X652" s="45">
        <f t="shared" si="3"/>
        <v>0</v>
      </c>
      <c r="Y652" s="45">
        <f t="shared" si="4"/>
        <v>0</v>
      </c>
      <c r="Z652" s="42" t="str">
        <f>CONFERENCIAS!AB652</f>
        <v/>
      </c>
      <c r="AA652" s="42" t="str">
        <f>CONFERENCIAS!AC652</f>
        <v/>
      </c>
      <c r="AB652" s="47" t="str">
        <f t="shared" si="5"/>
        <v/>
      </c>
      <c r="AC652" s="9" t="str">
        <f t="shared" si="6"/>
        <v/>
      </c>
    </row>
    <row r="653">
      <c r="A653" s="42" t="str">
        <f>CONFERENCIAS!A653</f>
        <v/>
      </c>
      <c r="D653" s="42" t="str">
        <f>CONFERENCIAS!C653</f>
        <v/>
      </c>
      <c r="E653" s="42" t="str">
        <f>CONFERENCIAS!K653</f>
        <v/>
      </c>
      <c r="F653" s="49" t="str">
        <f>CONFERENCIAS!J653</f>
        <v/>
      </c>
      <c r="G653" s="42" t="str">
        <f>CONFERENCIAS!O653</f>
        <v/>
      </c>
      <c r="H653" s="42" t="str">
        <f>CONFERENCIAS!X653</f>
        <v/>
      </c>
      <c r="I653" s="42" t="str">
        <f>CONFERENCIAS!AA653</f>
        <v/>
      </c>
      <c r="J653" s="44" t="str">
        <f>CONFERENCIAS!P653</f>
        <v/>
      </c>
      <c r="K653" s="45" t="str">
        <f>CONFERENCIAS!R653</f>
        <v/>
      </c>
      <c r="L653" s="45">
        <f>IF(D653="",0,
 IF(E653=1,
   IF(H653="Presencial",
      VLOOKUP(D653,TARIFAS!A:K,3,FALSE) + IF(I653="Sí",VLOOKUP(D653,TARIFAS!A:K,5,FALSE),0),
      VLOOKUP(D653,TARIFAS!A:K,4,FALSE) + IF(I653="Sí",VLOOKUP(D653,TARIFAS!A:K,5,FALSE),0)
   ),
   IF(H653="Presencial",
      VLOOKUP(D653,TARIFAS!A:K,9,FALSE) + IF(I653="Sí",VLOOKUP(D653,TARIFAS!A:K,11,FALSE),0),
      VLOOKUP(D653,TARIFAS!A:K,10,FALSE) + IF(I653="Sí",VLOOKUP(D653,TARIFAS!A:K,11,FALSE),0)
   )
 )
)
</f>
        <v>0</v>
      </c>
      <c r="M653" s="45">
        <f>IF(J653="",0,MAX(0,J653 - TARIFAS!G$2) * TARIFAS!F$2)
</f>
        <v>0</v>
      </c>
      <c r="N653" s="45">
        <f>+L653*TARIFAS!$K$2</f>
        <v>0</v>
      </c>
      <c r="O653" s="45">
        <f t="shared" si="1"/>
        <v>0</v>
      </c>
      <c r="P653" s="45">
        <f>+M653+O653+K653+(+I653-(I653*TARIFAS!$K$2))</f>
        <v>0</v>
      </c>
      <c r="Q653" s="42" t="str">
        <f>CONFERENCIAS!T653</f>
        <v/>
      </c>
      <c r="R653" s="45" t="str">
        <f>CONFERENCIAS!U653</f>
        <v/>
      </c>
      <c r="S653" s="45" t="str">
        <f>CONFERENCIAS!W653</f>
        <v/>
      </c>
      <c r="T653" s="48">
        <f>IF(Q653="",0,
   IF(E653=1,
      IF(H653="Presencial",
         VLOOKUP(D653,TARIFAS!A:K,3,FALSE) + IF(I653="Sí",VLOOKUP(D653,TARIFAS!A:K,5,FALSE),0),
         VLOOKUP(D653,TARIFAS!A:K,4,FALSE) + IF(I653="Sí",VLOOKUP(D653,TARIFAS!A:K,5,FALSE),0)
      ),
      IF(H653="Presencial",
         VLOOKUP(D653,TARIFAS!A:K,9,FALSE) + IF(I653="Sí",VLOOKUP(D653,TARIFAS!A:K,11,FALSE),0),
         VLOOKUP(D653,TARIFAS!A:K,10,FALSE) + IF(I653="Sí",VLOOKUP(D653,TARIFAS!A:K,11,FALSE),0)
      )
   )
)
</f>
        <v>0</v>
      </c>
      <c r="U653" s="45">
        <f>IF(R653="",0,MAX(0,R653 - TARIFAS!G$2) * TARIFAS!F$2)
</f>
        <v>0</v>
      </c>
      <c r="V653" s="45">
        <f>+T653*TARIFAS!$K$2</f>
        <v>0</v>
      </c>
      <c r="W653" s="45">
        <f t="shared" si="2"/>
        <v>0</v>
      </c>
      <c r="X653" s="45">
        <f t="shared" si="3"/>
        <v>0</v>
      </c>
      <c r="Y653" s="45">
        <f t="shared" si="4"/>
        <v>0</v>
      </c>
      <c r="Z653" s="42" t="str">
        <f>CONFERENCIAS!AB653</f>
        <v/>
      </c>
      <c r="AA653" s="42" t="str">
        <f>CONFERENCIAS!AC653</f>
        <v/>
      </c>
      <c r="AB653" s="47" t="str">
        <f t="shared" si="5"/>
        <v/>
      </c>
      <c r="AC653" s="9" t="str">
        <f t="shared" si="6"/>
        <v/>
      </c>
    </row>
    <row r="654">
      <c r="A654" s="42" t="str">
        <f>CONFERENCIAS!A654</f>
        <v/>
      </c>
      <c r="D654" s="42" t="str">
        <f>CONFERENCIAS!C654</f>
        <v/>
      </c>
      <c r="E654" s="42" t="str">
        <f>CONFERENCIAS!K654</f>
        <v/>
      </c>
      <c r="F654" s="49" t="str">
        <f>CONFERENCIAS!J654</f>
        <v/>
      </c>
      <c r="G654" s="42" t="str">
        <f>CONFERENCIAS!O654</f>
        <v/>
      </c>
      <c r="H654" s="42" t="str">
        <f>CONFERENCIAS!X654</f>
        <v/>
      </c>
      <c r="I654" s="42" t="str">
        <f>CONFERENCIAS!AA654</f>
        <v/>
      </c>
      <c r="J654" s="44" t="str">
        <f>CONFERENCIAS!P654</f>
        <v/>
      </c>
      <c r="K654" s="45" t="str">
        <f>CONFERENCIAS!R654</f>
        <v/>
      </c>
      <c r="L654" s="45">
        <f>IF(D654="",0,
 IF(E654=1,
   IF(H654="Presencial",
      VLOOKUP(D654,TARIFAS!A:K,3,FALSE) + IF(I654="Sí",VLOOKUP(D654,TARIFAS!A:K,5,FALSE),0),
      VLOOKUP(D654,TARIFAS!A:K,4,FALSE) + IF(I654="Sí",VLOOKUP(D654,TARIFAS!A:K,5,FALSE),0)
   ),
   IF(H654="Presencial",
      VLOOKUP(D654,TARIFAS!A:K,9,FALSE) + IF(I654="Sí",VLOOKUP(D654,TARIFAS!A:K,11,FALSE),0),
      VLOOKUP(D654,TARIFAS!A:K,10,FALSE) + IF(I654="Sí",VLOOKUP(D654,TARIFAS!A:K,11,FALSE),0)
   )
 )
)
</f>
        <v>0</v>
      </c>
      <c r="M654" s="45">
        <f>IF(J654="",0,MAX(0,J654 - TARIFAS!G$2) * TARIFAS!F$2)
</f>
        <v>0</v>
      </c>
      <c r="N654" s="45">
        <f>+L654*TARIFAS!$K$2</f>
        <v>0</v>
      </c>
      <c r="O654" s="45">
        <f t="shared" si="1"/>
        <v>0</v>
      </c>
      <c r="P654" s="45">
        <f>+M654+O654+K654+(+I654-(I654*TARIFAS!$K$2))</f>
        <v>0</v>
      </c>
      <c r="Q654" s="42" t="str">
        <f>CONFERENCIAS!T654</f>
        <v/>
      </c>
      <c r="R654" s="45" t="str">
        <f>CONFERENCIAS!U654</f>
        <v/>
      </c>
      <c r="S654" s="45" t="str">
        <f>CONFERENCIAS!W654</f>
        <v/>
      </c>
      <c r="T654" s="48">
        <f>IF(Q654="",0,
   IF(E654=1,
      IF(H654="Presencial",
         VLOOKUP(D654,TARIFAS!A:K,3,FALSE) + IF(I654="Sí",VLOOKUP(D654,TARIFAS!A:K,5,FALSE),0),
         VLOOKUP(D654,TARIFAS!A:K,4,FALSE) + IF(I654="Sí",VLOOKUP(D654,TARIFAS!A:K,5,FALSE),0)
      ),
      IF(H654="Presencial",
         VLOOKUP(D654,TARIFAS!A:K,9,FALSE) + IF(I654="Sí",VLOOKUP(D654,TARIFAS!A:K,11,FALSE),0),
         VLOOKUP(D654,TARIFAS!A:K,10,FALSE) + IF(I654="Sí",VLOOKUP(D654,TARIFAS!A:K,11,FALSE),0)
      )
   )
)
</f>
        <v>0</v>
      </c>
      <c r="U654" s="45">
        <f>IF(R654="",0,MAX(0,R654 - TARIFAS!G$2) * TARIFAS!F$2)
</f>
        <v>0</v>
      </c>
      <c r="V654" s="45">
        <f>+T654*TARIFAS!$K$2</f>
        <v>0</v>
      </c>
      <c r="W654" s="45">
        <f t="shared" si="2"/>
        <v>0</v>
      </c>
      <c r="X654" s="45">
        <f t="shared" si="3"/>
        <v>0</v>
      </c>
      <c r="Y654" s="45">
        <f t="shared" si="4"/>
        <v>0</v>
      </c>
      <c r="Z654" s="42" t="str">
        <f>CONFERENCIAS!AB654</f>
        <v/>
      </c>
      <c r="AA654" s="42" t="str">
        <f>CONFERENCIAS!AC654</f>
        <v/>
      </c>
      <c r="AB654" s="47" t="str">
        <f t="shared" si="5"/>
        <v/>
      </c>
      <c r="AC654" s="9" t="str">
        <f t="shared" si="6"/>
        <v/>
      </c>
    </row>
    <row r="655">
      <c r="A655" s="42" t="str">
        <f>CONFERENCIAS!A655</f>
        <v/>
      </c>
      <c r="D655" s="42" t="str">
        <f>CONFERENCIAS!C655</f>
        <v/>
      </c>
      <c r="E655" s="42" t="str">
        <f>CONFERENCIAS!K655</f>
        <v/>
      </c>
      <c r="F655" s="49" t="str">
        <f>CONFERENCIAS!J655</f>
        <v/>
      </c>
      <c r="G655" s="42" t="str">
        <f>CONFERENCIAS!O655</f>
        <v/>
      </c>
      <c r="H655" s="42" t="str">
        <f>CONFERENCIAS!X655</f>
        <v/>
      </c>
      <c r="I655" s="42" t="str">
        <f>CONFERENCIAS!AA655</f>
        <v/>
      </c>
      <c r="J655" s="44" t="str">
        <f>CONFERENCIAS!P655</f>
        <v/>
      </c>
      <c r="K655" s="45" t="str">
        <f>CONFERENCIAS!R655</f>
        <v/>
      </c>
      <c r="L655" s="45">
        <f>IF(D655="",0,
 IF(E655=1,
   IF(H655="Presencial",
      VLOOKUP(D655,TARIFAS!A:K,3,FALSE) + IF(I655="Sí",VLOOKUP(D655,TARIFAS!A:K,5,FALSE),0),
      VLOOKUP(D655,TARIFAS!A:K,4,FALSE) + IF(I655="Sí",VLOOKUP(D655,TARIFAS!A:K,5,FALSE),0)
   ),
   IF(H655="Presencial",
      VLOOKUP(D655,TARIFAS!A:K,9,FALSE) + IF(I655="Sí",VLOOKUP(D655,TARIFAS!A:K,11,FALSE),0),
      VLOOKUP(D655,TARIFAS!A:K,10,FALSE) + IF(I655="Sí",VLOOKUP(D655,TARIFAS!A:K,11,FALSE),0)
   )
 )
)
</f>
        <v>0</v>
      </c>
      <c r="M655" s="45">
        <f>IF(J655="",0,MAX(0,J655 - TARIFAS!G$2) * TARIFAS!F$2)
</f>
        <v>0</v>
      </c>
      <c r="N655" s="45">
        <f>+L655*TARIFAS!$K$2</f>
        <v>0</v>
      </c>
      <c r="O655" s="45">
        <f t="shared" si="1"/>
        <v>0</v>
      </c>
      <c r="P655" s="45">
        <f>+M655+O655+K655+(+I655-(I655*TARIFAS!$K$2))</f>
        <v>0</v>
      </c>
      <c r="Q655" s="42" t="str">
        <f>CONFERENCIAS!T655</f>
        <v/>
      </c>
      <c r="R655" s="45" t="str">
        <f>CONFERENCIAS!U655</f>
        <v/>
      </c>
      <c r="S655" s="45" t="str">
        <f>CONFERENCIAS!W655</f>
        <v/>
      </c>
      <c r="T655" s="48">
        <f>IF(Q655="",0,
   IF(E655=1,
      IF(H655="Presencial",
         VLOOKUP(D655,TARIFAS!A:K,3,FALSE) + IF(I655="Sí",VLOOKUP(D655,TARIFAS!A:K,5,FALSE),0),
         VLOOKUP(D655,TARIFAS!A:K,4,FALSE) + IF(I655="Sí",VLOOKUP(D655,TARIFAS!A:K,5,FALSE),0)
      ),
      IF(H655="Presencial",
         VLOOKUP(D655,TARIFAS!A:K,9,FALSE) + IF(I655="Sí",VLOOKUP(D655,TARIFAS!A:K,11,FALSE),0),
         VLOOKUP(D655,TARIFAS!A:K,10,FALSE) + IF(I655="Sí",VLOOKUP(D655,TARIFAS!A:K,11,FALSE),0)
      )
   )
)
</f>
        <v>0</v>
      </c>
      <c r="U655" s="45">
        <f>IF(R655="",0,MAX(0,R655 - TARIFAS!G$2) * TARIFAS!F$2)
</f>
        <v>0</v>
      </c>
      <c r="V655" s="45">
        <f>+T655*TARIFAS!$K$2</f>
        <v>0</v>
      </c>
      <c r="W655" s="45">
        <f t="shared" si="2"/>
        <v>0</v>
      </c>
      <c r="X655" s="45">
        <f t="shared" si="3"/>
        <v>0</v>
      </c>
      <c r="Y655" s="45">
        <f t="shared" si="4"/>
        <v>0</v>
      </c>
      <c r="Z655" s="42" t="str">
        <f>CONFERENCIAS!AB655</f>
        <v/>
      </c>
      <c r="AA655" s="42" t="str">
        <f>CONFERENCIAS!AC655</f>
        <v/>
      </c>
      <c r="AB655" s="47" t="str">
        <f t="shared" si="5"/>
        <v/>
      </c>
      <c r="AC655" s="9" t="str">
        <f t="shared" si="6"/>
        <v/>
      </c>
    </row>
    <row r="656">
      <c r="A656" s="42" t="str">
        <f>CONFERENCIAS!A656</f>
        <v/>
      </c>
      <c r="D656" s="42" t="str">
        <f>CONFERENCIAS!C656</f>
        <v/>
      </c>
      <c r="E656" s="42" t="str">
        <f>CONFERENCIAS!K656</f>
        <v/>
      </c>
      <c r="F656" s="49" t="str">
        <f>CONFERENCIAS!J656</f>
        <v/>
      </c>
      <c r="G656" s="42" t="str">
        <f>CONFERENCIAS!O656</f>
        <v/>
      </c>
      <c r="H656" s="42" t="str">
        <f>CONFERENCIAS!X656</f>
        <v/>
      </c>
      <c r="I656" s="42" t="str">
        <f>CONFERENCIAS!AA656</f>
        <v/>
      </c>
      <c r="J656" s="44" t="str">
        <f>CONFERENCIAS!P656</f>
        <v/>
      </c>
      <c r="K656" s="45" t="str">
        <f>CONFERENCIAS!R656</f>
        <v/>
      </c>
      <c r="L656" s="45">
        <f>IF(D656="",0,
 IF(E656=1,
   IF(H656="Presencial",
      VLOOKUP(D656,TARIFAS!A:K,3,FALSE) + IF(I656="Sí",VLOOKUP(D656,TARIFAS!A:K,5,FALSE),0),
      VLOOKUP(D656,TARIFAS!A:K,4,FALSE) + IF(I656="Sí",VLOOKUP(D656,TARIFAS!A:K,5,FALSE),0)
   ),
   IF(H656="Presencial",
      VLOOKUP(D656,TARIFAS!A:K,9,FALSE) + IF(I656="Sí",VLOOKUP(D656,TARIFAS!A:K,11,FALSE),0),
      VLOOKUP(D656,TARIFAS!A:K,10,FALSE) + IF(I656="Sí",VLOOKUP(D656,TARIFAS!A:K,11,FALSE),0)
   )
 )
)
</f>
        <v>0</v>
      </c>
      <c r="M656" s="45">
        <f>IF(J656="",0,MAX(0,J656 - TARIFAS!G$2) * TARIFAS!F$2)
</f>
        <v>0</v>
      </c>
      <c r="N656" s="45">
        <f>+L656*TARIFAS!$K$2</f>
        <v>0</v>
      </c>
      <c r="O656" s="45">
        <f t="shared" si="1"/>
        <v>0</v>
      </c>
      <c r="P656" s="45">
        <f>+M656+O656+K656+(+I656-(I656*TARIFAS!$K$2))</f>
        <v>0</v>
      </c>
      <c r="Q656" s="42" t="str">
        <f>CONFERENCIAS!T656</f>
        <v/>
      </c>
      <c r="R656" s="45" t="str">
        <f>CONFERENCIAS!U656</f>
        <v/>
      </c>
      <c r="S656" s="45" t="str">
        <f>CONFERENCIAS!W656</f>
        <v/>
      </c>
      <c r="T656" s="48">
        <f>IF(Q656="",0,
   IF(E656=1,
      IF(H656="Presencial",
         VLOOKUP(D656,TARIFAS!A:K,3,FALSE) + IF(I656="Sí",VLOOKUP(D656,TARIFAS!A:K,5,FALSE),0),
         VLOOKUP(D656,TARIFAS!A:K,4,FALSE) + IF(I656="Sí",VLOOKUP(D656,TARIFAS!A:K,5,FALSE),0)
      ),
      IF(H656="Presencial",
         VLOOKUP(D656,TARIFAS!A:K,9,FALSE) + IF(I656="Sí",VLOOKUP(D656,TARIFAS!A:K,11,FALSE),0),
         VLOOKUP(D656,TARIFAS!A:K,10,FALSE) + IF(I656="Sí",VLOOKUP(D656,TARIFAS!A:K,11,FALSE),0)
      )
   )
)
</f>
        <v>0</v>
      </c>
      <c r="U656" s="45">
        <f>IF(R656="",0,MAX(0,R656 - TARIFAS!G$2) * TARIFAS!F$2)
</f>
        <v>0</v>
      </c>
      <c r="V656" s="45">
        <f>+T656*TARIFAS!$K$2</f>
        <v>0</v>
      </c>
      <c r="W656" s="45">
        <f t="shared" si="2"/>
        <v>0</v>
      </c>
      <c r="X656" s="45">
        <f t="shared" si="3"/>
        <v>0</v>
      </c>
      <c r="Y656" s="45">
        <f t="shared" si="4"/>
        <v>0</v>
      </c>
      <c r="Z656" s="42" t="str">
        <f>CONFERENCIAS!AB656</f>
        <v/>
      </c>
      <c r="AA656" s="42" t="str">
        <f>CONFERENCIAS!AC656</f>
        <v/>
      </c>
      <c r="AB656" s="47" t="str">
        <f t="shared" si="5"/>
        <v/>
      </c>
      <c r="AC656" s="9" t="str">
        <f t="shared" si="6"/>
        <v/>
      </c>
    </row>
    <row r="657">
      <c r="A657" s="42" t="str">
        <f>CONFERENCIAS!A657</f>
        <v/>
      </c>
      <c r="D657" s="42" t="str">
        <f>CONFERENCIAS!C657</f>
        <v/>
      </c>
      <c r="E657" s="42" t="str">
        <f>CONFERENCIAS!K657</f>
        <v/>
      </c>
      <c r="F657" s="49" t="str">
        <f>CONFERENCIAS!J657</f>
        <v/>
      </c>
      <c r="G657" s="42" t="str">
        <f>CONFERENCIAS!O657</f>
        <v/>
      </c>
      <c r="H657" s="42" t="str">
        <f>CONFERENCIAS!X657</f>
        <v/>
      </c>
      <c r="I657" s="42" t="str">
        <f>CONFERENCIAS!AA657</f>
        <v/>
      </c>
      <c r="J657" s="44" t="str">
        <f>CONFERENCIAS!P657</f>
        <v/>
      </c>
      <c r="K657" s="45" t="str">
        <f>CONFERENCIAS!R657</f>
        <v/>
      </c>
      <c r="L657" s="45">
        <f>IF(D657="",0,
 IF(E657=1,
   IF(H657="Presencial",
      VLOOKUP(D657,TARIFAS!A:K,3,FALSE) + IF(I657="Sí",VLOOKUP(D657,TARIFAS!A:K,5,FALSE),0),
      VLOOKUP(D657,TARIFAS!A:K,4,FALSE) + IF(I657="Sí",VLOOKUP(D657,TARIFAS!A:K,5,FALSE),0)
   ),
   IF(H657="Presencial",
      VLOOKUP(D657,TARIFAS!A:K,9,FALSE) + IF(I657="Sí",VLOOKUP(D657,TARIFAS!A:K,11,FALSE),0),
      VLOOKUP(D657,TARIFAS!A:K,10,FALSE) + IF(I657="Sí",VLOOKUP(D657,TARIFAS!A:K,11,FALSE),0)
   )
 )
)
</f>
        <v>0</v>
      </c>
      <c r="M657" s="45">
        <f>IF(J657="",0,MAX(0,J657 - TARIFAS!G$2) * TARIFAS!F$2)
</f>
        <v>0</v>
      </c>
      <c r="N657" s="45">
        <f>+L657*TARIFAS!$K$2</f>
        <v>0</v>
      </c>
      <c r="O657" s="45">
        <f t="shared" si="1"/>
        <v>0</v>
      </c>
      <c r="P657" s="45">
        <f>+M657+O657+K657+(+I657-(I657*TARIFAS!$K$2))</f>
        <v>0</v>
      </c>
      <c r="Q657" s="42" t="str">
        <f>CONFERENCIAS!T657</f>
        <v/>
      </c>
      <c r="R657" s="45" t="str">
        <f>CONFERENCIAS!U657</f>
        <v/>
      </c>
      <c r="S657" s="45" t="str">
        <f>CONFERENCIAS!W657</f>
        <v/>
      </c>
      <c r="T657" s="48">
        <f>IF(Q657="",0,
   IF(E657=1,
      IF(H657="Presencial",
         VLOOKUP(D657,TARIFAS!A:K,3,FALSE) + IF(I657="Sí",VLOOKUP(D657,TARIFAS!A:K,5,FALSE),0),
         VLOOKUP(D657,TARIFAS!A:K,4,FALSE) + IF(I657="Sí",VLOOKUP(D657,TARIFAS!A:K,5,FALSE),0)
      ),
      IF(H657="Presencial",
         VLOOKUP(D657,TARIFAS!A:K,9,FALSE) + IF(I657="Sí",VLOOKUP(D657,TARIFAS!A:K,11,FALSE),0),
         VLOOKUP(D657,TARIFAS!A:K,10,FALSE) + IF(I657="Sí",VLOOKUP(D657,TARIFAS!A:K,11,FALSE),0)
      )
   )
)
</f>
        <v>0</v>
      </c>
      <c r="U657" s="45">
        <f>IF(R657="",0,MAX(0,R657 - TARIFAS!G$2) * TARIFAS!F$2)
</f>
        <v>0</v>
      </c>
      <c r="V657" s="45">
        <f>+T657*TARIFAS!$K$2</f>
        <v>0</v>
      </c>
      <c r="W657" s="45">
        <f t="shared" si="2"/>
        <v>0</v>
      </c>
      <c r="X657" s="45">
        <f t="shared" si="3"/>
        <v>0</v>
      </c>
      <c r="Y657" s="45">
        <f t="shared" si="4"/>
        <v>0</v>
      </c>
      <c r="Z657" s="42" t="str">
        <f>CONFERENCIAS!AB657</f>
        <v/>
      </c>
      <c r="AA657" s="42" t="str">
        <f>CONFERENCIAS!AC657</f>
        <v/>
      </c>
      <c r="AB657" s="47" t="str">
        <f t="shared" si="5"/>
        <v/>
      </c>
      <c r="AC657" s="9" t="str">
        <f t="shared" si="6"/>
        <v/>
      </c>
    </row>
    <row r="658">
      <c r="A658" s="42" t="str">
        <f>CONFERENCIAS!A658</f>
        <v/>
      </c>
      <c r="D658" s="42" t="str">
        <f>CONFERENCIAS!C658</f>
        <v/>
      </c>
      <c r="E658" s="42" t="str">
        <f>CONFERENCIAS!K658</f>
        <v/>
      </c>
      <c r="F658" s="49" t="str">
        <f>CONFERENCIAS!J658</f>
        <v/>
      </c>
      <c r="G658" s="42" t="str">
        <f>CONFERENCIAS!O658</f>
        <v/>
      </c>
      <c r="H658" s="42" t="str">
        <f>CONFERENCIAS!X658</f>
        <v/>
      </c>
      <c r="I658" s="42" t="str">
        <f>CONFERENCIAS!AA658</f>
        <v/>
      </c>
      <c r="J658" s="44" t="str">
        <f>CONFERENCIAS!P658</f>
        <v/>
      </c>
      <c r="K658" s="45" t="str">
        <f>CONFERENCIAS!R658</f>
        <v/>
      </c>
      <c r="L658" s="45">
        <f>IF(D658="",0,
 IF(E658=1,
   IF(H658="Presencial",
      VLOOKUP(D658,TARIFAS!A:K,3,FALSE) + IF(I658="Sí",VLOOKUP(D658,TARIFAS!A:K,5,FALSE),0),
      VLOOKUP(D658,TARIFAS!A:K,4,FALSE) + IF(I658="Sí",VLOOKUP(D658,TARIFAS!A:K,5,FALSE),0)
   ),
   IF(H658="Presencial",
      VLOOKUP(D658,TARIFAS!A:K,9,FALSE) + IF(I658="Sí",VLOOKUP(D658,TARIFAS!A:K,11,FALSE),0),
      VLOOKUP(D658,TARIFAS!A:K,10,FALSE) + IF(I658="Sí",VLOOKUP(D658,TARIFAS!A:K,11,FALSE),0)
   )
 )
)
</f>
        <v>0</v>
      </c>
      <c r="M658" s="45">
        <f>IF(J658="",0,MAX(0,J658 - TARIFAS!G$2) * TARIFAS!F$2)
</f>
        <v>0</v>
      </c>
      <c r="N658" s="45">
        <f>+L658*TARIFAS!$K$2</f>
        <v>0</v>
      </c>
      <c r="O658" s="45">
        <f t="shared" si="1"/>
        <v>0</v>
      </c>
      <c r="P658" s="45">
        <f>+M658+O658+K658+(+I658-(I658*TARIFAS!$K$2))</f>
        <v>0</v>
      </c>
      <c r="Q658" s="42" t="str">
        <f>CONFERENCIAS!T658</f>
        <v/>
      </c>
      <c r="R658" s="45" t="str">
        <f>CONFERENCIAS!U658</f>
        <v/>
      </c>
      <c r="S658" s="45" t="str">
        <f>CONFERENCIAS!W658</f>
        <v/>
      </c>
      <c r="T658" s="48">
        <f>IF(Q658="",0,
   IF(E658=1,
      IF(H658="Presencial",
         VLOOKUP(D658,TARIFAS!A:K,3,FALSE) + IF(I658="Sí",VLOOKUP(D658,TARIFAS!A:K,5,FALSE),0),
         VLOOKUP(D658,TARIFAS!A:K,4,FALSE) + IF(I658="Sí",VLOOKUP(D658,TARIFAS!A:K,5,FALSE),0)
      ),
      IF(H658="Presencial",
         VLOOKUP(D658,TARIFAS!A:K,9,FALSE) + IF(I658="Sí",VLOOKUP(D658,TARIFAS!A:K,11,FALSE),0),
         VLOOKUP(D658,TARIFAS!A:K,10,FALSE) + IF(I658="Sí",VLOOKUP(D658,TARIFAS!A:K,11,FALSE),0)
      )
   )
)
</f>
        <v>0</v>
      </c>
      <c r="U658" s="45">
        <f>IF(R658="",0,MAX(0,R658 - TARIFAS!G$2) * TARIFAS!F$2)
</f>
        <v>0</v>
      </c>
      <c r="V658" s="45">
        <f>+T658*TARIFAS!$K$2</f>
        <v>0</v>
      </c>
      <c r="W658" s="45">
        <f t="shared" si="2"/>
        <v>0</v>
      </c>
      <c r="X658" s="45">
        <f t="shared" si="3"/>
        <v>0</v>
      </c>
      <c r="Y658" s="45">
        <f t="shared" si="4"/>
        <v>0</v>
      </c>
      <c r="Z658" s="42" t="str">
        <f>CONFERENCIAS!AB658</f>
        <v/>
      </c>
      <c r="AA658" s="42" t="str">
        <f>CONFERENCIAS!AC658</f>
        <v/>
      </c>
      <c r="AB658" s="47" t="str">
        <f t="shared" si="5"/>
        <v/>
      </c>
      <c r="AC658" s="9" t="str">
        <f t="shared" si="6"/>
        <v/>
      </c>
    </row>
    <row r="659">
      <c r="A659" s="42" t="str">
        <f>CONFERENCIAS!A659</f>
        <v/>
      </c>
      <c r="D659" s="42" t="str">
        <f>CONFERENCIAS!C659</f>
        <v/>
      </c>
      <c r="E659" s="42" t="str">
        <f>CONFERENCIAS!K659</f>
        <v/>
      </c>
      <c r="F659" s="49" t="str">
        <f>CONFERENCIAS!J659</f>
        <v/>
      </c>
      <c r="G659" s="42" t="str">
        <f>CONFERENCIAS!O659</f>
        <v/>
      </c>
      <c r="H659" s="42" t="str">
        <f>CONFERENCIAS!X659</f>
        <v/>
      </c>
      <c r="I659" s="42" t="str">
        <f>CONFERENCIAS!AA659</f>
        <v/>
      </c>
      <c r="J659" s="44" t="str">
        <f>CONFERENCIAS!P659</f>
        <v/>
      </c>
      <c r="K659" s="45" t="str">
        <f>CONFERENCIAS!R659</f>
        <v/>
      </c>
      <c r="L659" s="45">
        <f>IF(D659="",0,
 IF(E659=1,
   IF(H659="Presencial",
      VLOOKUP(D659,TARIFAS!A:K,3,FALSE) + IF(I659="Sí",VLOOKUP(D659,TARIFAS!A:K,5,FALSE),0),
      VLOOKUP(D659,TARIFAS!A:K,4,FALSE) + IF(I659="Sí",VLOOKUP(D659,TARIFAS!A:K,5,FALSE),0)
   ),
   IF(H659="Presencial",
      VLOOKUP(D659,TARIFAS!A:K,9,FALSE) + IF(I659="Sí",VLOOKUP(D659,TARIFAS!A:K,11,FALSE),0),
      VLOOKUP(D659,TARIFAS!A:K,10,FALSE) + IF(I659="Sí",VLOOKUP(D659,TARIFAS!A:K,11,FALSE),0)
   )
 )
)
</f>
        <v>0</v>
      </c>
      <c r="M659" s="45">
        <f>IF(J659="",0,MAX(0,J659 - TARIFAS!G$2) * TARIFAS!F$2)
</f>
        <v>0</v>
      </c>
      <c r="N659" s="45">
        <f>+L659*TARIFAS!$K$2</f>
        <v>0</v>
      </c>
      <c r="O659" s="45">
        <f t="shared" si="1"/>
        <v>0</v>
      </c>
      <c r="P659" s="45">
        <f>+M659+O659+K659+(+I659-(I659*TARIFAS!$K$2))</f>
        <v>0</v>
      </c>
      <c r="Q659" s="42" t="str">
        <f>CONFERENCIAS!T659</f>
        <v/>
      </c>
      <c r="R659" s="45" t="str">
        <f>CONFERENCIAS!U659</f>
        <v/>
      </c>
      <c r="S659" s="45" t="str">
        <f>CONFERENCIAS!W659</f>
        <v/>
      </c>
      <c r="T659" s="48">
        <f>IF(Q659="",0,
   IF(E659=1,
      IF(H659="Presencial",
         VLOOKUP(D659,TARIFAS!A:K,3,FALSE) + IF(I659="Sí",VLOOKUP(D659,TARIFAS!A:K,5,FALSE),0),
         VLOOKUP(D659,TARIFAS!A:K,4,FALSE) + IF(I659="Sí",VLOOKUP(D659,TARIFAS!A:K,5,FALSE),0)
      ),
      IF(H659="Presencial",
         VLOOKUP(D659,TARIFAS!A:K,9,FALSE) + IF(I659="Sí",VLOOKUP(D659,TARIFAS!A:K,11,FALSE),0),
         VLOOKUP(D659,TARIFAS!A:K,10,FALSE) + IF(I659="Sí",VLOOKUP(D659,TARIFAS!A:K,11,FALSE),0)
      )
   )
)
</f>
        <v>0</v>
      </c>
      <c r="U659" s="45">
        <f>IF(R659="",0,MAX(0,R659 - TARIFAS!G$2) * TARIFAS!F$2)
</f>
        <v>0</v>
      </c>
      <c r="V659" s="45">
        <f>+T659*TARIFAS!$K$2</f>
        <v>0</v>
      </c>
      <c r="W659" s="45">
        <f t="shared" si="2"/>
        <v>0</v>
      </c>
      <c r="X659" s="45">
        <f t="shared" si="3"/>
        <v>0</v>
      </c>
      <c r="Y659" s="45">
        <f t="shared" si="4"/>
        <v>0</v>
      </c>
      <c r="Z659" s="42" t="str">
        <f>CONFERENCIAS!AB659</f>
        <v/>
      </c>
      <c r="AA659" s="42" t="str">
        <f>CONFERENCIAS!AC659</f>
        <v/>
      </c>
      <c r="AB659" s="47" t="str">
        <f t="shared" si="5"/>
        <v/>
      </c>
      <c r="AC659" s="9" t="str">
        <f t="shared" si="6"/>
        <v/>
      </c>
    </row>
    <row r="660">
      <c r="A660" s="42" t="str">
        <f>CONFERENCIAS!A660</f>
        <v/>
      </c>
      <c r="D660" s="42" t="str">
        <f>CONFERENCIAS!C660</f>
        <v/>
      </c>
      <c r="E660" s="42" t="str">
        <f>CONFERENCIAS!K660</f>
        <v/>
      </c>
      <c r="F660" s="49" t="str">
        <f>CONFERENCIAS!J660</f>
        <v/>
      </c>
      <c r="G660" s="42" t="str">
        <f>CONFERENCIAS!O660</f>
        <v/>
      </c>
      <c r="H660" s="42" t="str">
        <f>CONFERENCIAS!X660</f>
        <v/>
      </c>
      <c r="I660" s="42" t="str">
        <f>CONFERENCIAS!AA660</f>
        <v/>
      </c>
      <c r="J660" s="44" t="str">
        <f>CONFERENCIAS!P660</f>
        <v/>
      </c>
      <c r="K660" s="45" t="str">
        <f>CONFERENCIAS!R660</f>
        <v/>
      </c>
      <c r="L660" s="45">
        <f>IF(D660="",0,
 IF(E660=1,
   IF(H660="Presencial",
      VLOOKUP(D660,TARIFAS!A:K,3,FALSE) + IF(I660="Sí",VLOOKUP(D660,TARIFAS!A:K,5,FALSE),0),
      VLOOKUP(D660,TARIFAS!A:K,4,FALSE) + IF(I660="Sí",VLOOKUP(D660,TARIFAS!A:K,5,FALSE),0)
   ),
   IF(H660="Presencial",
      VLOOKUP(D660,TARIFAS!A:K,9,FALSE) + IF(I660="Sí",VLOOKUP(D660,TARIFAS!A:K,11,FALSE),0),
      VLOOKUP(D660,TARIFAS!A:K,10,FALSE) + IF(I660="Sí",VLOOKUP(D660,TARIFAS!A:K,11,FALSE),0)
   )
 )
)
</f>
        <v>0</v>
      </c>
      <c r="M660" s="45">
        <f>IF(J660="",0,MAX(0,J660 - TARIFAS!G$2) * TARIFAS!F$2)
</f>
        <v>0</v>
      </c>
      <c r="N660" s="45">
        <f>+L660*TARIFAS!$K$2</f>
        <v>0</v>
      </c>
      <c r="O660" s="45">
        <f t="shared" si="1"/>
        <v>0</v>
      </c>
      <c r="P660" s="45">
        <f>+M660+O660+K660+(+I660-(I660*TARIFAS!$K$2))</f>
        <v>0</v>
      </c>
      <c r="Q660" s="42" t="str">
        <f>CONFERENCIAS!T660</f>
        <v/>
      </c>
      <c r="R660" s="45" t="str">
        <f>CONFERENCIAS!U660</f>
        <v/>
      </c>
      <c r="S660" s="45" t="str">
        <f>CONFERENCIAS!W660</f>
        <v/>
      </c>
      <c r="T660" s="48">
        <f>IF(Q660="",0,
   IF(E660=1,
      IF(H660="Presencial",
         VLOOKUP(D660,TARIFAS!A:K,3,FALSE) + IF(I660="Sí",VLOOKUP(D660,TARIFAS!A:K,5,FALSE),0),
         VLOOKUP(D660,TARIFAS!A:K,4,FALSE) + IF(I660="Sí",VLOOKUP(D660,TARIFAS!A:K,5,FALSE),0)
      ),
      IF(H660="Presencial",
         VLOOKUP(D660,TARIFAS!A:K,9,FALSE) + IF(I660="Sí",VLOOKUP(D660,TARIFAS!A:K,11,FALSE),0),
         VLOOKUP(D660,TARIFAS!A:K,10,FALSE) + IF(I660="Sí",VLOOKUP(D660,TARIFAS!A:K,11,FALSE),0)
      )
   )
)
</f>
        <v>0</v>
      </c>
      <c r="U660" s="45">
        <f>IF(R660="",0,MAX(0,R660 - TARIFAS!G$2) * TARIFAS!F$2)
</f>
        <v>0</v>
      </c>
      <c r="V660" s="45">
        <f>+T660*TARIFAS!$K$2</f>
        <v>0</v>
      </c>
      <c r="W660" s="45">
        <f t="shared" si="2"/>
        <v>0</v>
      </c>
      <c r="X660" s="45">
        <f t="shared" si="3"/>
        <v>0</v>
      </c>
      <c r="Y660" s="45">
        <f t="shared" si="4"/>
        <v>0</v>
      </c>
      <c r="Z660" s="42" t="str">
        <f>CONFERENCIAS!AB660</f>
        <v/>
      </c>
      <c r="AA660" s="42" t="str">
        <f>CONFERENCIAS!AC660</f>
        <v/>
      </c>
      <c r="AB660" s="47" t="str">
        <f t="shared" si="5"/>
        <v/>
      </c>
      <c r="AC660" s="9" t="str">
        <f t="shared" si="6"/>
        <v/>
      </c>
    </row>
    <row r="661">
      <c r="A661" s="42" t="str">
        <f>CONFERENCIAS!A661</f>
        <v/>
      </c>
      <c r="D661" s="42" t="str">
        <f>CONFERENCIAS!C661</f>
        <v/>
      </c>
      <c r="E661" s="42" t="str">
        <f>CONFERENCIAS!K661</f>
        <v/>
      </c>
      <c r="F661" s="49" t="str">
        <f>CONFERENCIAS!J661</f>
        <v/>
      </c>
      <c r="G661" s="42" t="str">
        <f>CONFERENCIAS!O661</f>
        <v/>
      </c>
      <c r="H661" s="42" t="str">
        <f>CONFERENCIAS!X661</f>
        <v/>
      </c>
      <c r="I661" s="42" t="str">
        <f>CONFERENCIAS!AA661</f>
        <v/>
      </c>
      <c r="J661" s="44" t="str">
        <f>CONFERENCIAS!P661</f>
        <v/>
      </c>
      <c r="K661" s="45" t="str">
        <f>CONFERENCIAS!R661</f>
        <v/>
      </c>
      <c r="L661" s="45">
        <f>IF(D661="",0,
 IF(E661=1,
   IF(H661="Presencial",
      VLOOKUP(D661,TARIFAS!A:K,3,FALSE) + IF(I661="Sí",VLOOKUP(D661,TARIFAS!A:K,5,FALSE),0),
      VLOOKUP(D661,TARIFAS!A:K,4,FALSE) + IF(I661="Sí",VLOOKUP(D661,TARIFAS!A:K,5,FALSE),0)
   ),
   IF(H661="Presencial",
      VLOOKUP(D661,TARIFAS!A:K,9,FALSE) + IF(I661="Sí",VLOOKUP(D661,TARIFAS!A:K,11,FALSE),0),
      VLOOKUP(D661,TARIFAS!A:K,10,FALSE) + IF(I661="Sí",VLOOKUP(D661,TARIFAS!A:K,11,FALSE),0)
   )
 )
)
</f>
        <v>0</v>
      </c>
      <c r="M661" s="45">
        <f>IF(J661="",0,MAX(0,J661 - TARIFAS!G$2) * TARIFAS!F$2)
</f>
        <v>0</v>
      </c>
      <c r="N661" s="45">
        <f>+L661*TARIFAS!$K$2</f>
        <v>0</v>
      </c>
      <c r="O661" s="45">
        <f t="shared" si="1"/>
        <v>0</v>
      </c>
      <c r="P661" s="45">
        <f>+M661+O661+K661+(+I661-(I661*TARIFAS!$K$2))</f>
        <v>0</v>
      </c>
      <c r="Q661" s="42" t="str">
        <f>CONFERENCIAS!T661</f>
        <v/>
      </c>
      <c r="R661" s="45" t="str">
        <f>CONFERENCIAS!U661</f>
        <v/>
      </c>
      <c r="S661" s="45" t="str">
        <f>CONFERENCIAS!W661</f>
        <v/>
      </c>
      <c r="T661" s="48">
        <f>IF(Q661="",0,
   IF(E661=1,
      IF(H661="Presencial",
         VLOOKUP(D661,TARIFAS!A:K,3,FALSE) + IF(I661="Sí",VLOOKUP(D661,TARIFAS!A:K,5,FALSE),0),
         VLOOKUP(D661,TARIFAS!A:K,4,FALSE) + IF(I661="Sí",VLOOKUP(D661,TARIFAS!A:K,5,FALSE),0)
      ),
      IF(H661="Presencial",
         VLOOKUP(D661,TARIFAS!A:K,9,FALSE) + IF(I661="Sí",VLOOKUP(D661,TARIFAS!A:K,11,FALSE),0),
         VLOOKUP(D661,TARIFAS!A:K,10,FALSE) + IF(I661="Sí",VLOOKUP(D661,TARIFAS!A:K,11,FALSE),0)
      )
   )
)
</f>
        <v>0</v>
      </c>
      <c r="U661" s="45">
        <f>IF(R661="",0,MAX(0,R661 - TARIFAS!G$2) * TARIFAS!F$2)
</f>
        <v>0</v>
      </c>
      <c r="V661" s="45">
        <f>+T661*TARIFAS!$K$2</f>
        <v>0</v>
      </c>
      <c r="W661" s="45">
        <f t="shared" si="2"/>
        <v>0</v>
      </c>
      <c r="X661" s="45">
        <f t="shared" si="3"/>
        <v>0</v>
      </c>
      <c r="Y661" s="45">
        <f t="shared" si="4"/>
        <v>0</v>
      </c>
      <c r="Z661" s="42" t="str">
        <f>CONFERENCIAS!AB661</f>
        <v/>
      </c>
      <c r="AA661" s="42" t="str">
        <f>CONFERENCIAS!AC661</f>
        <v/>
      </c>
      <c r="AB661" s="47" t="str">
        <f t="shared" si="5"/>
        <v/>
      </c>
      <c r="AC661" s="9" t="str">
        <f t="shared" si="6"/>
        <v/>
      </c>
    </row>
    <row r="662">
      <c r="A662" s="42" t="str">
        <f>CONFERENCIAS!A662</f>
        <v/>
      </c>
      <c r="D662" s="42" t="str">
        <f>CONFERENCIAS!C662</f>
        <v/>
      </c>
      <c r="E662" s="42" t="str">
        <f>CONFERENCIAS!K662</f>
        <v/>
      </c>
      <c r="F662" s="49" t="str">
        <f>CONFERENCIAS!J662</f>
        <v/>
      </c>
      <c r="G662" s="42" t="str">
        <f>CONFERENCIAS!O662</f>
        <v/>
      </c>
      <c r="H662" s="42" t="str">
        <f>CONFERENCIAS!X662</f>
        <v/>
      </c>
      <c r="I662" s="42" t="str">
        <f>CONFERENCIAS!AA662</f>
        <v/>
      </c>
      <c r="J662" s="44" t="str">
        <f>CONFERENCIAS!P662</f>
        <v/>
      </c>
      <c r="K662" s="45" t="str">
        <f>CONFERENCIAS!R662</f>
        <v/>
      </c>
      <c r="L662" s="45">
        <f>IF(D662="",0,
 IF(E662=1,
   IF(H662="Presencial",
      VLOOKUP(D662,TARIFAS!A:K,3,FALSE) + IF(I662="Sí",VLOOKUP(D662,TARIFAS!A:K,5,FALSE),0),
      VLOOKUP(D662,TARIFAS!A:K,4,FALSE) + IF(I662="Sí",VLOOKUP(D662,TARIFAS!A:K,5,FALSE),0)
   ),
   IF(H662="Presencial",
      VLOOKUP(D662,TARIFAS!A:K,9,FALSE) + IF(I662="Sí",VLOOKUP(D662,TARIFAS!A:K,11,FALSE),0),
      VLOOKUP(D662,TARIFAS!A:K,10,FALSE) + IF(I662="Sí",VLOOKUP(D662,TARIFAS!A:K,11,FALSE),0)
   )
 )
)
</f>
        <v>0</v>
      </c>
      <c r="M662" s="45">
        <f>IF(J662="",0,MAX(0,J662 - TARIFAS!G$2) * TARIFAS!F$2)
</f>
        <v>0</v>
      </c>
      <c r="N662" s="45">
        <f>+L662*TARIFAS!$K$2</f>
        <v>0</v>
      </c>
      <c r="O662" s="45">
        <f t="shared" si="1"/>
        <v>0</v>
      </c>
      <c r="P662" s="45">
        <f>+M662+O662+K662+(+I662-(I662*TARIFAS!$K$2))</f>
        <v>0</v>
      </c>
      <c r="Q662" s="42" t="str">
        <f>CONFERENCIAS!T662</f>
        <v/>
      </c>
      <c r="R662" s="45" t="str">
        <f>CONFERENCIAS!U662</f>
        <v/>
      </c>
      <c r="S662" s="45" t="str">
        <f>CONFERENCIAS!W662</f>
        <v/>
      </c>
      <c r="T662" s="48">
        <f>IF(Q662="",0,
   IF(E662=1,
      IF(H662="Presencial",
         VLOOKUP(D662,TARIFAS!A:K,3,FALSE) + IF(I662="Sí",VLOOKUP(D662,TARIFAS!A:K,5,FALSE),0),
         VLOOKUP(D662,TARIFAS!A:K,4,FALSE) + IF(I662="Sí",VLOOKUP(D662,TARIFAS!A:K,5,FALSE),0)
      ),
      IF(H662="Presencial",
         VLOOKUP(D662,TARIFAS!A:K,9,FALSE) + IF(I662="Sí",VLOOKUP(D662,TARIFAS!A:K,11,FALSE),0),
         VLOOKUP(D662,TARIFAS!A:K,10,FALSE) + IF(I662="Sí",VLOOKUP(D662,TARIFAS!A:K,11,FALSE),0)
      )
   )
)
</f>
        <v>0</v>
      </c>
      <c r="U662" s="45">
        <f>IF(R662="",0,MAX(0,R662 - TARIFAS!G$2) * TARIFAS!F$2)
</f>
        <v>0</v>
      </c>
      <c r="V662" s="45">
        <f>+T662*TARIFAS!$K$2</f>
        <v>0</v>
      </c>
      <c r="W662" s="45">
        <f t="shared" si="2"/>
        <v>0</v>
      </c>
      <c r="X662" s="45">
        <f t="shared" si="3"/>
        <v>0</v>
      </c>
      <c r="Y662" s="45">
        <f t="shared" si="4"/>
        <v>0</v>
      </c>
      <c r="Z662" s="42" t="str">
        <f>CONFERENCIAS!AB662</f>
        <v/>
      </c>
      <c r="AA662" s="42" t="str">
        <f>CONFERENCIAS!AC662</f>
        <v/>
      </c>
      <c r="AB662" s="47" t="str">
        <f t="shared" si="5"/>
        <v/>
      </c>
      <c r="AC662" s="9" t="str">
        <f t="shared" si="6"/>
        <v/>
      </c>
    </row>
    <row r="663">
      <c r="A663" s="42" t="str">
        <f>CONFERENCIAS!A663</f>
        <v/>
      </c>
      <c r="D663" s="42" t="str">
        <f>CONFERENCIAS!C663</f>
        <v/>
      </c>
      <c r="E663" s="42" t="str">
        <f>CONFERENCIAS!K663</f>
        <v/>
      </c>
      <c r="F663" s="49" t="str">
        <f>CONFERENCIAS!J663</f>
        <v/>
      </c>
      <c r="G663" s="42" t="str">
        <f>CONFERENCIAS!O663</f>
        <v/>
      </c>
      <c r="H663" s="42" t="str">
        <f>CONFERENCIAS!X663</f>
        <v/>
      </c>
      <c r="I663" s="42" t="str">
        <f>CONFERENCIAS!AA663</f>
        <v/>
      </c>
      <c r="J663" s="44" t="str">
        <f>CONFERENCIAS!P663</f>
        <v/>
      </c>
      <c r="K663" s="45" t="str">
        <f>CONFERENCIAS!R663</f>
        <v/>
      </c>
      <c r="L663" s="45">
        <f>IF(D663="",0,
 IF(E663=1,
   IF(H663="Presencial",
      VLOOKUP(D663,TARIFAS!A:K,3,FALSE) + IF(I663="Sí",VLOOKUP(D663,TARIFAS!A:K,5,FALSE),0),
      VLOOKUP(D663,TARIFAS!A:K,4,FALSE) + IF(I663="Sí",VLOOKUP(D663,TARIFAS!A:K,5,FALSE),0)
   ),
   IF(H663="Presencial",
      VLOOKUP(D663,TARIFAS!A:K,9,FALSE) + IF(I663="Sí",VLOOKUP(D663,TARIFAS!A:K,11,FALSE),0),
      VLOOKUP(D663,TARIFAS!A:K,10,FALSE) + IF(I663="Sí",VLOOKUP(D663,TARIFAS!A:K,11,FALSE),0)
   )
 )
)
</f>
        <v>0</v>
      </c>
      <c r="M663" s="45">
        <f>IF(J663="",0,MAX(0,J663 - TARIFAS!G$2) * TARIFAS!F$2)
</f>
        <v>0</v>
      </c>
      <c r="N663" s="45">
        <f>+L663*TARIFAS!$K$2</f>
        <v>0</v>
      </c>
      <c r="O663" s="45">
        <f t="shared" si="1"/>
        <v>0</v>
      </c>
      <c r="P663" s="45">
        <f>+M663+O663+K663+(+I663-(I663*TARIFAS!$K$2))</f>
        <v>0</v>
      </c>
      <c r="Q663" s="42" t="str">
        <f>CONFERENCIAS!T663</f>
        <v/>
      </c>
      <c r="R663" s="45" t="str">
        <f>CONFERENCIAS!U663</f>
        <v/>
      </c>
      <c r="S663" s="45" t="str">
        <f>CONFERENCIAS!W663</f>
        <v/>
      </c>
      <c r="T663" s="48">
        <f>IF(Q663="",0,
   IF(E663=1,
      IF(H663="Presencial",
         VLOOKUP(D663,TARIFAS!A:K,3,FALSE) + IF(I663="Sí",VLOOKUP(D663,TARIFAS!A:K,5,FALSE),0),
         VLOOKUP(D663,TARIFAS!A:K,4,FALSE) + IF(I663="Sí",VLOOKUP(D663,TARIFAS!A:K,5,FALSE),0)
      ),
      IF(H663="Presencial",
         VLOOKUP(D663,TARIFAS!A:K,9,FALSE) + IF(I663="Sí",VLOOKUP(D663,TARIFAS!A:K,11,FALSE),0),
         VLOOKUP(D663,TARIFAS!A:K,10,FALSE) + IF(I663="Sí",VLOOKUP(D663,TARIFAS!A:K,11,FALSE),0)
      )
   )
)
</f>
        <v>0</v>
      </c>
      <c r="U663" s="45">
        <f>IF(R663="",0,MAX(0,R663 - TARIFAS!G$2) * TARIFAS!F$2)
</f>
        <v>0</v>
      </c>
      <c r="V663" s="45">
        <f>+T663*TARIFAS!$K$2</f>
        <v>0</v>
      </c>
      <c r="W663" s="45">
        <f t="shared" si="2"/>
        <v>0</v>
      </c>
      <c r="X663" s="45">
        <f t="shared" si="3"/>
        <v>0</v>
      </c>
      <c r="Y663" s="45">
        <f t="shared" si="4"/>
        <v>0</v>
      </c>
      <c r="Z663" s="42" t="str">
        <f>CONFERENCIAS!AB663</f>
        <v/>
      </c>
      <c r="AA663" s="42" t="str">
        <f>CONFERENCIAS!AC663</f>
        <v/>
      </c>
      <c r="AB663" s="47" t="str">
        <f t="shared" si="5"/>
        <v/>
      </c>
      <c r="AC663" s="9" t="str">
        <f t="shared" si="6"/>
        <v/>
      </c>
    </row>
    <row r="664">
      <c r="A664" s="42" t="str">
        <f>CONFERENCIAS!A664</f>
        <v/>
      </c>
      <c r="D664" s="42" t="str">
        <f>CONFERENCIAS!C664</f>
        <v/>
      </c>
      <c r="E664" s="42" t="str">
        <f>CONFERENCIAS!K664</f>
        <v/>
      </c>
      <c r="F664" s="49" t="str">
        <f>CONFERENCIAS!J664</f>
        <v/>
      </c>
      <c r="G664" s="42" t="str">
        <f>CONFERENCIAS!O664</f>
        <v/>
      </c>
      <c r="H664" s="42" t="str">
        <f>CONFERENCIAS!X664</f>
        <v/>
      </c>
      <c r="I664" s="42" t="str">
        <f>CONFERENCIAS!AA664</f>
        <v/>
      </c>
      <c r="J664" s="44" t="str">
        <f>CONFERENCIAS!P664</f>
        <v/>
      </c>
      <c r="K664" s="45" t="str">
        <f>CONFERENCIAS!R664</f>
        <v/>
      </c>
      <c r="L664" s="45">
        <f>IF(D664="",0,
 IF(E664=1,
   IF(H664="Presencial",
      VLOOKUP(D664,TARIFAS!A:K,3,FALSE) + IF(I664="Sí",VLOOKUP(D664,TARIFAS!A:K,5,FALSE),0),
      VLOOKUP(D664,TARIFAS!A:K,4,FALSE) + IF(I664="Sí",VLOOKUP(D664,TARIFAS!A:K,5,FALSE),0)
   ),
   IF(H664="Presencial",
      VLOOKUP(D664,TARIFAS!A:K,9,FALSE) + IF(I664="Sí",VLOOKUP(D664,TARIFAS!A:K,11,FALSE),0),
      VLOOKUP(D664,TARIFAS!A:K,10,FALSE) + IF(I664="Sí",VLOOKUP(D664,TARIFAS!A:K,11,FALSE),0)
   )
 )
)
</f>
        <v>0</v>
      </c>
      <c r="M664" s="45">
        <f>IF(J664="",0,MAX(0,J664 - TARIFAS!G$2) * TARIFAS!F$2)
</f>
        <v>0</v>
      </c>
      <c r="N664" s="45">
        <f>+L664*TARIFAS!$K$2</f>
        <v>0</v>
      </c>
      <c r="O664" s="45">
        <f t="shared" si="1"/>
        <v>0</v>
      </c>
      <c r="P664" s="45">
        <f>+M664+O664+K664+(+I664-(I664*TARIFAS!$K$2))</f>
        <v>0</v>
      </c>
      <c r="Q664" s="42" t="str">
        <f>CONFERENCIAS!T664</f>
        <v/>
      </c>
      <c r="R664" s="45" t="str">
        <f>CONFERENCIAS!U664</f>
        <v/>
      </c>
      <c r="S664" s="45" t="str">
        <f>CONFERENCIAS!W664</f>
        <v/>
      </c>
      <c r="T664" s="48">
        <f>IF(Q664="",0,
   IF(E664=1,
      IF(H664="Presencial",
         VLOOKUP(D664,TARIFAS!A:K,3,FALSE) + IF(I664="Sí",VLOOKUP(D664,TARIFAS!A:K,5,FALSE),0),
         VLOOKUP(D664,TARIFAS!A:K,4,FALSE) + IF(I664="Sí",VLOOKUP(D664,TARIFAS!A:K,5,FALSE),0)
      ),
      IF(H664="Presencial",
         VLOOKUP(D664,TARIFAS!A:K,9,FALSE) + IF(I664="Sí",VLOOKUP(D664,TARIFAS!A:K,11,FALSE),0),
         VLOOKUP(D664,TARIFAS!A:K,10,FALSE) + IF(I664="Sí",VLOOKUP(D664,TARIFAS!A:K,11,FALSE),0)
      )
   )
)
</f>
        <v>0</v>
      </c>
      <c r="U664" s="45">
        <f>IF(R664="",0,MAX(0,R664 - TARIFAS!G$2) * TARIFAS!F$2)
</f>
        <v>0</v>
      </c>
      <c r="V664" s="45">
        <f>+T664*TARIFAS!$K$2</f>
        <v>0</v>
      </c>
      <c r="W664" s="45">
        <f t="shared" si="2"/>
        <v>0</v>
      </c>
      <c r="X664" s="45">
        <f t="shared" si="3"/>
        <v>0</v>
      </c>
      <c r="Y664" s="45">
        <f t="shared" si="4"/>
        <v>0</v>
      </c>
      <c r="Z664" s="42" t="str">
        <f>CONFERENCIAS!AB664</f>
        <v/>
      </c>
      <c r="AA664" s="42" t="str">
        <f>CONFERENCIAS!AC664</f>
        <v/>
      </c>
      <c r="AB664" s="47" t="str">
        <f t="shared" si="5"/>
        <v/>
      </c>
      <c r="AC664" s="9" t="str">
        <f t="shared" si="6"/>
        <v/>
      </c>
    </row>
    <row r="665">
      <c r="A665" s="42" t="str">
        <f>CONFERENCIAS!A665</f>
        <v/>
      </c>
      <c r="D665" s="42" t="str">
        <f>CONFERENCIAS!C665</f>
        <v/>
      </c>
      <c r="E665" s="42" t="str">
        <f>CONFERENCIAS!K665</f>
        <v/>
      </c>
      <c r="F665" s="49" t="str">
        <f>CONFERENCIAS!J665</f>
        <v/>
      </c>
      <c r="G665" s="42" t="str">
        <f>CONFERENCIAS!O665</f>
        <v/>
      </c>
      <c r="H665" s="42" t="str">
        <f>CONFERENCIAS!X665</f>
        <v/>
      </c>
      <c r="I665" s="42" t="str">
        <f>CONFERENCIAS!AA665</f>
        <v/>
      </c>
      <c r="J665" s="44" t="str">
        <f>CONFERENCIAS!P665</f>
        <v/>
      </c>
      <c r="K665" s="45" t="str">
        <f>CONFERENCIAS!R665</f>
        <v/>
      </c>
      <c r="L665" s="45">
        <f>IF(D665="",0,
 IF(E665=1,
   IF(H665="Presencial",
      VLOOKUP(D665,TARIFAS!A:K,3,FALSE) + IF(I665="Sí",VLOOKUP(D665,TARIFAS!A:K,5,FALSE),0),
      VLOOKUP(D665,TARIFAS!A:K,4,FALSE) + IF(I665="Sí",VLOOKUP(D665,TARIFAS!A:K,5,FALSE),0)
   ),
   IF(H665="Presencial",
      VLOOKUP(D665,TARIFAS!A:K,9,FALSE) + IF(I665="Sí",VLOOKUP(D665,TARIFAS!A:K,11,FALSE),0),
      VLOOKUP(D665,TARIFAS!A:K,10,FALSE) + IF(I665="Sí",VLOOKUP(D665,TARIFAS!A:K,11,FALSE),0)
   )
 )
)
</f>
        <v>0</v>
      </c>
      <c r="M665" s="45">
        <f>IF(J665="",0,MAX(0,J665 - TARIFAS!G$2) * TARIFAS!F$2)
</f>
        <v>0</v>
      </c>
      <c r="N665" s="45">
        <f>+L665*TARIFAS!$K$2</f>
        <v>0</v>
      </c>
      <c r="O665" s="45">
        <f t="shared" si="1"/>
        <v>0</v>
      </c>
      <c r="P665" s="45">
        <f>+M665+O665+K665+(+I665-(I665*TARIFAS!$K$2))</f>
        <v>0</v>
      </c>
      <c r="Q665" s="42" t="str">
        <f>CONFERENCIAS!T665</f>
        <v/>
      </c>
      <c r="R665" s="45" t="str">
        <f>CONFERENCIAS!U665</f>
        <v/>
      </c>
      <c r="S665" s="45" t="str">
        <f>CONFERENCIAS!W665</f>
        <v/>
      </c>
      <c r="T665" s="48">
        <f>IF(Q665="",0,
   IF(E665=1,
      IF(H665="Presencial",
         VLOOKUP(D665,TARIFAS!A:K,3,FALSE) + IF(I665="Sí",VLOOKUP(D665,TARIFAS!A:K,5,FALSE),0),
         VLOOKUP(D665,TARIFAS!A:K,4,FALSE) + IF(I665="Sí",VLOOKUP(D665,TARIFAS!A:K,5,FALSE),0)
      ),
      IF(H665="Presencial",
         VLOOKUP(D665,TARIFAS!A:K,9,FALSE) + IF(I665="Sí",VLOOKUP(D665,TARIFAS!A:K,11,FALSE),0),
         VLOOKUP(D665,TARIFAS!A:K,10,FALSE) + IF(I665="Sí",VLOOKUP(D665,TARIFAS!A:K,11,FALSE),0)
      )
   )
)
</f>
        <v>0</v>
      </c>
      <c r="U665" s="45">
        <f>IF(R665="",0,MAX(0,R665 - TARIFAS!G$2) * TARIFAS!F$2)
</f>
        <v>0</v>
      </c>
      <c r="V665" s="45">
        <f>+T665*TARIFAS!$K$2</f>
        <v>0</v>
      </c>
      <c r="W665" s="45">
        <f t="shared" si="2"/>
        <v>0</v>
      </c>
      <c r="X665" s="45">
        <f t="shared" si="3"/>
        <v>0</v>
      </c>
      <c r="Y665" s="45">
        <f t="shared" si="4"/>
        <v>0</v>
      </c>
      <c r="Z665" s="42" t="str">
        <f>CONFERENCIAS!AB665</f>
        <v/>
      </c>
      <c r="AA665" s="42" t="str">
        <f>CONFERENCIAS!AC665</f>
        <v/>
      </c>
      <c r="AB665" s="47" t="str">
        <f t="shared" si="5"/>
        <v/>
      </c>
      <c r="AC665" s="9" t="str">
        <f t="shared" si="6"/>
        <v/>
      </c>
    </row>
    <row r="666">
      <c r="A666" s="42" t="str">
        <f>CONFERENCIAS!A666</f>
        <v/>
      </c>
      <c r="D666" s="42" t="str">
        <f>CONFERENCIAS!C666</f>
        <v/>
      </c>
      <c r="E666" s="42" t="str">
        <f>CONFERENCIAS!K666</f>
        <v/>
      </c>
      <c r="F666" s="49" t="str">
        <f>CONFERENCIAS!J666</f>
        <v/>
      </c>
      <c r="G666" s="42" t="str">
        <f>CONFERENCIAS!O666</f>
        <v/>
      </c>
      <c r="H666" s="42" t="str">
        <f>CONFERENCIAS!X666</f>
        <v/>
      </c>
      <c r="I666" s="42" t="str">
        <f>CONFERENCIAS!AA666</f>
        <v/>
      </c>
      <c r="J666" s="44" t="str">
        <f>CONFERENCIAS!P666</f>
        <v/>
      </c>
      <c r="K666" s="45" t="str">
        <f>CONFERENCIAS!R666</f>
        <v/>
      </c>
      <c r="L666" s="45">
        <f>IF(D666="",0,
 IF(E666=1,
   IF(H666="Presencial",
      VLOOKUP(D666,TARIFAS!A:K,3,FALSE) + IF(I666="Sí",VLOOKUP(D666,TARIFAS!A:K,5,FALSE),0),
      VLOOKUP(D666,TARIFAS!A:K,4,FALSE) + IF(I666="Sí",VLOOKUP(D666,TARIFAS!A:K,5,FALSE),0)
   ),
   IF(H666="Presencial",
      VLOOKUP(D666,TARIFAS!A:K,9,FALSE) + IF(I666="Sí",VLOOKUP(D666,TARIFAS!A:K,11,FALSE),0),
      VLOOKUP(D666,TARIFAS!A:K,10,FALSE) + IF(I666="Sí",VLOOKUP(D666,TARIFAS!A:K,11,FALSE),0)
   )
 )
)
</f>
        <v>0</v>
      </c>
      <c r="M666" s="45">
        <f>IF(J666="",0,MAX(0,J666 - TARIFAS!G$2) * TARIFAS!F$2)
</f>
        <v>0</v>
      </c>
      <c r="N666" s="45">
        <f>+L666*TARIFAS!$K$2</f>
        <v>0</v>
      </c>
      <c r="O666" s="45">
        <f t="shared" si="1"/>
        <v>0</v>
      </c>
      <c r="P666" s="45">
        <f>+M666+O666+K666+(+I666-(I666*TARIFAS!$K$2))</f>
        <v>0</v>
      </c>
      <c r="Q666" s="42" t="str">
        <f>CONFERENCIAS!T666</f>
        <v/>
      </c>
      <c r="R666" s="45" t="str">
        <f>CONFERENCIAS!U666</f>
        <v/>
      </c>
      <c r="S666" s="45" t="str">
        <f>CONFERENCIAS!W666</f>
        <v/>
      </c>
      <c r="T666" s="48">
        <f>IF(Q666="",0,
   IF(E666=1,
      IF(H666="Presencial",
         VLOOKUP(D666,TARIFAS!A:K,3,FALSE) + IF(I666="Sí",VLOOKUP(D666,TARIFAS!A:K,5,FALSE),0),
         VLOOKUP(D666,TARIFAS!A:K,4,FALSE) + IF(I666="Sí",VLOOKUP(D666,TARIFAS!A:K,5,FALSE),0)
      ),
      IF(H666="Presencial",
         VLOOKUP(D666,TARIFAS!A:K,9,FALSE) + IF(I666="Sí",VLOOKUP(D666,TARIFAS!A:K,11,FALSE),0),
         VLOOKUP(D666,TARIFAS!A:K,10,FALSE) + IF(I666="Sí",VLOOKUP(D666,TARIFAS!A:K,11,FALSE),0)
      )
   )
)
</f>
        <v>0</v>
      </c>
      <c r="U666" s="45">
        <f>IF(R666="",0,MAX(0,R666 - TARIFAS!G$2) * TARIFAS!F$2)
</f>
        <v>0</v>
      </c>
      <c r="V666" s="45">
        <f>+T666*TARIFAS!$K$2</f>
        <v>0</v>
      </c>
      <c r="W666" s="45">
        <f t="shared" si="2"/>
        <v>0</v>
      </c>
      <c r="X666" s="45">
        <f t="shared" si="3"/>
        <v>0</v>
      </c>
      <c r="Y666" s="45">
        <f t="shared" si="4"/>
        <v>0</v>
      </c>
      <c r="Z666" s="42" t="str">
        <f>CONFERENCIAS!AB666</f>
        <v/>
      </c>
      <c r="AA666" s="42" t="str">
        <f>CONFERENCIAS!AC666</f>
        <v/>
      </c>
      <c r="AB666" s="47" t="str">
        <f t="shared" si="5"/>
        <v/>
      </c>
      <c r="AC666" s="9" t="str">
        <f t="shared" si="6"/>
        <v/>
      </c>
    </row>
    <row r="667">
      <c r="A667" s="42" t="str">
        <f>CONFERENCIAS!A667</f>
        <v/>
      </c>
      <c r="D667" s="42" t="str">
        <f>CONFERENCIAS!C667</f>
        <v/>
      </c>
      <c r="E667" s="42" t="str">
        <f>CONFERENCIAS!K667</f>
        <v/>
      </c>
      <c r="F667" s="49" t="str">
        <f>CONFERENCIAS!J667</f>
        <v/>
      </c>
      <c r="G667" s="42" t="str">
        <f>CONFERENCIAS!O667</f>
        <v/>
      </c>
      <c r="H667" s="42" t="str">
        <f>CONFERENCIAS!X667</f>
        <v/>
      </c>
      <c r="I667" s="42" t="str">
        <f>CONFERENCIAS!AA667</f>
        <v/>
      </c>
      <c r="J667" s="44" t="str">
        <f>CONFERENCIAS!P667</f>
        <v/>
      </c>
      <c r="K667" s="45" t="str">
        <f>CONFERENCIAS!R667</f>
        <v/>
      </c>
      <c r="L667" s="45">
        <f>IF(D667="",0,
 IF(E667=1,
   IF(H667="Presencial",
      VLOOKUP(D667,TARIFAS!A:K,3,FALSE) + IF(I667="Sí",VLOOKUP(D667,TARIFAS!A:K,5,FALSE),0),
      VLOOKUP(D667,TARIFAS!A:K,4,FALSE) + IF(I667="Sí",VLOOKUP(D667,TARIFAS!A:K,5,FALSE),0)
   ),
   IF(H667="Presencial",
      VLOOKUP(D667,TARIFAS!A:K,9,FALSE) + IF(I667="Sí",VLOOKUP(D667,TARIFAS!A:K,11,FALSE),0),
      VLOOKUP(D667,TARIFAS!A:K,10,FALSE) + IF(I667="Sí",VLOOKUP(D667,TARIFAS!A:K,11,FALSE),0)
   )
 )
)
</f>
        <v>0</v>
      </c>
      <c r="M667" s="45">
        <f>IF(J667="",0,MAX(0,J667 - TARIFAS!G$2) * TARIFAS!F$2)
</f>
        <v>0</v>
      </c>
      <c r="N667" s="45">
        <f>+L667*TARIFAS!$K$2</f>
        <v>0</v>
      </c>
      <c r="O667" s="45">
        <f t="shared" si="1"/>
        <v>0</v>
      </c>
      <c r="P667" s="45">
        <f>+M667+O667+K667+(+I667-(I667*TARIFAS!$K$2))</f>
        <v>0</v>
      </c>
      <c r="Q667" s="42" t="str">
        <f>CONFERENCIAS!T667</f>
        <v/>
      </c>
      <c r="R667" s="45" t="str">
        <f>CONFERENCIAS!U667</f>
        <v/>
      </c>
      <c r="S667" s="45" t="str">
        <f>CONFERENCIAS!W667</f>
        <v/>
      </c>
      <c r="T667" s="48">
        <f>IF(Q667="",0,
   IF(E667=1,
      IF(H667="Presencial",
         VLOOKUP(D667,TARIFAS!A:K,3,FALSE) + IF(I667="Sí",VLOOKUP(D667,TARIFAS!A:K,5,FALSE),0),
         VLOOKUP(D667,TARIFAS!A:K,4,FALSE) + IF(I667="Sí",VLOOKUP(D667,TARIFAS!A:K,5,FALSE),0)
      ),
      IF(H667="Presencial",
         VLOOKUP(D667,TARIFAS!A:K,9,FALSE) + IF(I667="Sí",VLOOKUP(D667,TARIFAS!A:K,11,FALSE),0),
         VLOOKUP(D667,TARIFAS!A:K,10,FALSE) + IF(I667="Sí",VLOOKUP(D667,TARIFAS!A:K,11,FALSE),0)
      )
   )
)
</f>
        <v>0</v>
      </c>
      <c r="U667" s="45">
        <f>IF(R667="",0,MAX(0,R667 - TARIFAS!G$2) * TARIFAS!F$2)
</f>
        <v>0</v>
      </c>
      <c r="V667" s="45">
        <f>+T667*TARIFAS!$K$2</f>
        <v>0</v>
      </c>
      <c r="W667" s="45">
        <f t="shared" si="2"/>
        <v>0</v>
      </c>
      <c r="X667" s="45">
        <f t="shared" si="3"/>
        <v>0</v>
      </c>
      <c r="Y667" s="45">
        <f t="shared" si="4"/>
        <v>0</v>
      </c>
      <c r="Z667" s="42" t="str">
        <f>CONFERENCIAS!AB667</f>
        <v/>
      </c>
      <c r="AA667" s="42" t="str">
        <f>CONFERENCIAS!AC667</f>
        <v/>
      </c>
      <c r="AB667" s="47" t="str">
        <f t="shared" si="5"/>
        <v/>
      </c>
      <c r="AC667" s="9" t="str">
        <f t="shared" si="6"/>
        <v/>
      </c>
    </row>
    <row r="668">
      <c r="A668" s="42" t="str">
        <f>CONFERENCIAS!A668</f>
        <v/>
      </c>
      <c r="D668" s="42" t="str">
        <f>CONFERENCIAS!C668</f>
        <v/>
      </c>
      <c r="E668" s="42" t="str">
        <f>CONFERENCIAS!K668</f>
        <v/>
      </c>
      <c r="F668" s="49" t="str">
        <f>CONFERENCIAS!J668</f>
        <v/>
      </c>
      <c r="G668" s="42" t="str">
        <f>CONFERENCIAS!O668</f>
        <v/>
      </c>
      <c r="H668" s="42" t="str">
        <f>CONFERENCIAS!X668</f>
        <v/>
      </c>
      <c r="I668" s="42" t="str">
        <f>CONFERENCIAS!AA668</f>
        <v/>
      </c>
      <c r="J668" s="44" t="str">
        <f>CONFERENCIAS!P668</f>
        <v/>
      </c>
      <c r="K668" s="45" t="str">
        <f>CONFERENCIAS!R668</f>
        <v/>
      </c>
      <c r="L668" s="45">
        <f>IF(D668="",0,
 IF(E668=1,
   IF(H668="Presencial",
      VLOOKUP(D668,TARIFAS!A:K,3,FALSE) + IF(I668="Sí",VLOOKUP(D668,TARIFAS!A:K,5,FALSE),0),
      VLOOKUP(D668,TARIFAS!A:K,4,FALSE) + IF(I668="Sí",VLOOKUP(D668,TARIFAS!A:K,5,FALSE),0)
   ),
   IF(H668="Presencial",
      VLOOKUP(D668,TARIFAS!A:K,9,FALSE) + IF(I668="Sí",VLOOKUP(D668,TARIFAS!A:K,11,FALSE),0),
      VLOOKUP(D668,TARIFAS!A:K,10,FALSE) + IF(I668="Sí",VLOOKUP(D668,TARIFAS!A:K,11,FALSE),0)
   )
 )
)
</f>
        <v>0</v>
      </c>
      <c r="M668" s="45">
        <f>IF(J668="",0,MAX(0,J668 - TARIFAS!G$2) * TARIFAS!F$2)
</f>
        <v>0</v>
      </c>
      <c r="N668" s="45">
        <f>+L668*TARIFAS!$K$2</f>
        <v>0</v>
      </c>
      <c r="O668" s="45">
        <f t="shared" si="1"/>
        <v>0</v>
      </c>
      <c r="P668" s="45">
        <f>+M668+O668+K668+(+I668-(I668*TARIFAS!$K$2))</f>
        <v>0</v>
      </c>
      <c r="Q668" s="42" t="str">
        <f>CONFERENCIAS!T668</f>
        <v/>
      </c>
      <c r="R668" s="45" t="str">
        <f>CONFERENCIAS!U668</f>
        <v/>
      </c>
      <c r="S668" s="45" t="str">
        <f>CONFERENCIAS!W668</f>
        <v/>
      </c>
      <c r="T668" s="48">
        <f>IF(Q668="",0,
   IF(E668=1,
      IF(H668="Presencial",
         VLOOKUP(D668,TARIFAS!A:K,3,FALSE) + IF(I668="Sí",VLOOKUP(D668,TARIFAS!A:K,5,FALSE),0),
         VLOOKUP(D668,TARIFAS!A:K,4,FALSE) + IF(I668="Sí",VLOOKUP(D668,TARIFAS!A:K,5,FALSE),0)
      ),
      IF(H668="Presencial",
         VLOOKUP(D668,TARIFAS!A:K,9,FALSE) + IF(I668="Sí",VLOOKUP(D668,TARIFAS!A:K,11,FALSE),0),
         VLOOKUP(D668,TARIFAS!A:K,10,FALSE) + IF(I668="Sí",VLOOKUP(D668,TARIFAS!A:K,11,FALSE),0)
      )
   )
)
</f>
        <v>0</v>
      </c>
      <c r="U668" s="45">
        <f>IF(R668="",0,MAX(0,R668 - TARIFAS!G$2) * TARIFAS!F$2)
</f>
        <v>0</v>
      </c>
      <c r="V668" s="45">
        <f>+T668*TARIFAS!$K$2</f>
        <v>0</v>
      </c>
      <c r="W668" s="45">
        <f t="shared" si="2"/>
        <v>0</v>
      </c>
      <c r="X668" s="45">
        <f t="shared" si="3"/>
        <v>0</v>
      </c>
      <c r="Y668" s="45">
        <f t="shared" si="4"/>
        <v>0</v>
      </c>
      <c r="Z668" s="42" t="str">
        <f>CONFERENCIAS!AB668</f>
        <v/>
      </c>
      <c r="AA668" s="42" t="str">
        <f>CONFERENCIAS!AC668</f>
        <v/>
      </c>
      <c r="AB668" s="47" t="str">
        <f t="shared" si="5"/>
        <v/>
      </c>
      <c r="AC668" s="9" t="str">
        <f t="shared" si="6"/>
        <v/>
      </c>
    </row>
    <row r="669">
      <c r="A669" s="42" t="str">
        <f>CONFERENCIAS!A669</f>
        <v/>
      </c>
      <c r="D669" s="42" t="str">
        <f>CONFERENCIAS!C669</f>
        <v/>
      </c>
      <c r="E669" s="42" t="str">
        <f>CONFERENCIAS!K669</f>
        <v/>
      </c>
      <c r="F669" s="49" t="str">
        <f>CONFERENCIAS!J669</f>
        <v/>
      </c>
      <c r="G669" s="42" t="str">
        <f>CONFERENCIAS!O669</f>
        <v/>
      </c>
      <c r="H669" s="42" t="str">
        <f>CONFERENCIAS!X669</f>
        <v/>
      </c>
      <c r="I669" s="42" t="str">
        <f>CONFERENCIAS!AA669</f>
        <v/>
      </c>
      <c r="J669" s="44" t="str">
        <f>CONFERENCIAS!P669</f>
        <v/>
      </c>
      <c r="K669" s="45" t="str">
        <f>CONFERENCIAS!R669</f>
        <v/>
      </c>
      <c r="L669" s="45">
        <f>IF(D669="",0,
 IF(E669=1,
   IF(H669="Presencial",
      VLOOKUP(D669,TARIFAS!A:K,3,FALSE) + IF(I669="Sí",VLOOKUP(D669,TARIFAS!A:K,5,FALSE),0),
      VLOOKUP(D669,TARIFAS!A:K,4,FALSE) + IF(I669="Sí",VLOOKUP(D669,TARIFAS!A:K,5,FALSE),0)
   ),
   IF(H669="Presencial",
      VLOOKUP(D669,TARIFAS!A:K,9,FALSE) + IF(I669="Sí",VLOOKUP(D669,TARIFAS!A:K,11,FALSE),0),
      VLOOKUP(D669,TARIFAS!A:K,10,FALSE) + IF(I669="Sí",VLOOKUP(D669,TARIFAS!A:K,11,FALSE),0)
   )
 )
)
</f>
        <v>0</v>
      </c>
      <c r="M669" s="45">
        <f>IF(J669="",0,MAX(0,J669 - TARIFAS!G$2) * TARIFAS!F$2)
</f>
        <v>0</v>
      </c>
      <c r="N669" s="45">
        <f>+L669*TARIFAS!$K$2</f>
        <v>0</v>
      </c>
      <c r="O669" s="45">
        <f t="shared" si="1"/>
        <v>0</v>
      </c>
      <c r="P669" s="45">
        <f>+M669+O669+K669+(+I669-(I669*TARIFAS!$K$2))</f>
        <v>0</v>
      </c>
      <c r="Q669" s="42" t="str">
        <f>CONFERENCIAS!T669</f>
        <v/>
      </c>
      <c r="R669" s="45" t="str">
        <f>CONFERENCIAS!U669</f>
        <v/>
      </c>
      <c r="S669" s="45" t="str">
        <f>CONFERENCIAS!W669</f>
        <v/>
      </c>
      <c r="T669" s="48">
        <f>IF(Q669="",0,
   IF(E669=1,
      IF(H669="Presencial",
         VLOOKUP(D669,TARIFAS!A:K,3,FALSE) + IF(I669="Sí",VLOOKUP(D669,TARIFAS!A:K,5,FALSE),0),
         VLOOKUP(D669,TARIFAS!A:K,4,FALSE) + IF(I669="Sí",VLOOKUP(D669,TARIFAS!A:K,5,FALSE),0)
      ),
      IF(H669="Presencial",
         VLOOKUP(D669,TARIFAS!A:K,9,FALSE) + IF(I669="Sí",VLOOKUP(D669,TARIFAS!A:K,11,FALSE),0),
         VLOOKUP(D669,TARIFAS!A:K,10,FALSE) + IF(I669="Sí",VLOOKUP(D669,TARIFAS!A:K,11,FALSE),0)
      )
   )
)
</f>
        <v>0</v>
      </c>
      <c r="U669" s="45">
        <f>IF(R669="",0,MAX(0,R669 - TARIFAS!G$2) * TARIFAS!F$2)
</f>
        <v>0</v>
      </c>
      <c r="V669" s="45">
        <f>+T669*TARIFAS!$K$2</f>
        <v>0</v>
      </c>
      <c r="W669" s="45">
        <f t="shared" si="2"/>
        <v>0</v>
      </c>
      <c r="X669" s="45">
        <f t="shared" si="3"/>
        <v>0</v>
      </c>
      <c r="Y669" s="45">
        <f t="shared" si="4"/>
        <v>0</v>
      </c>
      <c r="Z669" s="42" t="str">
        <f>CONFERENCIAS!AB669</f>
        <v/>
      </c>
      <c r="AA669" s="42" t="str">
        <f>CONFERENCIAS!AC669</f>
        <v/>
      </c>
      <c r="AB669" s="47" t="str">
        <f t="shared" si="5"/>
        <v/>
      </c>
      <c r="AC669" s="9" t="str">
        <f t="shared" si="6"/>
        <v/>
      </c>
    </row>
    <row r="670">
      <c r="A670" s="42" t="str">
        <f>CONFERENCIAS!A670</f>
        <v/>
      </c>
      <c r="D670" s="42" t="str">
        <f>CONFERENCIAS!C670</f>
        <v/>
      </c>
      <c r="E670" s="42" t="str">
        <f>CONFERENCIAS!K670</f>
        <v/>
      </c>
      <c r="F670" s="49" t="str">
        <f>CONFERENCIAS!J670</f>
        <v/>
      </c>
      <c r="G670" s="42" t="str">
        <f>CONFERENCIAS!O670</f>
        <v/>
      </c>
      <c r="H670" s="42" t="str">
        <f>CONFERENCIAS!X670</f>
        <v/>
      </c>
      <c r="I670" s="42" t="str">
        <f>CONFERENCIAS!AA670</f>
        <v/>
      </c>
      <c r="J670" s="44" t="str">
        <f>CONFERENCIAS!P670</f>
        <v/>
      </c>
      <c r="K670" s="45" t="str">
        <f>CONFERENCIAS!R670</f>
        <v/>
      </c>
      <c r="L670" s="45">
        <f>IF(D670="",0,
 IF(E670=1,
   IF(H670="Presencial",
      VLOOKUP(D670,TARIFAS!A:K,3,FALSE) + IF(I670="Sí",VLOOKUP(D670,TARIFAS!A:K,5,FALSE),0),
      VLOOKUP(D670,TARIFAS!A:K,4,FALSE) + IF(I670="Sí",VLOOKUP(D670,TARIFAS!A:K,5,FALSE),0)
   ),
   IF(H670="Presencial",
      VLOOKUP(D670,TARIFAS!A:K,9,FALSE) + IF(I670="Sí",VLOOKUP(D670,TARIFAS!A:K,11,FALSE),0),
      VLOOKUP(D670,TARIFAS!A:K,10,FALSE) + IF(I670="Sí",VLOOKUP(D670,TARIFAS!A:K,11,FALSE),0)
   )
 )
)
</f>
        <v>0</v>
      </c>
      <c r="M670" s="45">
        <f>IF(J670="",0,MAX(0,J670 - TARIFAS!G$2) * TARIFAS!F$2)
</f>
        <v>0</v>
      </c>
      <c r="N670" s="45">
        <f>+L670*TARIFAS!$K$2</f>
        <v>0</v>
      </c>
      <c r="O670" s="45">
        <f t="shared" si="1"/>
        <v>0</v>
      </c>
      <c r="P670" s="45">
        <f>+M670+O670+K670+(+I670-(I670*TARIFAS!$K$2))</f>
        <v>0</v>
      </c>
      <c r="Q670" s="42" t="str">
        <f>CONFERENCIAS!T670</f>
        <v/>
      </c>
      <c r="R670" s="45" t="str">
        <f>CONFERENCIAS!U670</f>
        <v/>
      </c>
      <c r="S670" s="45" t="str">
        <f>CONFERENCIAS!W670</f>
        <v/>
      </c>
      <c r="T670" s="48">
        <f>IF(Q670="",0,
   IF(E670=1,
      IF(H670="Presencial",
         VLOOKUP(D670,TARIFAS!A:K,3,FALSE) + IF(I670="Sí",VLOOKUP(D670,TARIFAS!A:K,5,FALSE),0),
         VLOOKUP(D670,TARIFAS!A:K,4,FALSE) + IF(I670="Sí",VLOOKUP(D670,TARIFAS!A:K,5,FALSE),0)
      ),
      IF(H670="Presencial",
         VLOOKUP(D670,TARIFAS!A:K,9,FALSE) + IF(I670="Sí",VLOOKUP(D670,TARIFAS!A:K,11,FALSE),0),
         VLOOKUP(D670,TARIFAS!A:K,10,FALSE) + IF(I670="Sí",VLOOKUP(D670,TARIFAS!A:K,11,FALSE),0)
      )
   )
)
</f>
        <v>0</v>
      </c>
      <c r="U670" s="45">
        <f>IF(R670="",0,MAX(0,R670 - TARIFAS!G$2) * TARIFAS!F$2)
</f>
        <v>0</v>
      </c>
      <c r="V670" s="45">
        <f>+T670*TARIFAS!$K$2</f>
        <v>0</v>
      </c>
      <c r="W670" s="45">
        <f t="shared" si="2"/>
        <v>0</v>
      </c>
      <c r="X670" s="45">
        <f t="shared" si="3"/>
        <v>0</v>
      </c>
      <c r="Y670" s="45">
        <f t="shared" si="4"/>
        <v>0</v>
      </c>
      <c r="Z670" s="42" t="str">
        <f>CONFERENCIAS!AB670</f>
        <v/>
      </c>
      <c r="AA670" s="42" t="str">
        <f>CONFERENCIAS!AC670</f>
        <v/>
      </c>
      <c r="AB670" s="47" t="str">
        <f t="shared" si="5"/>
        <v/>
      </c>
      <c r="AC670" s="9" t="str">
        <f t="shared" si="6"/>
        <v/>
      </c>
    </row>
    <row r="671">
      <c r="A671" s="42" t="str">
        <f>CONFERENCIAS!A671</f>
        <v/>
      </c>
      <c r="D671" s="42" t="str">
        <f>CONFERENCIAS!C671</f>
        <v/>
      </c>
      <c r="E671" s="42" t="str">
        <f>CONFERENCIAS!K671</f>
        <v/>
      </c>
      <c r="F671" s="49" t="str">
        <f>CONFERENCIAS!J671</f>
        <v/>
      </c>
      <c r="G671" s="42" t="str">
        <f>CONFERENCIAS!O671</f>
        <v/>
      </c>
      <c r="H671" s="42" t="str">
        <f>CONFERENCIAS!X671</f>
        <v/>
      </c>
      <c r="I671" s="42" t="str">
        <f>CONFERENCIAS!AA671</f>
        <v/>
      </c>
      <c r="J671" s="44" t="str">
        <f>CONFERENCIAS!P671</f>
        <v/>
      </c>
      <c r="K671" s="45" t="str">
        <f>CONFERENCIAS!R671</f>
        <v/>
      </c>
      <c r="L671" s="45">
        <f>IF(D671="",0,
 IF(E671=1,
   IF(H671="Presencial",
      VLOOKUP(D671,TARIFAS!A:K,3,FALSE) + IF(I671="Sí",VLOOKUP(D671,TARIFAS!A:K,5,FALSE),0),
      VLOOKUP(D671,TARIFAS!A:K,4,FALSE) + IF(I671="Sí",VLOOKUP(D671,TARIFAS!A:K,5,FALSE),0)
   ),
   IF(H671="Presencial",
      VLOOKUP(D671,TARIFAS!A:K,9,FALSE) + IF(I671="Sí",VLOOKUP(D671,TARIFAS!A:K,11,FALSE),0),
      VLOOKUP(D671,TARIFAS!A:K,10,FALSE) + IF(I671="Sí",VLOOKUP(D671,TARIFAS!A:K,11,FALSE),0)
   )
 )
)
</f>
        <v>0</v>
      </c>
      <c r="M671" s="45">
        <f>IF(J671="",0,MAX(0,J671 - TARIFAS!G$2) * TARIFAS!F$2)
</f>
        <v>0</v>
      </c>
      <c r="N671" s="45">
        <f>+L671*TARIFAS!$K$2</f>
        <v>0</v>
      </c>
      <c r="O671" s="45">
        <f t="shared" si="1"/>
        <v>0</v>
      </c>
      <c r="P671" s="45">
        <f>+M671+O671+K671+(+I671-(I671*TARIFAS!$K$2))</f>
        <v>0</v>
      </c>
      <c r="Q671" s="42" t="str">
        <f>CONFERENCIAS!T671</f>
        <v/>
      </c>
      <c r="R671" s="45" t="str">
        <f>CONFERENCIAS!U671</f>
        <v/>
      </c>
      <c r="S671" s="45" t="str">
        <f>CONFERENCIAS!W671</f>
        <v/>
      </c>
      <c r="T671" s="48">
        <f>IF(Q671="",0,
   IF(E671=1,
      IF(H671="Presencial",
         VLOOKUP(D671,TARIFAS!A:K,3,FALSE) + IF(I671="Sí",VLOOKUP(D671,TARIFAS!A:K,5,FALSE),0),
         VLOOKUP(D671,TARIFAS!A:K,4,FALSE) + IF(I671="Sí",VLOOKUP(D671,TARIFAS!A:K,5,FALSE),0)
      ),
      IF(H671="Presencial",
         VLOOKUP(D671,TARIFAS!A:K,9,FALSE) + IF(I671="Sí",VLOOKUP(D671,TARIFAS!A:K,11,FALSE),0),
         VLOOKUP(D671,TARIFAS!A:K,10,FALSE) + IF(I671="Sí",VLOOKUP(D671,TARIFAS!A:K,11,FALSE),0)
      )
   )
)
</f>
        <v>0</v>
      </c>
      <c r="U671" s="45">
        <f>IF(R671="",0,MAX(0,R671 - TARIFAS!G$2) * TARIFAS!F$2)
</f>
        <v>0</v>
      </c>
      <c r="V671" s="45">
        <f>+T671*TARIFAS!$K$2</f>
        <v>0</v>
      </c>
      <c r="W671" s="45">
        <f t="shared" si="2"/>
        <v>0</v>
      </c>
      <c r="X671" s="45">
        <f t="shared" si="3"/>
        <v>0</v>
      </c>
      <c r="Y671" s="45">
        <f t="shared" si="4"/>
        <v>0</v>
      </c>
      <c r="Z671" s="42" t="str">
        <f>CONFERENCIAS!AB671</f>
        <v/>
      </c>
      <c r="AA671" s="42" t="str">
        <f>CONFERENCIAS!AC671</f>
        <v/>
      </c>
      <c r="AB671" s="47" t="str">
        <f t="shared" si="5"/>
        <v/>
      </c>
      <c r="AC671" s="9" t="str">
        <f t="shared" si="6"/>
        <v/>
      </c>
    </row>
    <row r="672">
      <c r="A672" s="42" t="str">
        <f>CONFERENCIAS!A672</f>
        <v/>
      </c>
      <c r="D672" s="42" t="str">
        <f>CONFERENCIAS!C672</f>
        <v/>
      </c>
      <c r="E672" s="42" t="str">
        <f>CONFERENCIAS!K672</f>
        <v/>
      </c>
      <c r="F672" s="49" t="str">
        <f>CONFERENCIAS!J672</f>
        <v/>
      </c>
      <c r="G672" s="42" t="str">
        <f>CONFERENCIAS!O672</f>
        <v/>
      </c>
      <c r="H672" s="42" t="str">
        <f>CONFERENCIAS!X672</f>
        <v/>
      </c>
      <c r="I672" s="42" t="str">
        <f>CONFERENCIAS!AA672</f>
        <v/>
      </c>
      <c r="J672" s="44" t="str">
        <f>CONFERENCIAS!P672</f>
        <v/>
      </c>
      <c r="K672" s="45" t="str">
        <f>CONFERENCIAS!R672</f>
        <v/>
      </c>
      <c r="L672" s="45">
        <f>IF(D672="",0,
 IF(E672=1,
   IF(H672="Presencial",
      VLOOKUP(D672,TARIFAS!A:K,3,FALSE) + IF(I672="Sí",VLOOKUP(D672,TARIFAS!A:K,5,FALSE),0),
      VLOOKUP(D672,TARIFAS!A:K,4,FALSE) + IF(I672="Sí",VLOOKUP(D672,TARIFAS!A:K,5,FALSE),0)
   ),
   IF(H672="Presencial",
      VLOOKUP(D672,TARIFAS!A:K,9,FALSE) + IF(I672="Sí",VLOOKUP(D672,TARIFAS!A:K,11,FALSE),0),
      VLOOKUP(D672,TARIFAS!A:K,10,FALSE) + IF(I672="Sí",VLOOKUP(D672,TARIFAS!A:K,11,FALSE),0)
   )
 )
)
</f>
        <v>0</v>
      </c>
      <c r="M672" s="45">
        <f>IF(J672="",0,MAX(0,J672 - TARIFAS!G$2) * TARIFAS!F$2)
</f>
        <v>0</v>
      </c>
      <c r="N672" s="45">
        <f>+L672*TARIFAS!$K$2</f>
        <v>0</v>
      </c>
      <c r="O672" s="45">
        <f t="shared" si="1"/>
        <v>0</v>
      </c>
      <c r="P672" s="45">
        <f>+M672+O672+K672+(+I672-(I672*TARIFAS!$K$2))</f>
        <v>0</v>
      </c>
      <c r="Q672" s="42" t="str">
        <f>CONFERENCIAS!T672</f>
        <v/>
      </c>
      <c r="R672" s="45" t="str">
        <f>CONFERENCIAS!U672</f>
        <v/>
      </c>
      <c r="S672" s="45" t="str">
        <f>CONFERENCIAS!W672</f>
        <v/>
      </c>
      <c r="T672" s="48">
        <f>IF(Q672="",0,
   IF(E672=1,
      IF(H672="Presencial",
         VLOOKUP(D672,TARIFAS!A:K,3,FALSE) + IF(I672="Sí",VLOOKUP(D672,TARIFAS!A:K,5,FALSE),0),
         VLOOKUP(D672,TARIFAS!A:K,4,FALSE) + IF(I672="Sí",VLOOKUP(D672,TARIFAS!A:K,5,FALSE),0)
      ),
      IF(H672="Presencial",
         VLOOKUP(D672,TARIFAS!A:K,9,FALSE) + IF(I672="Sí",VLOOKUP(D672,TARIFAS!A:K,11,FALSE),0),
         VLOOKUP(D672,TARIFAS!A:K,10,FALSE) + IF(I672="Sí",VLOOKUP(D672,TARIFAS!A:K,11,FALSE),0)
      )
   )
)
</f>
        <v>0</v>
      </c>
      <c r="U672" s="45">
        <f>IF(R672="",0,MAX(0,R672 - TARIFAS!G$2) * TARIFAS!F$2)
</f>
        <v>0</v>
      </c>
      <c r="V672" s="45">
        <f>+T672*TARIFAS!$K$2</f>
        <v>0</v>
      </c>
      <c r="W672" s="45">
        <f t="shared" si="2"/>
        <v>0</v>
      </c>
      <c r="X672" s="45">
        <f t="shared" si="3"/>
        <v>0</v>
      </c>
      <c r="Y672" s="45">
        <f t="shared" si="4"/>
        <v>0</v>
      </c>
      <c r="Z672" s="42" t="str">
        <f>CONFERENCIAS!AB672</f>
        <v/>
      </c>
      <c r="AA672" s="42" t="str">
        <f>CONFERENCIAS!AC672</f>
        <v/>
      </c>
      <c r="AB672" s="47" t="str">
        <f t="shared" si="5"/>
        <v/>
      </c>
      <c r="AC672" s="9" t="str">
        <f t="shared" si="6"/>
        <v/>
      </c>
    </row>
    <row r="673">
      <c r="A673" s="42" t="str">
        <f>CONFERENCIAS!A673</f>
        <v/>
      </c>
      <c r="D673" s="42" t="str">
        <f>CONFERENCIAS!C673</f>
        <v/>
      </c>
      <c r="E673" s="42" t="str">
        <f>CONFERENCIAS!K673</f>
        <v/>
      </c>
      <c r="F673" s="49" t="str">
        <f>CONFERENCIAS!J673</f>
        <v/>
      </c>
      <c r="G673" s="42" t="str">
        <f>CONFERENCIAS!O673</f>
        <v/>
      </c>
      <c r="H673" s="42" t="str">
        <f>CONFERENCIAS!X673</f>
        <v/>
      </c>
      <c r="I673" s="42" t="str">
        <f>CONFERENCIAS!AA673</f>
        <v/>
      </c>
      <c r="J673" s="44" t="str">
        <f>CONFERENCIAS!P673</f>
        <v/>
      </c>
      <c r="K673" s="45" t="str">
        <f>CONFERENCIAS!R673</f>
        <v/>
      </c>
      <c r="L673" s="45">
        <f>IF(D673="",0,
 IF(E673=1,
   IF(H673="Presencial",
      VLOOKUP(D673,TARIFAS!A:K,3,FALSE) + IF(I673="Sí",VLOOKUP(D673,TARIFAS!A:K,5,FALSE),0),
      VLOOKUP(D673,TARIFAS!A:K,4,FALSE) + IF(I673="Sí",VLOOKUP(D673,TARIFAS!A:K,5,FALSE),0)
   ),
   IF(H673="Presencial",
      VLOOKUP(D673,TARIFAS!A:K,9,FALSE) + IF(I673="Sí",VLOOKUP(D673,TARIFAS!A:K,11,FALSE),0),
      VLOOKUP(D673,TARIFAS!A:K,10,FALSE) + IF(I673="Sí",VLOOKUP(D673,TARIFAS!A:K,11,FALSE),0)
   )
 )
)
</f>
        <v>0</v>
      </c>
      <c r="M673" s="45">
        <f>IF(J673="",0,MAX(0,J673 - TARIFAS!G$2) * TARIFAS!F$2)
</f>
        <v>0</v>
      </c>
      <c r="N673" s="45">
        <f>+L673*TARIFAS!$K$2</f>
        <v>0</v>
      </c>
      <c r="O673" s="45">
        <f t="shared" si="1"/>
        <v>0</v>
      </c>
      <c r="P673" s="45">
        <f>+M673+O673+K673+(+I673-(I673*TARIFAS!$K$2))</f>
        <v>0</v>
      </c>
      <c r="Q673" s="42" t="str">
        <f>CONFERENCIAS!T673</f>
        <v/>
      </c>
      <c r="R673" s="45" t="str">
        <f>CONFERENCIAS!U673</f>
        <v/>
      </c>
      <c r="S673" s="45" t="str">
        <f>CONFERENCIAS!W673</f>
        <v/>
      </c>
      <c r="T673" s="48">
        <f>IF(Q673="",0,
   IF(E673=1,
      IF(H673="Presencial",
         VLOOKUP(D673,TARIFAS!A:K,3,FALSE) + IF(I673="Sí",VLOOKUP(D673,TARIFAS!A:K,5,FALSE),0),
         VLOOKUP(D673,TARIFAS!A:K,4,FALSE) + IF(I673="Sí",VLOOKUP(D673,TARIFAS!A:K,5,FALSE),0)
      ),
      IF(H673="Presencial",
         VLOOKUP(D673,TARIFAS!A:K,9,FALSE) + IF(I673="Sí",VLOOKUP(D673,TARIFAS!A:K,11,FALSE),0),
         VLOOKUP(D673,TARIFAS!A:K,10,FALSE) + IF(I673="Sí",VLOOKUP(D673,TARIFAS!A:K,11,FALSE),0)
      )
   )
)
</f>
        <v>0</v>
      </c>
      <c r="U673" s="45">
        <f>IF(R673="",0,MAX(0,R673 - TARIFAS!G$2) * TARIFAS!F$2)
</f>
        <v>0</v>
      </c>
      <c r="V673" s="45">
        <f>+T673*TARIFAS!$K$2</f>
        <v>0</v>
      </c>
      <c r="W673" s="45">
        <f t="shared" si="2"/>
        <v>0</v>
      </c>
      <c r="X673" s="45">
        <f t="shared" si="3"/>
        <v>0</v>
      </c>
      <c r="Y673" s="45">
        <f t="shared" si="4"/>
        <v>0</v>
      </c>
      <c r="Z673" s="42" t="str">
        <f>CONFERENCIAS!AB673</f>
        <v/>
      </c>
      <c r="AA673" s="42" t="str">
        <f>CONFERENCIAS!AC673</f>
        <v/>
      </c>
      <c r="AB673" s="47" t="str">
        <f t="shared" si="5"/>
        <v/>
      </c>
      <c r="AC673" s="9" t="str">
        <f t="shared" si="6"/>
        <v/>
      </c>
    </row>
    <row r="674">
      <c r="A674" s="42" t="str">
        <f>CONFERENCIAS!A674</f>
        <v/>
      </c>
      <c r="D674" s="42" t="str">
        <f>CONFERENCIAS!C674</f>
        <v/>
      </c>
      <c r="E674" s="42" t="str">
        <f>CONFERENCIAS!K674</f>
        <v/>
      </c>
      <c r="F674" s="49" t="str">
        <f>CONFERENCIAS!J674</f>
        <v/>
      </c>
      <c r="G674" s="42" t="str">
        <f>CONFERENCIAS!O674</f>
        <v/>
      </c>
      <c r="H674" s="42" t="str">
        <f>CONFERENCIAS!X674</f>
        <v/>
      </c>
      <c r="I674" s="42" t="str">
        <f>CONFERENCIAS!AA674</f>
        <v/>
      </c>
      <c r="J674" s="44" t="str">
        <f>CONFERENCIAS!P674</f>
        <v/>
      </c>
      <c r="K674" s="45" t="str">
        <f>CONFERENCIAS!R674</f>
        <v/>
      </c>
      <c r="L674" s="45">
        <f>IF(D674="",0,
 IF(E674=1,
   IF(H674="Presencial",
      VLOOKUP(D674,TARIFAS!A:K,3,FALSE) + IF(I674="Sí",VLOOKUP(D674,TARIFAS!A:K,5,FALSE),0),
      VLOOKUP(D674,TARIFAS!A:K,4,FALSE) + IF(I674="Sí",VLOOKUP(D674,TARIFAS!A:K,5,FALSE),0)
   ),
   IF(H674="Presencial",
      VLOOKUP(D674,TARIFAS!A:K,9,FALSE) + IF(I674="Sí",VLOOKUP(D674,TARIFAS!A:K,11,FALSE),0),
      VLOOKUP(D674,TARIFAS!A:K,10,FALSE) + IF(I674="Sí",VLOOKUP(D674,TARIFAS!A:K,11,FALSE),0)
   )
 )
)
</f>
        <v>0</v>
      </c>
      <c r="M674" s="45">
        <f>IF(J674="",0,MAX(0,J674 - TARIFAS!G$2) * TARIFAS!F$2)
</f>
        <v>0</v>
      </c>
      <c r="N674" s="45">
        <f>+L674*TARIFAS!$K$2</f>
        <v>0</v>
      </c>
      <c r="O674" s="45">
        <f t="shared" si="1"/>
        <v>0</v>
      </c>
      <c r="P674" s="45">
        <f>+M674+O674+K674+(+I674-(I674*TARIFAS!$K$2))</f>
        <v>0</v>
      </c>
      <c r="Q674" s="42" t="str">
        <f>CONFERENCIAS!T674</f>
        <v/>
      </c>
      <c r="R674" s="45" t="str">
        <f>CONFERENCIAS!U674</f>
        <v/>
      </c>
      <c r="S674" s="45" t="str">
        <f>CONFERENCIAS!W674</f>
        <v/>
      </c>
      <c r="T674" s="48">
        <f>IF(Q674="",0,
   IF(E674=1,
      IF(H674="Presencial",
         VLOOKUP(D674,TARIFAS!A:K,3,FALSE) + IF(I674="Sí",VLOOKUP(D674,TARIFAS!A:K,5,FALSE),0),
         VLOOKUP(D674,TARIFAS!A:K,4,FALSE) + IF(I674="Sí",VLOOKUP(D674,TARIFAS!A:K,5,FALSE),0)
      ),
      IF(H674="Presencial",
         VLOOKUP(D674,TARIFAS!A:K,9,FALSE) + IF(I674="Sí",VLOOKUP(D674,TARIFAS!A:K,11,FALSE),0),
         VLOOKUP(D674,TARIFAS!A:K,10,FALSE) + IF(I674="Sí",VLOOKUP(D674,TARIFAS!A:K,11,FALSE),0)
      )
   )
)
</f>
        <v>0</v>
      </c>
      <c r="U674" s="45">
        <f>IF(R674="",0,MAX(0,R674 - TARIFAS!G$2) * TARIFAS!F$2)
</f>
        <v>0</v>
      </c>
      <c r="V674" s="45">
        <f>+T674*TARIFAS!$K$2</f>
        <v>0</v>
      </c>
      <c r="W674" s="45">
        <f t="shared" si="2"/>
        <v>0</v>
      </c>
      <c r="X674" s="45">
        <f t="shared" si="3"/>
        <v>0</v>
      </c>
      <c r="Y674" s="45">
        <f t="shared" si="4"/>
        <v>0</v>
      </c>
      <c r="Z674" s="42" t="str">
        <f>CONFERENCIAS!AB674</f>
        <v/>
      </c>
      <c r="AA674" s="42" t="str">
        <f>CONFERENCIAS!AC674</f>
        <v/>
      </c>
      <c r="AB674" s="47" t="str">
        <f t="shared" si="5"/>
        <v/>
      </c>
      <c r="AC674" s="9" t="str">
        <f t="shared" si="6"/>
        <v/>
      </c>
    </row>
    <row r="675">
      <c r="A675" s="42" t="str">
        <f>CONFERENCIAS!A675</f>
        <v/>
      </c>
      <c r="D675" s="42" t="str">
        <f>CONFERENCIAS!C675</f>
        <v/>
      </c>
      <c r="E675" s="42" t="str">
        <f>CONFERENCIAS!K675</f>
        <v/>
      </c>
      <c r="F675" s="49" t="str">
        <f>CONFERENCIAS!J675</f>
        <v/>
      </c>
      <c r="G675" s="42" t="str">
        <f>CONFERENCIAS!O675</f>
        <v/>
      </c>
      <c r="H675" s="42" t="str">
        <f>CONFERENCIAS!X675</f>
        <v/>
      </c>
      <c r="I675" s="42" t="str">
        <f>CONFERENCIAS!AA675</f>
        <v/>
      </c>
      <c r="J675" s="44" t="str">
        <f>CONFERENCIAS!P675</f>
        <v/>
      </c>
      <c r="K675" s="45" t="str">
        <f>CONFERENCIAS!R675</f>
        <v/>
      </c>
      <c r="L675" s="45">
        <f>IF(D675="",0,
 IF(E675=1,
   IF(H675="Presencial",
      VLOOKUP(D675,TARIFAS!A:K,3,FALSE) + IF(I675="Sí",VLOOKUP(D675,TARIFAS!A:K,5,FALSE),0),
      VLOOKUP(D675,TARIFAS!A:K,4,FALSE) + IF(I675="Sí",VLOOKUP(D675,TARIFAS!A:K,5,FALSE),0)
   ),
   IF(H675="Presencial",
      VLOOKUP(D675,TARIFAS!A:K,9,FALSE) + IF(I675="Sí",VLOOKUP(D675,TARIFAS!A:K,11,FALSE),0),
      VLOOKUP(D675,TARIFAS!A:K,10,FALSE) + IF(I675="Sí",VLOOKUP(D675,TARIFAS!A:K,11,FALSE),0)
   )
 )
)
</f>
        <v>0</v>
      </c>
      <c r="M675" s="45">
        <f>IF(J675="",0,MAX(0,J675 - TARIFAS!G$2) * TARIFAS!F$2)
</f>
        <v>0</v>
      </c>
      <c r="N675" s="45">
        <f>+L675*TARIFAS!$K$2</f>
        <v>0</v>
      </c>
      <c r="O675" s="45">
        <f t="shared" si="1"/>
        <v>0</v>
      </c>
      <c r="P675" s="45">
        <f>+M675+O675+K675+(+I675-(I675*TARIFAS!$K$2))</f>
        <v>0</v>
      </c>
      <c r="Q675" s="42" t="str">
        <f>CONFERENCIAS!T675</f>
        <v/>
      </c>
      <c r="R675" s="45" t="str">
        <f>CONFERENCIAS!U675</f>
        <v/>
      </c>
      <c r="S675" s="45" t="str">
        <f>CONFERENCIAS!W675</f>
        <v/>
      </c>
      <c r="T675" s="48">
        <f>IF(Q675="",0,
   IF(E675=1,
      IF(H675="Presencial",
         VLOOKUP(D675,TARIFAS!A:K,3,FALSE) + IF(I675="Sí",VLOOKUP(D675,TARIFAS!A:K,5,FALSE),0),
         VLOOKUP(D675,TARIFAS!A:K,4,FALSE) + IF(I675="Sí",VLOOKUP(D675,TARIFAS!A:K,5,FALSE),0)
      ),
      IF(H675="Presencial",
         VLOOKUP(D675,TARIFAS!A:K,9,FALSE) + IF(I675="Sí",VLOOKUP(D675,TARIFAS!A:K,11,FALSE),0),
         VLOOKUP(D675,TARIFAS!A:K,10,FALSE) + IF(I675="Sí",VLOOKUP(D675,TARIFAS!A:K,11,FALSE),0)
      )
   )
)
</f>
        <v>0</v>
      </c>
      <c r="U675" s="45">
        <f>IF(R675="",0,MAX(0,R675 - TARIFAS!G$2) * TARIFAS!F$2)
</f>
        <v>0</v>
      </c>
      <c r="V675" s="45">
        <f>+T675*TARIFAS!$K$2</f>
        <v>0</v>
      </c>
      <c r="W675" s="45">
        <f t="shared" si="2"/>
        <v>0</v>
      </c>
      <c r="X675" s="45">
        <f t="shared" si="3"/>
        <v>0</v>
      </c>
      <c r="Y675" s="45">
        <f t="shared" si="4"/>
        <v>0</v>
      </c>
      <c r="Z675" s="42" t="str">
        <f>CONFERENCIAS!AB675</f>
        <v/>
      </c>
      <c r="AA675" s="42" t="str">
        <f>CONFERENCIAS!AC675</f>
        <v/>
      </c>
      <c r="AB675" s="47" t="str">
        <f t="shared" si="5"/>
        <v/>
      </c>
      <c r="AC675" s="9" t="str">
        <f t="shared" si="6"/>
        <v/>
      </c>
    </row>
    <row r="676">
      <c r="A676" s="42" t="str">
        <f>CONFERENCIAS!A676</f>
        <v/>
      </c>
      <c r="D676" s="42" t="str">
        <f>CONFERENCIAS!C676</f>
        <v/>
      </c>
      <c r="E676" s="42" t="str">
        <f>CONFERENCIAS!K676</f>
        <v/>
      </c>
      <c r="F676" s="49" t="str">
        <f>CONFERENCIAS!J676</f>
        <v/>
      </c>
      <c r="G676" s="42" t="str">
        <f>CONFERENCIAS!O676</f>
        <v/>
      </c>
      <c r="H676" s="42" t="str">
        <f>CONFERENCIAS!X676</f>
        <v/>
      </c>
      <c r="I676" s="42" t="str">
        <f>CONFERENCIAS!AA676</f>
        <v/>
      </c>
      <c r="J676" s="44" t="str">
        <f>CONFERENCIAS!P676</f>
        <v/>
      </c>
      <c r="K676" s="45" t="str">
        <f>CONFERENCIAS!R676</f>
        <v/>
      </c>
      <c r="L676" s="45">
        <f>IF(D676="",0,
 IF(E676=1,
   IF(H676="Presencial",
      VLOOKUP(D676,TARIFAS!A:K,3,FALSE) + IF(I676="Sí",VLOOKUP(D676,TARIFAS!A:K,5,FALSE),0),
      VLOOKUP(D676,TARIFAS!A:K,4,FALSE) + IF(I676="Sí",VLOOKUP(D676,TARIFAS!A:K,5,FALSE),0)
   ),
   IF(H676="Presencial",
      VLOOKUP(D676,TARIFAS!A:K,9,FALSE) + IF(I676="Sí",VLOOKUP(D676,TARIFAS!A:K,11,FALSE),0),
      VLOOKUP(D676,TARIFAS!A:K,10,FALSE) + IF(I676="Sí",VLOOKUP(D676,TARIFAS!A:K,11,FALSE),0)
   )
 )
)
</f>
        <v>0</v>
      </c>
      <c r="M676" s="45">
        <f>IF(J676="",0,MAX(0,J676 - TARIFAS!G$2) * TARIFAS!F$2)
</f>
        <v>0</v>
      </c>
      <c r="N676" s="45">
        <f>+L676*TARIFAS!$K$2</f>
        <v>0</v>
      </c>
      <c r="O676" s="45">
        <f t="shared" si="1"/>
        <v>0</v>
      </c>
      <c r="P676" s="45">
        <f>+M676+O676+K676+(+I676-(I676*TARIFAS!$K$2))</f>
        <v>0</v>
      </c>
      <c r="Q676" s="42" t="str">
        <f>CONFERENCIAS!T676</f>
        <v/>
      </c>
      <c r="R676" s="45" t="str">
        <f>CONFERENCIAS!U676</f>
        <v/>
      </c>
      <c r="S676" s="45" t="str">
        <f>CONFERENCIAS!W676</f>
        <v/>
      </c>
      <c r="T676" s="48">
        <f>IF(Q676="",0,
   IF(E676=1,
      IF(H676="Presencial",
         VLOOKUP(D676,TARIFAS!A:K,3,FALSE) + IF(I676="Sí",VLOOKUP(D676,TARIFAS!A:K,5,FALSE),0),
         VLOOKUP(D676,TARIFAS!A:K,4,FALSE) + IF(I676="Sí",VLOOKUP(D676,TARIFAS!A:K,5,FALSE),0)
      ),
      IF(H676="Presencial",
         VLOOKUP(D676,TARIFAS!A:K,9,FALSE) + IF(I676="Sí",VLOOKUP(D676,TARIFAS!A:K,11,FALSE),0),
         VLOOKUP(D676,TARIFAS!A:K,10,FALSE) + IF(I676="Sí",VLOOKUP(D676,TARIFAS!A:K,11,FALSE),0)
      )
   )
)
</f>
        <v>0</v>
      </c>
      <c r="U676" s="45">
        <f>IF(R676="",0,MAX(0,R676 - TARIFAS!G$2) * TARIFAS!F$2)
</f>
        <v>0</v>
      </c>
      <c r="V676" s="45">
        <f>+T676*TARIFAS!$K$2</f>
        <v>0</v>
      </c>
      <c r="W676" s="45">
        <f t="shared" si="2"/>
        <v>0</v>
      </c>
      <c r="X676" s="45">
        <f t="shared" si="3"/>
        <v>0</v>
      </c>
      <c r="Y676" s="45">
        <f t="shared" si="4"/>
        <v>0</v>
      </c>
      <c r="Z676" s="42" t="str">
        <f>CONFERENCIAS!AB676</f>
        <v/>
      </c>
      <c r="AA676" s="42" t="str">
        <f>CONFERENCIAS!AC676</f>
        <v/>
      </c>
      <c r="AB676" s="47" t="str">
        <f t="shared" si="5"/>
        <v/>
      </c>
      <c r="AC676" s="9" t="str">
        <f t="shared" si="6"/>
        <v/>
      </c>
    </row>
    <row r="677">
      <c r="A677" s="42" t="str">
        <f>CONFERENCIAS!A677</f>
        <v/>
      </c>
      <c r="D677" s="42" t="str">
        <f>CONFERENCIAS!C677</f>
        <v/>
      </c>
      <c r="E677" s="42" t="str">
        <f>CONFERENCIAS!K677</f>
        <v/>
      </c>
      <c r="F677" s="49" t="str">
        <f>CONFERENCIAS!J677</f>
        <v/>
      </c>
      <c r="G677" s="42" t="str">
        <f>CONFERENCIAS!O677</f>
        <v/>
      </c>
      <c r="H677" s="42" t="str">
        <f>CONFERENCIAS!X677</f>
        <v/>
      </c>
      <c r="I677" s="42" t="str">
        <f>CONFERENCIAS!AA677</f>
        <v/>
      </c>
      <c r="J677" s="44" t="str">
        <f>CONFERENCIAS!P677</f>
        <v/>
      </c>
      <c r="K677" s="45" t="str">
        <f>CONFERENCIAS!R677</f>
        <v/>
      </c>
      <c r="L677" s="45">
        <f>IF(D677="",0,
 IF(E677=1,
   IF(H677="Presencial",
      VLOOKUP(D677,TARIFAS!A:K,3,FALSE) + IF(I677="Sí",VLOOKUP(D677,TARIFAS!A:K,5,FALSE),0),
      VLOOKUP(D677,TARIFAS!A:K,4,FALSE) + IF(I677="Sí",VLOOKUP(D677,TARIFAS!A:K,5,FALSE),0)
   ),
   IF(H677="Presencial",
      VLOOKUP(D677,TARIFAS!A:K,9,FALSE) + IF(I677="Sí",VLOOKUP(D677,TARIFAS!A:K,11,FALSE),0),
      VLOOKUP(D677,TARIFAS!A:K,10,FALSE) + IF(I677="Sí",VLOOKUP(D677,TARIFAS!A:K,11,FALSE),0)
   )
 )
)
</f>
        <v>0</v>
      </c>
      <c r="M677" s="45">
        <f>IF(J677="",0,MAX(0,J677 - TARIFAS!G$2) * TARIFAS!F$2)
</f>
        <v>0</v>
      </c>
      <c r="N677" s="45">
        <f>+L677*TARIFAS!$K$2</f>
        <v>0</v>
      </c>
      <c r="O677" s="45">
        <f t="shared" si="1"/>
        <v>0</v>
      </c>
      <c r="P677" s="45">
        <f>+M677+O677+K677+(+I677-(I677*TARIFAS!$K$2))</f>
        <v>0</v>
      </c>
      <c r="Q677" s="42" t="str">
        <f>CONFERENCIAS!T677</f>
        <v/>
      </c>
      <c r="R677" s="45" t="str">
        <f>CONFERENCIAS!U677</f>
        <v/>
      </c>
      <c r="S677" s="45" t="str">
        <f>CONFERENCIAS!W677</f>
        <v/>
      </c>
      <c r="T677" s="48">
        <f>IF(Q677="",0,
   IF(E677=1,
      IF(H677="Presencial",
         VLOOKUP(D677,TARIFAS!A:K,3,FALSE) + IF(I677="Sí",VLOOKUP(D677,TARIFAS!A:K,5,FALSE),0),
         VLOOKUP(D677,TARIFAS!A:K,4,FALSE) + IF(I677="Sí",VLOOKUP(D677,TARIFAS!A:K,5,FALSE),0)
      ),
      IF(H677="Presencial",
         VLOOKUP(D677,TARIFAS!A:K,9,FALSE) + IF(I677="Sí",VLOOKUP(D677,TARIFAS!A:K,11,FALSE),0),
         VLOOKUP(D677,TARIFAS!A:K,10,FALSE) + IF(I677="Sí",VLOOKUP(D677,TARIFAS!A:K,11,FALSE),0)
      )
   )
)
</f>
        <v>0</v>
      </c>
      <c r="U677" s="45">
        <f>IF(R677="",0,MAX(0,R677 - TARIFAS!G$2) * TARIFAS!F$2)
</f>
        <v>0</v>
      </c>
      <c r="V677" s="45">
        <f>+T677*TARIFAS!$K$2</f>
        <v>0</v>
      </c>
      <c r="W677" s="45">
        <f t="shared" si="2"/>
        <v>0</v>
      </c>
      <c r="X677" s="45">
        <f t="shared" si="3"/>
        <v>0</v>
      </c>
      <c r="Y677" s="45">
        <f t="shared" si="4"/>
        <v>0</v>
      </c>
      <c r="Z677" s="42" t="str">
        <f>CONFERENCIAS!AB677</f>
        <v/>
      </c>
      <c r="AA677" s="42" t="str">
        <f>CONFERENCIAS!AC677</f>
        <v/>
      </c>
      <c r="AB677" s="47" t="str">
        <f t="shared" si="5"/>
        <v/>
      </c>
      <c r="AC677" s="9" t="str">
        <f t="shared" si="6"/>
        <v/>
      </c>
    </row>
    <row r="678">
      <c r="A678" s="42" t="str">
        <f>CONFERENCIAS!A678</f>
        <v/>
      </c>
      <c r="D678" s="42" t="str">
        <f>CONFERENCIAS!C678</f>
        <v/>
      </c>
      <c r="E678" s="42" t="str">
        <f>CONFERENCIAS!K678</f>
        <v/>
      </c>
      <c r="F678" s="49" t="str">
        <f>CONFERENCIAS!J678</f>
        <v/>
      </c>
      <c r="G678" s="42" t="str">
        <f>CONFERENCIAS!O678</f>
        <v/>
      </c>
      <c r="H678" s="42" t="str">
        <f>CONFERENCIAS!X678</f>
        <v/>
      </c>
      <c r="I678" s="42" t="str">
        <f>CONFERENCIAS!AA678</f>
        <v/>
      </c>
      <c r="J678" s="44" t="str">
        <f>CONFERENCIAS!P678</f>
        <v/>
      </c>
      <c r="K678" s="45" t="str">
        <f>CONFERENCIAS!R678</f>
        <v/>
      </c>
      <c r="L678" s="45">
        <f>IF(D678="",0,
 IF(E678=1,
   IF(H678="Presencial",
      VLOOKUP(D678,TARIFAS!A:K,3,FALSE) + IF(I678="Sí",VLOOKUP(D678,TARIFAS!A:K,5,FALSE),0),
      VLOOKUP(D678,TARIFAS!A:K,4,FALSE) + IF(I678="Sí",VLOOKUP(D678,TARIFAS!A:K,5,FALSE),0)
   ),
   IF(H678="Presencial",
      VLOOKUP(D678,TARIFAS!A:K,9,FALSE) + IF(I678="Sí",VLOOKUP(D678,TARIFAS!A:K,11,FALSE),0),
      VLOOKUP(D678,TARIFAS!A:K,10,FALSE) + IF(I678="Sí",VLOOKUP(D678,TARIFAS!A:K,11,FALSE),0)
   )
 )
)
</f>
        <v>0</v>
      </c>
      <c r="M678" s="45">
        <f>IF(J678="",0,MAX(0,J678 - TARIFAS!G$2) * TARIFAS!F$2)
</f>
        <v>0</v>
      </c>
      <c r="N678" s="45">
        <f>+L678*TARIFAS!$K$2</f>
        <v>0</v>
      </c>
      <c r="O678" s="45">
        <f t="shared" si="1"/>
        <v>0</v>
      </c>
      <c r="P678" s="45">
        <f>+M678+O678+K678+(+I678-(I678*TARIFAS!$K$2))</f>
        <v>0</v>
      </c>
      <c r="Q678" s="42" t="str">
        <f>CONFERENCIAS!T678</f>
        <v/>
      </c>
      <c r="R678" s="45" t="str">
        <f>CONFERENCIAS!U678</f>
        <v/>
      </c>
      <c r="S678" s="45" t="str">
        <f>CONFERENCIAS!W678</f>
        <v/>
      </c>
      <c r="T678" s="48">
        <f>IF(Q678="",0,
   IF(E678=1,
      IF(H678="Presencial",
         VLOOKUP(D678,TARIFAS!A:K,3,FALSE) + IF(I678="Sí",VLOOKUP(D678,TARIFAS!A:K,5,FALSE),0),
         VLOOKUP(D678,TARIFAS!A:K,4,FALSE) + IF(I678="Sí",VLOOKUP(D678,TARIFAS!A:K,5,FALSE),0)
      ),
      IF(H678="Presencial",
         VLOOKUP(D678,TARIFAS!A:K,9,FALSE) + IF(I678="Sí",VLOOKUP(D678,TARIFAS!A:K,11,FALSE),0),
         VLOOKUP(D678,TARIFAS!A:K,10,FALSE) + IF(I678="Sí",VLOOKUP(D678,TARIFAS!A:K,11,FALSE),0)
      )
   )
)
</f>
        <v>0</v>
      </c>
      <c r="U678" s="45">
        <f>IF(R678="",0,MAX(0,R678 - TARIFAS!G$2) * TARIFAS!F$2)
</f>
        <v>0</v>
      </c>
      <c r="V678" s="45">
        <f>+T678*TARIFAS!$K$2</f>
        <v>0</v>
      </c>
      <c r="W678" s="45">
        <f t="shared" si="2"/>
        <v>0</v>
      </c>
      <c r="X678" s="45">
        <f t="shared" si="3"/>
        <v>0</v>
      </c>
      <c r="Y678" s="45">
        <f t="shared" si="4"/>
        <v>0</v>
      </c>
      <c r="Z678" s="42" t="str">
        <f>CONFERENCIAS!AB678</f>
        <v/>
      </c>
      <c r="AA678" s="42" t="str">
        <f>CONFERENCIAS!AC678</f>
        <v/>
      </c>
      <c r="AB678" s="47" t="str">
        <f t="shared" si="5"/>
        <v/>
      </c>
      <c r="AC678" s="9" t="str">
        <f t="shared" si="6"/>
        <v/>
      </c>
    </row>
    <row r="679">
      <c r="A679" s="42" t="str">
        <f>CONFERENCIAS!A679</f>
        <v/>
      </c>
      <c r="D679" s="42" t="str">
        <f>CONFERENCIAS!C679</f>
        <v/>
      </c>
      <c r="E679" s="42" t="str">
        <f>CONFERENCIAS!K679</f>
        <v/>
      </c>
      <c r="F679" s="49" t="str">
        <f>CONFERENCIAS!J679</f>
        <v/>
      </c>
      <c r="G679" s="42" t="str">
        <f>CONFERENCIAS!O679</f>
        <v/>
      </c>
      <c r="H679" s="42" t="str">
        <f>CONFERENCIAS!X679</f>
        <v/>
      </c>
      <c r="I679" s="42" t="str">
        <f>CONFERENCIAS!AA679</f>
        <v/>
      </c>
      <c r="J679" s="44" t="str">
        <f>CONFERENCIAS!P679</f>
        <v/>
      </c>
      <c r="K679" s="45" t="str">
        <f>CONFERENCIAS!R679</f>
        <v/>
      </c>
      <c r="L679" s="45">
        <f>IF(D679="",0,
 IF(E679=1,
   IF(H679="Presencial",
      VLOOKUP(D679,TARIFAS!A:K,3,FALSE) + IF(I679="Sí",VLOOKUP(D679,TARIFAS!A:K,5,FALSE),0),
      VLOOKUP(D679,TARIFAS!A:K,4,FALSE) + IF(I679="Sí",VLOOKUP(D679,TARIFAS!A:K,5,FALSE),0)
   ),
   IF(H679="Presencial",
      VLOOKUP(D679,TARIFAS!A:K,9,FALSE) + IF(I679="Sí",VLOOKUP(D679,TARIFAS!A:K,11,FALSE),0),
      VLOOKUP(D679,TARIFAS!A:K,10,FALSE) + IF(I679="Sí",VLOOKUP(D679,TARIFAS!A:K,11,FALSE),0)
   )
 )
)
</f>
        <v>0</v>
      </c>
      <c r="M679" s="45">
        <f>IF(J679="",0,MAX(0,J679 - TARIFAS!G$2) * TARIFAS!F$2)
</f>
        <v>0</v>
      </c>
      <c r="N679" s="45">
        <f>+L679*TARIFAS!$K$2</f>
        <v>0</v>
      </c>
      <c r="O679" s="45">
        <f t="shared" si="1"/>
        <v>0</v>
      </c>
      <c r="P679" s="45">
        <f>+M679+O679+K679+(+I679-(I679*TARIFAS!$K$2))</f>
        <v>0</v>
      </c>
      <c r="Q679" s="42" t="str">
        <f>CONFERENCIAS!T679</f>
        <v/>
      </c>
      <c r="R679" s="45" t="str">
        <f>CONFERENCIAS!U679</f>
        <v/>
      </c>
      <c r="S679" s="45" t="str">
        <f>CONFERENCIAS!W679</f>
        <v/>
      </c>
      <c r="T679" s="48">
        <f>IF(Q679="",0,
   IF(E679=1,
      IF(H679="Presencial",
         VLOOKUP(D679,TARIFAS!A:K,3,FALSE) + IF(I679="Sí",VLOOKUP(D679,TARIFAS!A:K,5,FALSE),0),
         VLOOKUP(D679,TARIFAS!A:K,4,FALSE) + IF(I679="Sí",VLOOKUP(D679,TARIFAS!A:K,5,FALSE),0)
      ),
      IF(H679="Presencial",
         VLOOKUP(D679,TARIFAS!A:K,9,FALSE) + IF(I679="Sí",VLOOKUP(D679,TARIFAS!A:K,11,FALSE),0),
         VLOOKUP(D679,TARIFAS!A:K,10,FALSE) + IF(I679="Sí",VLOOKUP(D679,TARIFAS!A:K,11,FALSE),0)
      )
   )
)
</f>
        <v>0</v>
      </c>
      <c r="U679" s="45">
        <f>IF(R679="",0,MAX(0,R679 - TARIFAS!G$2) * TARIFAS!F$2)
</f>
        <v>0</v>
      </c>
      <c r="V679" s="45">
        <f>+T679*TARIFAS!$K$2</f>
        <v>0</v>
      </c>
      <c r="W679" s="45">
        <f t="shared" si="2"/>
        <v>0</v>
      </c>
      <c r="X679" s="45">
        <f t="shared" si="3"/>
        <v>0</v>
      </c>
      <c r="Y679" s="45">
        <f t="shared" si="4"/>
        <v>0</v>
      </c>
      <c r="Z679" s="42" t="str">
        <f>CONFERENCIAS!AB679</f>
        <v/>
      </c>
      <c r="AA679" s="42" t="str">
        <f>CONFERENCIAS!AC679</f>
        <v/>
      </c>
      <c r="AB679" s="47" t="str">
        <f t="shared" si="5"/>
        <v/>
      </c>
      <c r="AC679" s="9" t="str">
        <f t="shared" si="6"/>
        <v/>
      </c>
    </row>
    <row r="680">
      <c r="A680" s="42" t="str">
        <f>CONFERENCIAS!A680</f>
        <v/>
      </c>
      <c r="D680" s="42" t="str">
        <f>CONFERENCIAS!C680</f>
        <v/>
      </c>
      <c r="E680" s="42" t="str">
        <f>CONFERENCIAS!K680</f>
        <v/>
      </c>
      <c r="F680" s="49" t="str">
        <f>CONFERENCIAS!J680</f>
        <v/>
      </c>
      <c r="G680" s="42" t="str">
        <f>CONFERENCIAS!O680</f>
        <v/>
      </c>
      <c r="H680" s="42" t="str">
        <f>CONFERENCIAS!X680</f>
        <v/>
      </c>
      <c r="I680" s="42" t="str">
        <f>CONFERENCIAS!AA680</f>
        <v/>
      </c>
      <c r="J680" s="44" t="str">
        <f>CONFERENCIAS!P680</f>
        <v/>
      </c>
      <c r="K680" s="45" t="str">
        <f>CONFERENCIAS!R680</f>
        <v/>
      </c>
      <c r="L680" s="45">
        <f>IF(D680="",0,
 IF(E680=1,
   IF(H680="Presencial",
      VLOOKUP(D680,TARIFAS!A:K,3,FALSE) + IF(I680="Sí",VLOOKUP(D680,TARIFAS!A:K,5,FALSE),0),
      VLOOKUP(D680,TARIFAS!A:K,4,FALSE) + IF(I680="Sí",VLOOKUP(D680,TARIFAS!A:K,5,FALSE),0)
   ),
   IF(H680="Presencial",
      VLOOKUP(D680,TARIFAS!A:K,9,FALSE) + IF(I680="Sí",VLOOKUP(D680,TARIFAS!A:K,11,FALSE),0),
      VLOOKUP(D680,TARIFAS!A:K,10,FALSE) + IF(I680="Sí",VLOOKUP(D680,TARIFAS!A:K,11,FALSE),0)
   )
 )
)
</f>
        <v>0</v>
      </c>
      <c r="M680" s="45">
        <f>IF(J680="",0,MAX(0,J680 - TARIFAS!G$2) * TARIFAS!F$2)
</f>
        <v>0</v>
      </c>
      <c r="N680" s="45">
        <f>+L680*TARIFAS!$K$2</f>
        <v>0</v>
      </c>
      <c r="O680" s="45">
        <f t="shared" si="1"/>
        <v>0</v>
      </c>
      <c r="P680" s="45">
        <f>+M680+O680+K680+(+I680-(I680*TARIFAS!$K$2))</f>
        <v>0</v>
      </c>
      <c r="Q680" s="42" t="str">
        <f>CONFERENCIAS!T680</f>
        <v/>
      </c>
      <c r="R680" s="45" t="str">
        <f>CONFERENCIAS!U680</f>
        <v/>
      </c>
      <c r="S680" s="45" t="str">
        <f>CONFERENCIAS!W680</f>
        <v/>
      </c>
      <c r="T680" s="48">
        <f>IF(Q680="",0,
   IF(E680=1,
      IF(H680="Presencial",
         VLOOKUP(D680,TARIFAS!A:K,3,FALSE) + IF(I680="Sí",VLOOKUP(D680,TARIFAS!A:K,5,FALSE),0),
         VLOOKUP(D680,TARIFAS!A:K,4,FALSE) + IF(I680="Sí",VLOOKUP(D680,TARIFAS!A:K,5,FALSE),0)
      ),
      IF(H680="Presencial",
         VLOOKUP(D680,TARIFAS!A:K,9,FALSE) + IF(I680="Sí",VLOOKUP(D680,TARIFAS!A:K,11,FALSE),0),
         VLOOKUP(D680,TARIFAS!A:K,10,FALSE) + IF(I680="Sí",VLOOKUP(D680,TARIFAS!A:K,11,FALSE),0)
      )
   )
)
</f>
        <v>0</v>
      </c>
      <c r="U680" s="45">
        <f>IF(R680="",0,MAX(0,R680 - TARIFAS!G$2) * TARIFAS!F$2)
</f>
        <v>0</v>
      </c>
      <c r="V680" s="45">
        <f>+T680*TARIFAS!$K$2</f>
        <v>0</v>
      </c>
      <c r="W680" s="45">
        <f t="shared" si="2"/>
        <v>0</v>
      </c>
      <c r="X680" s="45">
        <f t="shared" si="3"/>
        <v>0</v>
      </c>
      <c r="Y680" s="45">
        <f t="shared" si="4"/>
        <v>0</v>
      </c>
      <c r="Z680" s="42" t="str">
        <f>CONFERENCIAS!AB680</f>
        <v/>
      </c>
      <c r="AA680" s="42" t="str">
        <f>CONFERENCIAS!AC680</f>
        <v/>
      </c>
      <c r="AB680" s="47" t="str">
        <f t="shared" si="5"/>
        <v/>
      </c>
      <c r="AC680" s="9" t="str">
        <f t="shared" si="6"/>
        <v/>
      </c>
    </row>
    <row r="681">
      <c r="A681" s="42" t="str">
        <f>CONFERENCIAS!A681</f>
        <v/>
      </c>
      <c r="D681" s="42" t="str">
        <f>CONFERENCIAS!C681</f>
        <v/>
      </c>
      <c r="E681" s="42" t="str">
        <f>CONFERENCIAS!K681</f>
        <v/>
      </c>
      <c r="F681" s="49" t="str">
        <f>CONFERENCIAS!J681</f>
        <v/>
      </c>
      <c r="G681" s="42" t="str">
        <f>CONFERENCIAS!O681</f>
        <v/>
      </c>
      <c r="H681" s="42" t="str">
        <f>CONFERENCIAS!X681</f>
        <v/>
      </c>
      <c r="I681" s="42" t="str">
        <f>CONFERENCIAS!AA681</f>
        <v/>
      </c>
      <c r="J681" s="44" t="str">
        <f>CONFERENCIAS!P681</f>
        <v/>
      </c>
      <c r="K681" s="45" t="str">
        <f>CONFERENCIAS!R681</f>
        <v/>
      </c>
      <c r="L681" s="45">
        <f>IF(D681="",0,
 IF(E681=1,
   IF(H681="Presencial",
      VLOOKUP(D681,TARIFAS!A:K,3,FALSE) + IF(I681="Sí",VLOOKUP(D681,TARIFAS!A:K,5,FALSE),0),
      VLOOKUP(D681,TARIFAS!A:K,4,FALSE) + IF(I681="Sí",VLOOKUP(D681,TARIFAS!A:K,5,FALSE),0)
   ),
   IF(H681="Presencial",
      VLOOKUP(D681,TARIFAS!A:K,9,FALSE) + IF(I681="Sí",VLOOKUP(D681,TARIFAS!A:K,11,FALSE),0),
      VLOOKUP(D681,TARIFAS!A:K,10,FALSE) + IF(I681="Sí",VLOOKUP(D681,TARIFAS!A:K,11,FALSE),0)
   )
 )
)
</f>
        <v>0</v>
      </c>
      <c r="M681" s="45">
        <f>IF(J681="",0,MAX(0,J681 - TARIFAS!G$2) * TARIFAS!F$2)
</f>
        <v>0</v>
      </c>
      <c r="N681" s="45">
        <f>+L681*TARIFAS!$K$2</f>
        <v>0</v>
      </c>
      <c r="O681" s="45">
        <f t="shared" si="1"/>
        <v>0</v>
      </c>
      <c r="P681" s="45">
        <f>+M681+O681+K681+(+I681-(I681*TARIFAS!$K$2))</f>
        <v>0</v>
      </c>
      <c r="Q681" s="42" t="str">
        <f>CONFERENCIAS!T681</f>
        <v/>
      </c>
      <c r="R681" s="45" t="str">
        <f>CONFERENCIAS!U681</f>
        <v/>
      </c>
      <c r="S681" s="45" t="str">
        <f>CONFERENCIAS!W681</f>
        <v/>
      </c>
      <c r="T681" s="48">
        <f>IF(Q681="",0,
   IF(E681=1,
      IF(H681="Presencial",
         VLOOKUP(D681,TARIFAS!A:K,3,FALSE) + IF(I681="Sí",VLOOKUP(D681,TARIFAS!A:K,5,FALSE),0),
         VLOOKUP(D681,TARIFAS!A:K,4,FALSE) + IF(I681="Sí",VLOOKUP(D681,TARIFAS!A:K,5,FALSE),0)
      ),
      IF(H681="Presencial",
         VLOOKUP(D681,TARIFAS!A:K,9,FALSE) + IF(I681="Sí",VLOOKUP(D681,TARIFAS!A:K,11,FALSE),0),
         VLOOKUP(D681,TARIFAS!A:K,10,FALSE) + IF(I681="Sí",VLOOKUP(D681,TARIFAS!A:K,11,FALSE),0)
      )
   )
)
</f>
        <v>0</v>
      </c>
      <c r="U681" s="45">
        <f>IF(R681="",0,MAX(0,R681 - TARIFAS!G$2) * TARIFAS!F$2)
</f>
        <v>0</v>
      </c>
      <c r="V681" s="45">
        <f>+T681*TARIFAS!$K$2</f>
        <v>0</v>
      </c>
      <c r="W681" s="45">
        <f t="shared" si="2"/>
        <v>0</v>
      </c>
      <c r="X681" s="45">
        <f t="shared" si="3"/>
        <v>0</v>
      </c>
      <c r="Y681" s="45">
        <f t="shared" si="4"/>
        <v>0</v>
      </c>
      <c r="Z681" s="42" t="str">
        <f>CONFERENCIAS!AB681</f>
        <v/>
      </c>
      <c r="AA681" s="42" t="str">
        <f>CONFERENCIAS!AC681</f>
        <v/>
      </c>
      <c r="AB681" s="47" t="str">
        <f t="shared" si="5"/>
        <v/>
      </c>
      <c r="AC681" s="9" t="str">
        <f t="shared" si="6"/>
        <v/>
      </c>
    </row>
    <row r="682">
      <c r="A682" s="42" t="str">
        <f>CONFERENCIAS!A682</f>
        <v/>
      </c>
      <c r="D682" s="42" t="str">
        <f>CONFERENCIAS!C682</f>
        <v/>
      </c>
      <c r="E682" s="42" t="str">
        <f>CONFERENCIAS!K682</f>
        <v/>
      </c>
      <c r="F682" s="49" t="str">
        <f>CONFERENCIAS!J682</f>
        <v/>
      </c>
      <c r="G682" s="42" t="str">
        <f>CONFERENCIAS!O682</f>
        <v/>
      </c>
      <c r="H682" s="42" t="str">
        <f>CONFERENCIAS!X682</f>
        <v/>
      </c>
      <c r="I682" s="42" t="str">
        <f>CONFERENCIAS!AA682</f>
        <v/>
      </c>
      <c r="J682" s="44" t="str">
        <f>CONFERENCIAS!P682</f>
        <v/>
      </c>
      <c r="K682" s="45" t="str">
        <f>CONFERENCIAS!R682</f>
        <v/>
      </c>
      <c r="L682" s="45">
        <f>IF(D682="",0,
 IF(E682=1,
   IF(H682="Presencial",
      VLOOKUP(D682,TARIFAS!A:K,3,FALSE) + IF(I682="Sí",VLOOKUP(D682,TARIFAS!A:K,5,FALSE),0),
      VLOOKUP(D682,TARIFAS!A:K,4,FALSE) + IF(I682="Sí",VLOOKUP(D682,TARIFAS!A:K,5,FALSE),0)
   ),
   IF(H682="Presencial",
      VLOOKUP(D682,TARIFAS!A:K,9,FALSE) + IF(I682="Sí",VLOOKUP(D682,TARIFAS!A:K,11,FALSE),0),
      VLOOKUP(D682,TARIFAS!A:K,10,FALSE) + IF(I682="Sí",VLOOKUP(D682,TARIFAS!A:K,11,FALSE),0)
   )
 )
)
</f>
        <v>0</v>
      </c>
      <c r="M682" s="45">
        <f>IF(J682="",0,MAX(0,J682 - TARIFAS!G$2) * TARIFAS!F$2)
</f>
        <v>0</v>
      </c>
      <c r="N682" s="45">
        <f>+L682*TARIFAS!$K$2</f>
        <v>0</v>
      </c>
      <c r="O682" s="45">
        <f t="shared" si="1"/>
        <v>0</v>
      </c>
      <c r="P682" s="45">
        <f>+M682+O682+K682+(+I682-(I682*TARIFAS!$K$2))</f>
        <v>0</v>
      </c>
      <c r="Q682" s="42" t="str">
        <f>CONFERENCIAS!T682</f>
        <v/>
      </c>
      <c r="R682" s="45" t="str">
        <f>CONFERENCIAS!U682</f>
        <v/>
      </c>
      <c r="S682" s="45" t="str">
        <f>CONFERENCIAS!W682</f>
        <v/>
      </c>
      <c r="T682" s="48">
        <f>IF(Q682="",0,
   IF(E682=1,
      IF(H682="Presencial",
         VLOOKUP(D682,TARIFAS!A:K,3,FALSE) + IF(I682="Sí",VLOOKUP(D682,TARIFAS!A:K,5,FALSE),0),
         VLOOKUP(D682,TARIFAS!A:K,4,FALSE) + IF(I682="Sí",VLOOKUP(D682,TARIFAS!A:K,5,FALSE),0)
      ),
      IF(H682="Presencial",
         VLOOKUP(D682,TARIFAS!A:K,9,FALSE) + IF(I682="Sí",VLOOKUP(D682,TARIFAS!A:K,11,FALSE),0),
         VLOOKUP(D682,TARIFAS!A:K,10,FALSE) + IF(I682="Sí",VLOOKUP(D682,TARIFAS!A:K,11,FALSE),0)
      )
   )
)
</f>
        <v>0</v>
      </c>
      <c r="U682" s="45">
        <f>IF(R682="",0,MAX(0,R682 - TARIFAS!G$2) * TARIFAS!F$2)
</f>
        <v>0</v>
      </c>
      <c r="V682" s="45">
        <f>+T682*TARIFAS!$K$2</f>
        <v>0</v>
      </c>
      <c r="W682" s="45">
        <f t="shared" si="2"/>
        <v>0</v>
      </c>
      <c r="X682" s="45">
        <f t="shared" si="3"/>
        <v>0</v>
      </c>
      <c r="Y682" s="45">
        <f t="shared" si="4"/>
        <v>0</v>
      </c>
      <c r="Z682" s="42" t="str">
        <f>CONFERENCIAS!AB682</f>
        <v/>
      </c>
      <c r="AA682" s="42" t="str">
        <f>CONFERENCIAS!AC682</f>
        <v/>
      </c>
      <c r="AB682" s="47" t="str">
        <f t="shared" si="5"/>
        <v/>
      </c>
      <c r="AC682" s="9" t="str">
        <f t="shared" si="6"/>
        <v/>
      </c>
    </row>
    <row r="683">
      <c r="A683" s="42" t="str">
        <f>CONFERENCIAS!A683</f>
        <v/>
      </c>
      <c r="D683" s="42" t="str">
        <f>CONFERENCIAS!C683</f>
        <v/>
      </c>
      <c r="E683" s="42" t="str">
        <f>CONFERENCIAS!K683</f>
        <v/>
      </c>
      <c r="F683" s="49" t="str">
        <f>CONFERENCIAS!J683</f>
        <v/>
      </c>
      <c r="G683" s="42" t="str">
        <f>CONFERENCIAS!O683</f>
        <v/>
      </c>
      <c r="H683" s="42" t="str">
        <f>CONFERENCIAS!X683</f>
        <v/>
      </c>
      <c r="I683" s="42" t="str">
        <f>CONFERENCIAS!AA683</f>
        <v/>
      </c>
      <c r="J683" s="44" t="str">
        <f>CONFERENCIAS!P683</f>
        <v/>
      </c>
      <c r="K683" s="45" t="str">
        <f>CONFERENCIAS!R683</f>
        <v/>
      </c>
      <c r="L683" s="45">
        <f>IF(D683="",0,
 IF(E683=1,
   IF(H683="Presencial",
      VLOOKUP(D683,TARIFAS!A:K,3,FALSE) + IF(I683="Sí",VLOOKUP(D683,TARIFAS!A:K,5,FALSE),0),
      VLOOKUP(D683,TARIFAS!A:K,4,FALSE) + IF(I683="Sí",VLOOKUP(D683,TARIFAS!A:K,5,FALSE),0)
   ),
   IF(H683="Presencial",
      VLOOKUP(D683,TARIFAS!A:K,9,FALSE) + IF(I683="Sí",VLOOKUP(D683,TARIFAS!A:K,11,FALSE),0),
      VLOOKUP(D683,TARIFAS!A:K,10,FALSE) + IF(I683="Sí",VLOOKUP(D683,TARIFAS!A:K,11,FALSE),0)
   )
 )
)
</f>
        <v>0</v>
      </c>
      <c r="M683" s="45">
        <f>IF(J683="",0,MAX(0,J683 - TARIFAS!G$2) * TARIFAS!F$2)
</f>
        <v>0</v>
      </c>
      <c r="N683" s="45">
        <f>+L683*TARIFAS!$K$2</f>
        <v>0</v>
      </c>
      <c r="O683" s="45">
        <f t="shared" si="1"/>
        <v>0</v>
      </c>
      <c r="P683" s="45">
        <f>+M683+O683+K683+(+I683-(I683*TARIFAS!$K$2))</f>
        <v>0</v>
      </c>
      <c r="Q683" s="42" t="str">
        <f>CONFERENCIAS!T683</f>
        <v/>
      </c>
      <c r="R683" s="45" t="str">
        <f>CONFERENCIAS!U683</f>
        <v/>
      </c>
      <c r="S683" s="45" t="str">
        <f>CONFERENCIAS!W683</f>
        <v/>
      </c>
      <c r="T683" s="48">
        <f>IF(Q683="",0,
   IF(E683=1,
      IF(H683="Presencial",
         VLOOKUP(D683,TARIFAS!A:K,3,FALSE) + IF(I683="Sí",VLOOKUP(D683,TARIFAS!A:K,5,FALSE),0),
         VLOOKUP(D683,TARIFAS!A:K,4,FALSE) + IF(I683="Sí",VLOOKUP(D683,TARIFAS!A:K,5,FALSE),0)
      ),
      IF(H683="Presencial",
         VLOOKUP(D683,TARIFAS!A:K,9,FALSE) + IF(I683="Sí",VLOOKUP(D683,TARIFAS!A:K,11,FALSE),0),
         VLOOKUP(D683,TARIFAS!A:K,10,FALSE) + IF(I683="Sí",VLOOKUP(D683,TARIFAS!A:K,11,FALSE),0)
      )
   )
)
</f>
        <v>0</v>
      </c>
      <c r="U683" s="45">
        <f>IF(R683="",0,MAX(0,R683 - TARIFAS!G$2) * TARIFAS!F$2)
</f>
        <v>0</v>
      </c>
      <c r="V683" s="45">
        <f>+T683*TARIFAS!$K$2</f>
        <v>0</v>
      </c>
      <c r="W683" s="45">
        <f t="shared" si="2"/>
        <v>0</v>
      </c>
      <c r="X683" s="45">
        <f t="shared" si="3"/>
        <v>0</v>
      </c>
      <c r="Y683" s="45">
        <f t="shared" si="4"/>
        <v>0</v>
      </c>
      <c r="Z683" s="42" t="str">
        <f>CONFERENCIAS!AB683</f>
        <v/>
      </c>
      <c r="AA683" s="42" t="str">
        <f>CONFERENCIAS!AC683</f>
        <v/>
      </c>
      <c r="AB683" s="47" t="str">
        <f t="shared" si="5"/>
        <v/>
      </c>
      <c r="AC683" s="9" t="str">
        <f t="shared" si="6"/>
        <v/>
      </c>
    </row>
    <row r="684">
      <c r="A684" s="42" t="str">
        <f>CONFERENCIAS!A684</f>
        <v/>
      </c>
      <c r="D684" s="42" t="str">
        <f>CONFERENCIAS!C684</f>
        <v/>
      </c>
      <c r="E684" s="42" t="str">
        <f>CONFERENCIAS!K684</f>
        <v/>
      </c>
      <c r="F684" s="49" t="str">
        <f>CONFERENCIAS!J684</f>
        <v/>
      </c>
      <c r="G684" s="42" t="str">
        <f>CONFERENCIAS!O684</f>
        <v/>
      </c>
      <c r="H684" s="42" t="str">
        <f>CONFERENCIAS!X684</f>
        <v/>
      </c>
      <c r="I684" s="42" t="str">
        <f>CONFERENCIAS!AA684</f>
        <v/>
      </c>
      <c r="J684" s="44" t="str">
        <f>CONFERENCIAS!P684</f>
        <v/>
      </c>
      <c r="K684" s="45" t="str">
        <f>CONFERENCIAS!R684</f>
        <v/>
      </c>
      <c r="L684" s="45">
        <f>IF(D684="",0,
 IF(E684=1,
   IF(H684="Presencial",
      VLOOKUP(D684,TARIFAS!A:K,3,FALSE) + IF(I684="Sí",VLOOKUP(D684,TARIFAS!A:K,5,FALSE),0),
      VLOOKUP(D684,TARIFAS!A:K,4,FALSE) + IF(I684="Sí",VLOOKUP(D684,TARIFAS!A:K,5,FALSE),0)
   ),
   IF(H684="Presencial",
      VLOOKUP(D684,TARIFAS!A:K,9,FALSE) + IF(I684="Sí",VLOOKUP(D684,TARIFAS!A:K,11,FALSE),0),
      VLOOKUP(D684,TARIFAS!A:K,10,FALSE) + IF(I684="Sí",VLOOKUP(D684,TARIFAS!A:K,11,FALSE),0)
   )
 )
)
</f>
        <v>0</v>
      </c>
      <c r="M684" s="45">
        <f>IF(J684="",0,MAX(0,J684 - TARIFAS!G$2) * TARIFAS!F$2)
</f>
        <v>0</v>
      </c>
      <c r="N684" s="45">
        <f>+L684*TARIFAS!$K$2</f>
        <v>0</v>
      </c>
      <c r="O684" s="45">
        <f t="shared" si="1"/>
        <v>0</v>
      </c>
      <c r="P684" s="45">
        <f>+M684+O684+K684+(+I684-(I684*TARIFAS!$K$2))</f>
        <v>0</v>
      </c>
      <c r="Q684" s="42" t="str">
        <f>CONFERENCIAS!T684</f>
        <v/>
      </c>
      <c r="R684" s="45" t="str">
        <f>CONFERENCIAS!U684</f>
        <v/>
      </c>
      <c r="S684" s="45" t="str">
        <f>CONFERENCIAS!W684</f>
        <v/>
      </c>
      <c r="T684" s="48">
        <f>IF(Q684="",0,
   IF(E684=1,
      IF(H684="Presencial",
         VLOOKUP(D684,TARIFAS!A:K,3,FALSE) + IF(I684="Sí",VLOOKUP(D684,TARIFAS!A:K,5,FALSE),0),
         VLOOKUP(D684,TARIFAS!A:K,4,FALSE) + IF(I684="Sí",VLOOKUP(D684,TARIFAS!A:K,5,FALSE),0)
      ),
      IF(H684="Presencial",
         VLOOKUP(D684,TARIFAS!A:K,9,FALSE) + IF(I684="Sí",VLOOKUP(D684,TARIFAS!A:K,11,FALSE),0),
         VLOOKUP(D684,TARIFAS!A:K,10,FALSE) + IF(I684="Sí",VLOOKUP(D684,TARIFAS!A:K,11,FALSE),0)
      )
   )
)
</f>
        <v>0</v>
      </c>
      <c r="U684" s="45">
        <f>IF(R684="",0,MAX(0,R684 - TARIFAS!G$2) * TARIFAS!F$2)
</f>
        <v>0</v>
      </c>
      <c r="V684" s="45">
        <f>+T684*TARIFAS!$K$2</f>
        <v>0</v>
      </c>
      <c r="W684" s="45">
        <f t="shared" si="2"/>
        <v>0</v>
      </c>
      <c r="X684" s="45">
        <f t="shared" si="3"/>
        <v>0</v>
      </c>
      <c r="Y684" s="45">
        <f t="shared" si="4"/>
        <v>0</v>
      </c>
      <c r="Z684" s="42" t="str">
        <f>CONFERENCIAS!AB684</f>
        <v/>
      </c>
      <c r="AA684" s="42" t="str">
        <f>CONFERENCIAS!AC684</f>
        <v/>
      </c>
      <c r="AB684" s="47" t="str">
        <f t="shared" si="5"/>
        <v/>
      </c>
      <c r="AC684" s="9" t="str">
        <f t="shared" si="6"/>
        <v/>
      </c>
    </row>
    <row r="685">
      <c r="A685" s="42" t="str">
        <f>CONFERENCIAS!A685</f>
        <v/>
      </c>
      <c r="D685" s="42" t="str">
        <f>CONFERENCIAS!C685</f>
        <v/>
      </c>
      <c r="E685" s="42" t="str">
        <f>CONFERENCIAS!K685</f>
        <v/>
      </c>
      <c r="F685" s="49" t="str">
        <f>CONFERENCIAS!J685</f>
        <v/>
      </c>
      <c r="G685" s="42" t="str">
        <f>CONFERENCIAS!O685</f>
        <v/>
      </c>
      <c r="H685" s="42" t="str">
        <f>CONFERENCIAS!X685</f>
        <v/>
      </c>
      <c r="I685" s="42" t="str">
        <f>CONFERENCIAS!AA685</f>
        <v/>
      </c>
      <c r="J685" s="44" t="str">
        <f>CONFERENCIAS!P685</f>
        <v/>
      </c>
      <c r="K685" s="45" t="str">
        <f>CONFERENCIAS!R685</f>
        <v/>
      </c>
      <c r="L685" s="45">
        <f>IF(D685="",0,
 IF(E685=1,
   IF(H685="Presencial",
      VLOOKUP(D685,TARIFAS!A:K,3,FALSE) + IF(I685="Sí",VLOOKUP(D685,TARIFAS!A:K,5,FALSE),0),
      VLOOKUP(D685,TARIFAS!A:K,4,FALSE) + IF(I685="Sí",VLOOKUP(D685,TARIFAS!A:K,5,FALSE),0)
   ),
   IF(H685="Presencial",
      VLOOKUP(D685,TARIFAS!A:K,9,FALSE) + IF(I685="Sí",VLOOKUP(D685,TARIFAS!A:K,11,FALSE),0),
      VLOOKUP(D685,TARIFAS!A:K,10,FALSE) + IF(I685="Sí",VLOOKUP(D685,TARIFAS!A:K,11,FALSE),0)
   )
 )
)
</f>
        <v>0</v>
      </c>
      <c r="M685" s="45">
        <f>IF(J685="",0,MAX(0,J685 - TARIFAS!G$2) * TARIFAS!F$2)
</f>
        <v>0</v>
      </c>
      <c r="N685" s="45">
        <f>+L685*TARIFAS!$K$2</f>
        <v>0</v>
      </c>
      <c r="O685" s="45">
        <f t="shared" si="1"/>
        <v>0</v>
      </c>
      <c r="P685" s="45">
        <f>+M685+O685+K685+(+I685-(I685*TARIFAS!$K$2))</f>
        <v>0</v>
      </c>
      <c r="Q685" s="42" t="str">
        <f>CONFERENCIAS!T685</f>
        <v/>
      </c>
      <c r="R685" s="45" t="str">
        <f>CONFERENCIAS!U685</f>
        <v/>
      </c>
      <c r="S685" s="45" t="str">
        <f>CONFERENCIAS!W685</f>
        <v/>
      </c>
      <c r="T685" s="48">
        <f>IF(Q685="",0,
   IF(E685=1,
      IF(H685="Presencial",
         VLOOKUP(D685,TARIFAS!A:K,3,FALSE) + IF(I685="Sí",VLOOKUP(D685,TARIFAS!A:K,5,FALSE),0),
         VLOOKUP(D685,TARIFAS!A:K,4,FALSE) + IF(I685="Sí",VLOOKUP(D685,TARIFAS!A:K,5,FALSE),0)
      ),
      IF(H685="Presencial",
         VLOOKUP(D685,TARIFAS!A:K,9,FALSE) + IF(I685="Sí",VLOOKUP(D685,TARIFAS!A:K,11,FALSE),0),
         VLOOKUP(D685,TARIFAS!A:K,10,FALSE) + IF(I685="Sí",VLOOKUP(D685,TARIFAS!A:K,11,FALSE),0)
      )
   )
)
</f>
        <v>0</v>
      </c>
      <c r="U685" s="45">
        <f>IF(R685="",0,MAX(0,R685 - TARIFAS!G$2) * TARIFAS!F$2)
</f>
        <v>0</v>
      </c>
      <c r="V685" s="45">
        <f>+T685*TARIFAS!$K$2</f>
        <v>0</v>
      </c>
      <c r="W685" s="45">
        <f t="shared" si="2"/>
        <v>0</v>
      </c>
      <c r="X685" s="45">
        <f t="shared" si="3"/>
        <v>0</v>
      </c>
      <c r="Y685" s="45">
        <f t="shared" si="4"/>
        <v>0</v>
      </c>
      <c r="Z685" s="42" t="str">
        <f>CONFERENCIAS!AB685</f>
        <v/>
      </c>
      <c r="AA685" s="42" t="str">
        <f>CONFERENCIAS!AC685</f>
        <v/>
      </c>
      <c r="AB685" s="47" t="str">
        <f t="shared" si="5"/>
        <v/>
      </c>
      <c r="AC685" s="9" t="str">
        <f t="shared" si="6"/>
        <v/>
      </c>
    </row>
    <row r="686">
      <c r="A686" s="42" t="str">
        <f>CONFERENCIAS!A686</f>
        <v/>
      </c>
      <c r="D686" s="42" t="str">
        <f>CONFERENCIAS!C686</f>
        <v/>
      </c>
      <c r="E686" s="42" t="str">
        <f>CONFERENCIAS!K686</f>
        <v/>
      </c>
      <c r="F686" s="49" t="str">
        <f>CONFERENCIAS!J686</f>
        <v/>
      </c>
      <c r="G686" s="42" t="str">
        <f>CONFERENCIAS!O686</f>
        <v/>
      </c>
      <c r="H686" s="42" t="str">
        <f>CONFERENCIAS!X686</f>
        <v/>
      </c>
      <c r="I686" s="42" t="str">
        <f>CONFERENCIAS!AA686</f>
        <v/>
      </c>
      <c r="J686" s="44" t="str">
        <f>CONFERENCIAS!P686</f>
        <v/>
      </c>
      <c r="K686" s="45" t="str">
        <f>CONFERENCIAS!R686</f>
        <v/>
      </c>
      <c r="L686" s="45">
        <f>IF(D686="",0,
 IF(E686=1,
   IF(H686="Presencial",
      VLOOKUP(D686,TARIFAS!A:K,3,FALSE) + IF(I686="Sí",VLOOKUP(D686,TARIFAS!A:K,5,FALSE),0),
      VLOOKUP(D686,TARIFAS!A:K,4,FALSE) + IF(I686="Sí",VLOOKUP(D686,TARIFAS!A:K,5,FALSE),0)
   ),
   IF(H686="Presencial",
      VLOOKUP(D686,TARIFAS!A:K,9,FALSE) + IF(I686="Sí",VLOOKUP(D686,TARIFAS!A:K,11,FALSE),0),
      VLOOKUP(D686,TARIFAS!A:K,10,FALSE) + IF(I686="Sí",VLOOKUP(D686,TARIFAS!A:K,11,FALSE),0)
   )
 )
)
</f>
        <v>0</v>
      </c>
      <c r="M686" s="45">
        <f>IF(J686="",0,MAX(0,J686 - TARIFAS!G$2) * TARIFAS!F$2)
</f>
        <v>0</v>
      </c>
      <c r="N686" s="45">
        <f>+L686*TARIFAS!$K$2</f>
        <v>0</v>
      </c>
      <c r="O686" s="45">
        <f t="shared" si="1"/>
        <v>0</v>
      </c>
      <c r="P686" s="45">
        <f>+M686+O686+K686+(+I686-(I686*TARIFAS!$K$2))</f>
        <v>0</v>
      </c>
      <c r="Q686" s="42" t="str">
        <f>CONFERENCIAS!T686</f>
        <v/>
      </c>
      <c r="R686" s="45" t="str">
        <f>CONFERENCIAS!U686</f>
        <v/>
      </c>
      <c r="S686" s="45" t="str">
        <f>CONFERENCIAS!W686</f>
        <v/>
      </c>
      <c r="T686" s="48">
        <f>IF(Q686="",0,
   IF(E686=1,
      IF(H686="Presencial",
         VLOOKUP(D686,TARIFAS!A:K,3,FALSE) + IF(I686="Sí",VLOOKUP(D686,TARIFAS!A:K,5,FALSE),0),
         VLOOKUP(D686,TARIFAS!A:K,4,FALSE) + IF(I686="Sí",VLOOKUP(D686,TARIFAS!A:K,5,FALSE),0)
      ),
      IF(H686="Presencial",
         VLOOKUP(D686,TARIFAS!A:K,9,FALSE) + IF(I686="Sí",VLOOKUP(D686,TARIFAS!A:K,11,FALSE),0),
         VLOOKUP(D686,TARIFAS!A:K,10,FALSE) + IF(I686="Sí",VLOOKUP(D686,TARIFAS!A:K,11,FALSE),0)
      )
   )
)
</f>
        <v>0</v>
      </c>
      <c r="U686" s="45">
        <f>IF(R686="",0,MAX(0,R686 - TARIFAS!G$2) * TARIFAS!F$2)
</f>
        <v>0</v>
      </c>
      <c r="V686" s="45">
        <f>+T686*TARIFAS!$K$2</f>
        <v>0</v>
      </c>
      <c r="W686" s="45">
        <f t="shared" si="2"/>
        <v>0</v>
      </c>
      <c r="X686" s="45">
        <f t="shared" si="3"/>
        <v>0</v>
      </c>
      <c r="Y686" s="45">
        <f t="shared" si="4"/>
        <v>0</v>
      </c>
      <c r="Z686" s="42" t="str">
        <f>CONFERENCIAS!AB686</f>
        <v/>
      </c>
      <c r="AA686" s="42" t="str">
        <f>CONFERENCIAS!AC686</f>
        <v/>
      </c>
      <c r="AB686" s="47" t="str">
        <f t="shared" si="5"/>
        <v/>
      </c>
      <c r="AC686" s="9" t="str">
        <f t="shared" si="6"/>
        <v/>
      </c>
    </row>
    <row r="687">
      <c r="A687" s="42" t="str">
        <f>CONFERENCIAS!A687</f>
        <v/>
      </c>
      <c r="D687" s="42" t="str">
        <f>CONFERENCIAS!C687</f>
        <v/>
      </c>
      <c r="E687" s="42" t="str">
        <f>CONFERENCIAS!K687</f>
        <v/>
      </c>
      <c r="F687" s="49" t="str">
        <f>CONFERENCIAS!J687</f>
        <v/>
      </c>
      <c r="G687" s="42" t="str">
        <f>CONFERENCIAS!O687</f>
        <v/>
      </c>
      <c r="H687" s="42" t="str">
        <f>CONFERENCIAS!X687</f>
        <v/>
      </c>
      <c r="I687" s="42" t="str">
        <f>CONFERENCIAS!AA687</f>
        <v/>
      </c>
      <c r="J687" s="44" t="str">
        <f>CONFERENCIAS!P687</f>
        <v/>
      </c>
      <c r="K687" s="45" t="str">
        <f>CONFERENCIAS!R687</f>
        <v/>
      </c>
      <c r="L687" s="45">
        <f>IF(D687="",0,
 IF(E687=1,
   IF(H687="Presencial",
      VLOOKUP(D687,TARIFAS!A:K,3,FALSE) + IF(I687="Sí",VLOOKUP(D687,TARIFAS!A:K,5,FALSE),0),
      VLOOKUP(D687,TARIFAS!A:K,4,FALSE) + IF(I687="Sí",VLOOKUP(D687,TARIFAS!A:K,5,FALSE),0)
   ),
   IF(H687="Presencial",
      VLOOKUP(D687,TARIFAS!A:K,9,FALSE) + IF(I687="Sí",VLOOKUP(D687,TARIFAS!A:K,11,FALSE),0),
      VLOOKUP(D687,TARIFAS!A:K,10,FALSE) + IF(I687="Sí",VLOOKUP(D687,TARIFAS!A:K,11,FALSE),0)
   )
 )
)
</f>
        <v>0</v>
      </c>
      <c r="M687" s="45">
        <f>IF(J687="",0,MAX(0,J687 - TARIFAS!G$2) * TARIFAS!F$2)
</f>
        <v>0</v>
      </c>
      <c r="N687" s="45">
        <f>+L687*TARIFAS!$K$2</f>
        <v>0</v>
      </c>
      <c r="O687" s="45">
        <f t="shared" si="1"/>
        <v>0</v>
      </c>
      <c r="P687" s="45">
        <f>+M687+O687+K687+(+I687-(I687*TARIFAS!$K$2))</f>
        <v>0</v>
      </c>
      <c r="Q687" s="42" t="str">
        <f>CONFERENCIAS!T687</f>
        <v/>
      </c>
      <c r="R687" s="45" t="str">
        <f>CONFERENCIAS!U687</f>
        <v/>
      </c>
      <c r="S687" s="45" t="str">
        <f>CONFERENCIAS!W687</f>
        <v/>
      </c>
      <c r="T687" s="48">
        <f>IF(Q687="",0,
   IF(E687=1,
      IF(H687="Presencial",
         VLOOKUP(D687,TARIFAS!A:K,3,FALSE) + IF(I687="Sí",VLOOKUP(D687,TARIFAS!A:K,5,FALSE),0),
         VLOOKUP(D687,TARIFAS!A:K,4,FALSE) + IF(I687="Sí",VLOOKUP(D687,TARIFAS!A:K,5,FALSE),0)
      ),
      IF(H687="Presencial",
         VLOOKUP(D687,TARIFAS!A:K,9,FALSE) + IF(I687="Sí",VLOOKUP(D687,TARIFAS!A:K,11,FALSE),0),
         VLOOKUP(D687,TARIFAS!A:K,10,FALSE) + IF(I687="Sí",VLOOKUP(D687,TARIFAS!A:K,11,FALSE),0)
      )
   )
)
</f>
        <v>0</v>
      </c>
      <c r="U687" s="45">
        <f>IF(R687="",0,MAX(0,R687 - TARIFAS!G$2) * TARIFAS!F$2)
</f>
        <v>0</v>
      </c>
      <c r="V687" s="45">
        <f>+T687*TARIFAS!$K$2</f>
        <v>0</v>
      </c>
      <c r="W687" s="45">
        <f t="shared" si="2"/>
        <v>0</v>
      </c>
      <c r="X687" s="45">
        <f t="shared" si="3"/>
        <v>0</v>
      </c>
      <c r="Y687" s="45">
        <f t="shared" si="4"/>
        <v>0</v>
      </c>
      <c r="Z687" s="42" t="str">
        <f>CONFERENCIAS!AB687</f>
        <v/>
      </c>
      <c r="AA687" s="42" t="str">
        <f>CONFERENCIAS!AC687</f>
        <v/>
      </c>
      <c r="AB687" s="47" t="str">
        <f t="shared" si="5"/>
        <v/>
      </c>
      <c r="AC687" s="9" t="str">
        <f t="shared" si="6"/>
        <v/>
      </c>
    </row>
    <row r="688">
      <c r="A688" s="42" t="str">
        <f>CONFERENCIAS!A688</f>
        <v/>
      </c>
      <c r="D688" s="42" t="str">
        <f>CONFERENCIAS!C688</f>
        <v/>
      </c>
      <c r="E688" s="42" t="str">
        <f>CONFERENCIAS!K688</f>
        <v/>
      </c>
      <c r="F688" s="49" t="str">
        <f>CONFERENCIAS!J688</f>
        <v/>
      </c>
      <c r="G688" s="42" t="str">
        <f>CONFERENCIAS!O688</f>
        <v/>
      </c>
      <c r="H688" s="42" t="str">
        <f>CONFERENCIAS!X688</f>
        <v/>
      </c>
      <c r="I688" s="42" t="str">
        <f>CONFERENCIAS!AA688</f>
        <v/>
      </c>
      <c r="J688" s="44" t="str">
        <f>CONFERENCIAS!P688</f>
        <v/>
      </c>
      <c r="K688" s="45" t="str">
        <f>CONFERENCIAS!R688</f>
        <v/>
      </c>
      <c r="L688" s="45">
        <f>IF(D688="",0,
 IF(E688=1,
   IF(H688="Presencial",
      VLOOKUP(D688,TARIFAS!A:K,3,FALSE) + IF(I688="Sí",VLOOKUP(D688,TARIFAS!A:K,5,FALSE),0),
      VLOOKUP(D688,TARIFAS!A:K,4,FALSE) + IF(I688="Sí",VLOOKUP(D688,TARIFAS!A:K,5,FALSE),0)
   ),
   IF(H688="Presencial",
      VLOOKUP(D688,TARIFAS!A:K,9,FALSE) + IF(I688="Sí",VLOOKUP(D688,TARIFAS!A:K,11,FALSE),0),
      VLOOKUP(D688,TARIFAS!A:K,10,FALSE) + IF(I688="Sí",VLOOKUP(D688,TARIFAS!A:K,11,FALSE),0)
   )
 )
)
</f>
        <v>0</v>
      </c>
      <c r="M688" s="45">
        <f>IF(J688="",0,MAX(0,J688 - TARIFAS!G$2) * TARIFAS!F$2)
</f>
        <v>0</v>
      </c>
      <c r="N688" s="45">
        <f>+L688*TARIFAS!$K$2</f>
        <v>0</v>
      </c>
      <c r="O688" s="45">
        <f t="shared" si="1"/>
        <v>0</v>
      </c>
      <c r="P688" s="45">
        <f>+M688+O688+K688+(+I688-(I688*TARIFAS!$K$2))</f>
        <v>0</v>
      </c>
      <c r="Q688" s="42" t="str">
        <f>CONFERENCIAS!T688</f>
        <v/>
      </c>
      <c r="R688" s="45" t="str">
        <f>CONFERENCIAS!U688</f>
        <v/>
      </c>
      <c r="S688" s="45" t="str">
        <f>CONFERENCIAS!W688</f>
        <v/>
      </c>
      <c r="T688" s="48">
        <f>IF(Q688="",0,
   IF(E688=1,
      IF(H688="Presencial",
         VLOOKUP(D688,TARIFAS!A:K,3,FALSE) + IF(I688="Sí",VLOOKUP(D688,TARIFAS!A:K,5,FALSE),0),
         VLOOKUP(D688,TARIFAS!A:K,4,FALSE) + IF(I688="Sí",VLOOKUP(D688,TARIFAS!A:K,5,FALSE),0)
      ),
      IF(H688="Presencial",
         VLOOKUP(D688,TARIFAS!A:K,9,FALSE) + IF(I688="Sí",VLOOKUP(D688,TARIFAS!A:K,11,FALSE),0),
         VLOOKUP(D688,TARIFAS!A:K,10,FALSE) + IF(I688="Sí",VLOOKUP(D688,TARIFAS!A:K,11,FALSE),0)
      )
   )
)
</f>
        <v>0</v>
      </c>
      <c r="U688" s="45">
        <f>IF(R688="",0,MAX(0,R688 - TARIFAS!G$2) * TARIFAS!F$2)
</f>
        <v>0</v>
      </c>
      <c r="V688" s="45">
        <f>+T688*TARIFAS!$K$2</f>
        <v>0</v>
      </c>
      <c r="W688" s="45">
        <f t="shared" si="2"/>
        <v>0</v>
      </c>
      <c r="X688" s="45">
        <f t="shared" si="3"/>
        <v>0</v>
      </c>
      <c r="Y688" s="45">
        <f t="shared" si="4"/>
        <v>0</v>
      </c>
      <c r="Z688" s="42" t="str">
        <f>CONFERENCIAS!AB688</f>
        <v/>
      </c>
      <c r="AA688" s="42" t="str">
        <f>CONFERENCIAS!AC688</f>
        <v/>
      </c>
      <c r="AB688" s="47" t="str">
        <f t="shared" si="5"/>
        <v/>
      </c>
      <c r="AC688" s="9" t="str">
        <f t="shared" si="6"/>
        <v/>
      </c>
    </row>
    <row r="689">
      <c r="A689" s="42" t="str">
        <f>CONFERENCIAS!A689</f>
        <v/>
      </c>
      <c r="D689" s="42" t="str">
        <f>CONFERENCIAS!C689</f>
        <v/>
      </c>
      <c r="E689" s="42" t="str">
        <f>CONFERENCIAS!K689</f>
        <v/>
      </c>
      <c r="F689" s="49" t="str">
        <f>CONFERENCIAS!J689</f>
        <v/>
      </c>
      <c r="G689" s="42" t="str">
        <f>CONFERENCIAS!O689</f>
        <v/>
      </c>
      <c r="H689" s="42" t="str">
        <f>CONFERENCIAS!X689</f>
        <v/>
      </c>
      <c r="I689" s="42" t="str">
        <f>CONFERENCIAS!AA689</f>
        <v/>
      </c>
      <c r="J689" s="44" t="str">
        <f>CONFERENCIAS!P689</f>
        <v/>
      </c>
      <c r="K689" s="45" t="str">
        <f>CONFERENCIAS!R689</f>
        <v/>
      </c>
      <c r="L689" s="45">
        <f>IF(D689="",0,
 IF(E689=1,
   IF(H689="Presencial",
      VLOOKUP(D689,TARIFAS!A:K,3,FALSE) + IF(I689="Sí",VLOOKUP(D689,TARIFAS!A:K,5,FALSE),0),
      VLOOKUP(D689,TARIFAS!A:K,4,FALSE) + IF(I689="Sí",VLOOKUP(D689,TARIFAS!A:K,5,FALSE),0)
   ),
   IF(H689="Presencial",
      VLOOKUP(D689,TARIFAS!A:K,9,FALSE) + IF(I689="Sí",VLOOKUP(D689,TARIFAS!A:K,11,FALSE),0),
      VLOOKUP(D689,TARIFAS!A:K,10,FALSE) + IF(I689="Sí",VLOOKUP(D689,TARIFAS!A:K,11,FALSE),0)
   )
 )
)
</f>
        <v>0</v>
      </c>
      <c r="M689" s="45">
        <f>IF(J689="",0,MAX(0,J689 - TARIFAS!G$2) * TARIFAS!F$2)
</f>
        <v>0</v>
      </c>
      <c r="N689" s="45">
        <f>+L689*TARIFAS!$K$2</f>
        <v>0</v>
      </c>
      <c r="O689" s="45">
        <f t="shared" si="1"/>
        <v>0</v>
      </c>
      <c r="P689" s="45">
        <f>+M689+O689+K689+(+I689-(I689*TARIFAS!$K$2))</f>
        <v>0</v>
      </c>
      <c r="Q689" s="42" t="str">
        <f>CONFERENCIAS!T689</f>
        <v/>
      </c>
      <c r="R689" s="45" t="str">
        <f>CONFERENCIAS!U689</f>
        <v/>
      </c>
      <c r="S689" s="45" t="str">
        <f>CONFERENCIAS!W689</f>
        <v/>
      </c>
      <c r="T689" s="48">
        <f>IF(Q689="",0,
   IF(E689=1,
      IF(H689="Presencial",
         VLOOKUP(D689,TARIFAS!A:K,3,FALSE) + IF(I689="Sí",VLOOKUP(D689,TARIFAS!A:K,5,FALSE),0),
         VLOOKUP(D689,TARIFAS!A:K,4,FALSE) + IF(I689="Sí",VLOOKUP(D689,TARIFAS!A:K,5,FALSE),0)
      ),
      IF(H689="Presencial",
         VLOOKUP(D689,TARIFAS!A:K,9,FALSE) + IF(I689="Sí",VLOOKUP(D689,TARIFAS!A:K,11,FALSE),0),
         VLOOKUP(D689,TARIFAS!A:K,10,FALSE) + IF(I689="Sí",VLOOKUP(D689,TARIFAS!A:K,11,FALSE),0)
      )
   )
)
</f>
        <v>0</v>
      </c>
      <c r="U689" s="45">
        <f>IF(R689="",0,MAX(0,R689 - TARIFAS!G$2) * TARIFAS!F$2)
</f>
        <v>0</v>
      </c>
      <c r="V689" s="45">
        <f>+T689*TARIFAS!$K$2</f>
        <v>0</v>
      </c>
      <c r="W689" s="45">
        <f t="shared" si="2"/>
        <v>0</v>
      </c>
      <c r="X689" s="45">
        <f t="shared" si="3"/>
        <v>0</v>
      </c>
      <c r="Y689" s="45">
        <f t="shared" si="4"/>
        <v>0</v>
      </c>
      <c r="Z689" s="42" t="str">
        <f>CONFERENCIAS!AB689</f>
        <v/>
      </c>
      <c r="AA689" s="42" t="str">
        <f>CONFERENCIAS!AC689</f>
        <v/>
      </c>
      <c r="AB689" s="47" t="str">
        <f t="shared" si="5"/>
        <v/>
      </c>
      <c r="AC689" s="9" t="str">
        <f t="shared" si="6"/>
        <v/>
      </c>
    </row>
    <row r="690">
      <c r="A690" s="42" t="str">
        <f>CONFERENCIAS!A690</f>
        <v/>
      </c>
      <c r="D690" s="42" t="str">
        <f>CONFERENCIAS!C690</f>
        <v/>
      </c>
      <c r="E690" s="42" t="str">
        <f>CONFERENCIAS!K690</f>
        <v/>
      </c>
      <c r="F690" s="49" t="str">
        <f>CONFERENCIAS!J690</f>
        <v/>
      </c>
      <c r="G690" s="42" t="str">
        <f>CONFERENCIAS!O690</f>
        <v/>
      </c>
      <c r="H690" s="42" t="str">
        <f>CONFERENCIAS!X690</f>
        <v/>
      </c>
      <c r="I690" s="42" t="str">
        <f>CONFERENCIAS!AA690</f>
        <v/>
      </c>
      <c r="J690" s="44" t="str">
        <f>CONFERENCIAS!P690</f>
        <v/>
      </c>
      <c r="K690" s="45" t="str">
        <f>CONFERENCIAS!R690</f>
        <v/>
      </c>
      <c r="L690" s="45">
        <f>IF(D690="",0,
 IF(E690=1,
   IF(H690="Presencial",
      VLOOKUP(D690,TARIFAS!A:K,3,FALSE) + IF(I690="Sí",VLOOKUP(D690,TARIFAS!A:K,5,FALSE),0),
      VLOOKUP(D690,TARIFAS!A:K,4,FALSE) + IF(I690="Sí",VLOOKUP(D690,TARIFAS!A:K,5,FALSE),0)
   ),
   IF(H690="Presencial",
      VLOOKUP(D690,TARIFAS!A:K,9,FALSE) + IF(I690="Sí",VLOOKUP(D690,TARIFAS!A:K,11,FALSE),0),
      VLOOKUP(D690,TARIFAS!A:K,10,FALSE) + IF(I690="Sí",VLOOKUP(D690,TARIFAS!A:K,11,FALSE),0)
   )
 )
)
</f>
        <v>0</v>
      </c>
      <c r="M690" s="45">
        <f>IF(J690="",0,MAX(0,J690 - TARIFAS!G$2) * TARIFAS!F$2)
</f>
        <v>0</v>
      </c>
      <c r="N690" s="45">
        <f>+L690*TARIFAS!$K$2</f>
        <v>0</v>
      </c>
      <c r="O690" s="45">
        <f t="shared" si="1"/>
        <v>0</v>
      </c>
      <c r="P690" s="45">
        <f>+M690+O690+K690+(+I690-(I690*TARIFAS!$K$2))</f>
        <v>0</v>
      </c>
      <c r="Q690" s="42" t="str">
        <f>CONFERENCIAS!T690</f>
        <v/>
      </c>
      <c r="R690" s="45" t="str">
        <f>CONFERENCIAS!U690</f>
        <v/>
      </c>
      <c r="S690" s="45" t="str">
        <f>CONFERENCIAS!W690</f>
        <v/>
      </c>
      <c r="T690" s="48">
        <f>IF(Q690="",0,
   IF(E690=1,
      IF(H690="Presencial",
         VLOOKUP(D690,TARIFAS!A:K,3,FALSE) + IF(I690="Sí",VLOOKUP(D690,TARIFAS!A:K,5,FALSE),0),
         VLOOKUP(D690,TARIFAS!A:K,4,FALSE) + IF(I690="Sí",VLOOKUP(D690,TARIFAS!A:K,5,FALSE),0)
      ),
      IF(H690="Presencial",
         VLOOKUP(D690,TARIFAS!A:K,9,FALSE) + IF(I690="Sí",VLOOKUP(D690,TARIFAS!A:K,11,FALSE),0),
         VLOOKUP(D690,TARIFAS!A:K,10,FALSE) + IF(I690="Sí",VLOOKUP(D690,TARIFAS!A:K,11,FALSE),0)
      )
   )
)
</f>
        <v>0</v>
      </c>
      <c r="U690" s="45">
        <f>IF(R690="",0,MAX(0,R690 - TARIFAS!G$2) * TARIFAS!F$2)
</f>
        <v>0</v>
      </c>
      <c r="V690" s="45">
        <f>+T690*TARIFAS!$K$2</f>
        <v>0</v>
      </c>
      <c r="W690" s="45">
        <f t="shared" si="2"/>
        <v>0</v>
      </c>
      <c r="X690" s="45">
        <f t="shared" si="3"/>
        <v>0</v>
      </c>
      <c r="Y690" s="45">
        <f t="shared" si="4"/>
        <v>0</v>
      </c>
      <c r="Z690" s="42" t="str">
        <f>CONFERENCIAS!AB690</f>
        <v/>
      </c>
      <c r="AA690" s="42" t="str">
        <f>CONFERENCIAS!AC690</f>
        <v/>
      </c>
      <c r="AB690" s="47" t="str">
        <f t="shared" si="5"/>
        <v/>
      </c>
      <c r="AC690" s="9" t="str">
        <f t="shared" si="6"/>
        <v/>
      </c>
    </row>
    <row r="691">
      <c r="A691" s="42" t="str">
        <f>CONFERENCIAS!A691</f>
        <v/>
      </c>
      <c r="D691" s="42" t="str">
        <f>CONFERENCIAS!C691</f>
        <v/>
      </c>
      <c r="E691" s="42" t="str">
        <f>CONFERENCIAS!K691</f>
        <v/>
      </c>
      <c r="F691" s="49" t="str">
        <f>CONFERENCIAS!J691</f>
        <v/>
      </c>
      <c r="G691" s="42" t="str">
        <f>CONFERENCIAS!O691</f>
        <v/>
      </c>
      <c r="H691" s="42" t="str">
        <f>CONFERENCIAS!X691</f>
        <v/>
      </c>
      <c r="I691" s="42" t="str">
        <f>CONFERENCIAS!AA691</f>
        <v/>
      </c>
      <c r="J691" s="44" t="str">
        <f>CONFERENCIAS!P691</f>
        <v/>
      </c>
      <c r="K691" s="45" t="str">
        <f>CONFERENCIAS!R691</f>
        <v/>
      </c>
      <c r="L691" s="45">
        <f>IF(D691="",0,
 IF(E691=1,
   IF(H691="Presencial",
      VLOOKUP(D691,TARIFAS!A:K,3,FALSE) + IF(I691="Sí",VLOOKUP(D691,TARIFAS!A:K,5,FALSE),0),
      VLOOKUP(D691,TARIFAS!A:K,4,FALSE) + IF(I691="Sí",VLOOKUP(D691,TARIFAS!A:K,5,FALSE),0)
   ),
   IF(H691="Presencial",
      VLOOKUP(D691,TARIFAS!A:K,9,FALSE) + IF(I691="Sí",VLOOKUP(D691,TARIFAS!A:K,11,FALSE),0),
      VLOOKUP(D691,TARIFAS!A:K,10,FALSE) + IF(I691="Sí",VLOOKUP(D691,TARIFAS!A:K,11,FALSE),0)
   )
 )
)
</f>
        <v>0</v>
      </c>
      <c r="M691" s="45">
        <f>IF(J691="",0,MAX(0,J691 - TARIFAS!G$2) * TARIFAS!F$2)
</f>
        <v>0</v>
      </c>
      <c r="N691" s="45">
        <f>+L691*TARIFAS!$K$2</f>
        <v>0</v>
      </c>
      <c r="O691" s="45">
        <f t="shared" si="1"/>
        <v>0</v>
      </c>
      <c r="P691" s="45">
        <f>+M691+O691+K691+(+I691-(I691*TARIFAS!$K$2))</f>
        <v>0</v>
      </c>
      <c r="Q691" s="42" t="str">
        <f>CONFERENCIAS!T691</f>
        <v/>
      </c>
      <c r="R691" s="45" t="str">
        <f>CONFERENCIAS!U691</f>
        <v/>
      </c>
      <c r="S691" s="45" t="str">
        <f>CONFERENCIAS!W691</f>
        <v/>
      </c>
      <c r="T691" s="48">
        <f>IF(Q691="",0,
   IF(E691=1,
      IF(H691="Presencial",
         VLOOKUP(D691,TARIFAS!A:K,3,FALSE) + IF(I691="Sí",VLOOKUP(D691,TARIFAS!A:K,5,FALSE),0),
         VLOOKUP(D691,TARIFAS!A:K,4,FALSE) + IF(I691="Sí",VLOOKUP(D691,TARIFAS!A:K,5,FALSE),0)
      ),
      IF(H691="Presencial",
         VLOOKUP(D691,TARIFAS!A:K,9,FALSE) + IF(I691="Sí",VLOOKUP(D691,TARIFAS!A:K,11,FALSE),0),
         VLOOKUP(D691,TARIFAS!A:K,10,FALSE) + IF(I691="Sí",VLOOKUP(D691,TARIFAS!A:K,11,FALSE),0)
      )
   )
)
</f>
        <v>0</v>
      </c>
      <c r="U691" s="45">
        <f>IF(R691="",0,MAX(0,R691 - TARIFAS!G$2) * TARIFAS!F$2)
</f>
        <v>0</v>
      </c>
      <c r="V691" s="45">
        <f>+T691*TARIFAS!$K$2</f>
        <v>0</v>
      </c>
      <c r="W691" s="45">
        <f t="shared" si="2"/>
        <v>0</v>
      </c>
      <c r="X691" s="45">
        <f t="shared" si="3"/>
        <v>0</v>
      </c>
      <c r="Y691" s="45">
        <f t="shared" si="4"/>
        <v>0</v>
      </c>
      <c r="Z691" s="42" t="str">
        <f>CONFERENCIAS!AB691</f>
        <v/>
      </c>
      <c r="AA691" s="42" t="str">
        <f>CONFERENCIAS!AC691</f>
        <v/>
      </c>
      <c r="AB691" s="47" t="str">
        <f t="shared" si="5"/>
        <v/>
      </c>
      <c r="AC691" s="9" t="str">
        <f t="shared" si="6"/>
        <v/>
      </c>
    </row>
    <row r="692">
      <c r="A692" s="42" t="str">
        <f>CONFERENCIAS!A692</f>
        <v/>
      </c>
      <c r="D692" s="42" t="str">
        <f>CONFERENCIAS!C692</f>
        <v/>
      </c>
      <c r="E692" s="42" t="str">
        <f>CONFERENCIAS!K692</f>
        <v/>
      </c>
      <c r="F692" s="49" t="str">
        <f>CONFERENCIAS!J692</f>
        <v/>
      </c>
      <c r="G692" s="42" t="str">
        <f>CONFERENCIAS!O692</f>
        <v/>
      </c>
      <c r="H692" s="42" t="str">
        <f>CONFERENCIAS!X692</f>
        <v/>
      </c>
      <c r="I692" s="42" t="str">
        <f>CONFERENCIAS!AA692</f>
        <v/>
      </c>
      <c r="J692" s="44" t="str">
        <f>CONFERENCIAS!P692</f>
        <v/>
      </c>
      <c r="K692" s="45" t="str">
        <f>CONFERENCIAS!R692</f>
        <v/>
      </c>
      <c r="L692" s="45">
        <f>IF(D692="",0,
 IF(E692=1,
   IF(H692="Presencial",
      VLOOKUP(D692,TARIFAS!A:K,3,FALSE) + IF(I692="Sí",VLOOKUP(D692,TARIFAS!A:K,5,FALSE),0),
      VLOOKUP(D692,TARIFAS!A:K,4,FALSE) + IF(I692="Sí",VLOOKUP(D692,TARIFAS!A:K,5,FALSE),0)
   ),
   IF(H692="Presencial",
      VLOOKUP(D692,TARIFAS!A:K,9,FALSE) + IF(I692="Sí",VLOOKUP(D692,TARIFAS!A:K,11,FALSE),0),
      VLOOKUP(D692,TARIFAS!A:K,10,FALSE) + IF(I692="Sí",VLOOKUP(D692,TARIFAS!A:K,11,FALSE),0)
   )
 )
)
</f>
        <v>0</v>
      </c>
      <c r="M692" s="45">
        <f>IF(J692="",0,MAX(0,J692 - TARIFAS!G$2) * TARIFAS!F$2)
</f>
        <v>0</v>
      </c>
      <c r="N692" s="45">
        <f>+L692*TARIFAS!$K$2</f>
        <v>0</v>
      </c>
      <c r="O692" s="45">
        <f t="shared" si="1"/>
        <v>0</v>
      </c>
      <c r="P692" s="45">
        <f>+M692+O692+K692+(+I692-(I692*TARIFAS!$K$2))</f>
        <v>0</v>
      </c>
      <c r="Q692" s="42" t="str">
        <f>CONFERENCIAS!T692</f>
        <v/>
      </c>
      <c r="R692" s="45" t="str">
        <f>CONFERENCIAS!U692</f>
        <v/>
      </c>
      <c r="S692" s="45" t="str">
        <f>CONFERENCIAS!W692</f>
        <v/>
      </c>
      <c r="T692" s="48">
        <f>IF(Q692="",0,
   IF(E692=1,
      IF(H692="Presencial",
         VLOOKUP(D692,TARIFAS!A:K,3,FALSE) + IF(I692="Sí",VLOOKUP(D692,TARIFAS!A:K,5,FALSE),0),
         VLOOKUP(D692,TARIFAS!A:K,4,FALSE) + IF(I692="Sí",VLOOKUP(D692,TARIFAS!A:K,5,FALSE),0)
      ),
      IF(H692="Presencial",
         VLOOKUP(D692,TARIFAS!A:K,9,FALSE) + IF(I692="Sí",VLOOKUP(D692,TARIFAS!A:K,11,FALSE),0),
         VLOOKUP(D692,TARIFAS!A:K,10,FALSE) + IF(I692="Sí",VLOOKUP(D692,TARIFAS!A:K,11,FALSE),0)
      )
   )
)
</f>
        <v>0</v>
      </c>
      <c r="U692" s="45">
        <f>IF(R692="",0,MAX(0,R692 - TARIFAS!G$2) * TARIFAS!F$2)
</f>
        <v>0</v>
      </c>
      <c r="V692" s="45">
        <f>+T692*TARIFAS!$K$2</f>
        <v>0</v>
      </c>
      <c r="W692" s="45">
        <f t="shared" si="2"/>
        <v>0</v>
      </c>
      <c r="X692" s="45">
        <f t="shared" si="3"/>
        <v>0</v>
      </c>
      <c r="Y692" s="45">
        <f t="shared" si="4"/>
        <v>0</v>
      </c>
      <c r="Z692" s="42" t="str">
        <f>CONFERENCIAS!AB692</f>
        <v/>
      </c>
      <c r="AA692" s="42" t="str">
        <f>CONFERENCIAS!AC692</f>
        <v/>
      </c>
      <c r="AB692" s="47" t="str">
        <f t="shared" si="5"/>
        <v/>
      </c>
      <c r="AC692" s="9" t="str">
        <f t="shared" si="6"/>
        <v/>
      </c>
    </row>
    <row r="693">
      <c r="A693" s="42" t="str">
        <f>CONFERENCIAS!A693</f>
        <v/>
      </c>
      <c r="D693" s="42" t="str">
        <f>CONFERENCIAS!C693</f>
        <v/>
      </c>
      <c r="E693" s="42" t="str">
        <f>CONFERENCIAS!K693</f>
        <v/>
      </c>
      <c r="F693" s="49" t="str">
        <f>CONFERENCIAS!J693</f>
        <v/>
      </c>
      <c r="G693" s="42" t="str">
        <f>CONFERENCIAS!O693</f>
        <v/>
      </c>
      <c r="H693" s="42" t="str">
        <f>CONFERENCIAS!X693</f>
        <v/>
      </c>
      <c r="I693" s="42" t="str">
        <f>CONFERENCIAS!AA693</f>
        <v/>
      </c>
      <c r="J693" s="44" t="str">
        <f>CONFERENCIAS!P693</f>
        <v/>
      </c>
      <c r="K693" s="45" t="str">
        <f>CONFERENCIAS!R693</f>
        <v/>
      </c>
      <c r="L693" s="45">
        <f>IF(D693="",0,
 IF(E693=1,
   IF(H693="Presencial",
      VLOOKUP(D693,TARIFAS!A:K,3,FALSE) + IF(I693="Sí",VLOOKUP(D693,TARIFAS!A:K,5,FALSE),0),
      VLOOKUP(D693,TARIFAS!A:K,4,FALSE) + IF(I693="Sí",VLOOKUP(D693,TARIFAS!A:K,5,FALSE),0)
   ),
   IF(H693="Presencial",
      VLOOKUP(D693,TARIFAS!A:K,9,FALSE) + IF(I693="Sí",VLOOKUP(D693,TARIFAS!A:K,11,FALSE),0),
      VLOOKUP(D693,TARIFAS!A:K,10,FALSE) + IF(I693="Sí",VLOOKUP(D693,TARIFAS!A:K,11,FALSE),0)
   )
 )
)
</f>
        <v>0</v>
      </c>
      <c r="M693" s="45">
        <f>IF(J693="",0,MAX(0,J693 - TARIFAS!G$2) * TARIFAS!F$2)
</f>
        <v>0</v>
      </c>
      <c r="N693" s="45">
        <f>+L693*TARIFAS!$K$2</f>
        <v>0</v>
      </c>
      <c r="O693" s="45">
        <f t="shared" si="1"/>
        <v>0</v>
      </c>
      <c r="P693" s="45">
        <f>+M693+O693+K693+(+I693-(I693*TARIFAS!$K$2))</f>
        <v>0</v>
      </c>
      <c r="Q693" s="42" t="str">
        <f>CONFERENCIAS!T693</f>
        <v/>
      </c>
      <c r="R693" s="45" t="str">
        <f>CONFERENCIAS!U693</f>
        <v/>
      </c>
      <c r="S693" s="45" t="str">
        <f>CONFERENCIAS!W693</f>
        <v/>
      </c>
      <c r="T693" s="48">
        <f>IF(Q693="",0,
   IF(E693=1,
      IF(H693="Presencial",
         VLOOKUP(D693,TARIFAS!A:K,3,FALSE) + IF(I693="Sí",VLOOKUP(D693,TARIFAS!A:K,5,FALSE),0),
         VLOOKUP(D693,TARIFAS!A:K,4,FALSE) + IF(I693="Sí",VLOOKUP(D693,TARIFAS!A:K,5,FALSE),0)
      ),
      IF(H693="Presencial",
         VLOOKUP(D693,TARIFAS!A:K,9,FALSE) + IF(I693="Sí",VLOOKUP(D693,TARIFAS!A:K,11,FALSE),0),
         VLOOKUP(D693,TARIFAS!A:K,10,FALSE) + IF(I693="Sí",VLOOKUP(D693,TARIFAS!A:K,11,FALSE),0)
      )
   )
)
</f>
        <v>0</v>
      </c>
      <c r="U693" s="45">
        <f>IF(R693="",0,MAX(0,R693 - TARIFAS!G$2) * TARIFAS!F$2)
</f>
        <v>0</v>
      </c>
      <c r="V693" s="45">
        <f>+T693*TARIFAS!$K$2</f>
        <v>0</v>
      </c>
      <c r="W693" s="45">
        <f t="shared" si="2"/>
        <v>0</v>
      </c>
      <c r="X693" s="45">
        <f t="shared" si="3"/>
        <v>0</v>
      </c>
      <c r="Y693" s="45">
        <f t="shared" si="4"/>
        <v>0</v>
      </c>
      <c r="Z693" s="42" t="str">
        <f>CONFERENCIAS!AB693</f>
        <v/>
      </c>
      <c r="AA693" s="42" t="str">
        <f>CONFERENCIAS!AC693</f>
        <v/>
      </c>
      <c r="AB693" s="47" t="str">
        <f t="shared" si="5"/>
        <v/>
      </c>
      <c r="AC693" s="9" t="str">
        <f t="shared" si="6"/>
        <v/>
      </c>
    </row>
    <row r="694">
      <c r="A694" s="42" t="str">
        <f>CONFERENCIAS!A694</f>
        <v/>
      </c>
      <c r="D694" s="42" t="str">
        <f>CONFERENCIAS!C694</f>
        <v/>
      </c>
      <c r="E694" s="42" t="str">
        <f>CONFERENCIAS!K694</f>
        <v/>
      </c>
      <c r="F694" s="49" t="str">
        <f>CONFERENCIAS!J694</f>
        <v/>
      </c>
      <c r="G694" s="42" t="str">
        <f>CONFERENCIAS!O694</f>
        <v/>
      </c>
      <c r="H694" s="42" t="str">
        <f>CONFERENCIAS!X694</f>
        <v/>
      </c>
      <c r="I694" s="42" t="str">
        <f>CONFERENCIAS!AA694</f>
        <v/>
      </c>
      <c r="J694" s="44" t="str">
        <f>CONFERENCIAS!P694</f>
        <v/>
      </c>
      <c r="K694" s="45" t="str">
        <f>CONFERENCIAS!R694</f>
        <v/>
      </c>
      <c r="L694" s="45">
        <f>IF(D694="",0,
 IF(E694=1,
   IF(H694="Presencial",
      VLOOKUP(D694,TARIFAS!A:K,3,FALSE) + IF(I694="Sí",VLOOKUP(D694,TARIFAS!A:K,5,FALSE),0),
      VLOOKUP(D694,TARIFAS!A:K,4,FALSE) + IF(I694="Sí",VLOOKUP(D694,TARIFAS!A:K,5,FALSE),0)
   ),
   IF(H694="Presencial",
      VLOOKUP(D694,TARIFAS!A:K,9,FALSE) + IF(I694="Sí",VLOOKUP(D694,TARIFAS!A:K,11,FALSE),0),
      VLOOKUP(D694,TARIFAS!A:K,10,FALSE) + IF(I694="Sí",VLOOKUP(D694,TARIFAS!A:K,11,FALSE),0)
   )
 )
)
</f>
        <v>0</v>
      </c>
      <c r="M694" s="45">
        <f>IF(J694="",0,MAX(0,J694 - TARIFAS!G$2) * TARIFAS!F$2)
</f>
        <v>0</v>
      </c>
      <c r="N694" s="45">
        <f>+L694*TARIFAS!$K$2</f>
        <v>0</v>
      </c>
      <c r="O694" s="45">
        <f t="shared" si="1"/>
        <v>0</v>
      </c>
      <c r="P694" s="45">
        <f>+M694+O694+K694+(+I694-(I694*TARIFAS!$K$2))</f>
        <v>0</v>
      </c>
      <c r="Q694" s="42" t="str">
        <f>CONFERENCIAS!T694</f>
        <v/>
      </c>
      <c r="R694" s="45" t="str">
        <f>CONFERENCIAS!U694</f>
        <v/>
      </c>
      <c r="S694" s="45" t="str">
        <f>CONFERENCIAS!W694</f>
        <v/>
      </c>
      <c r="T694" s="48">
        <f>IF(Q694="",0,
   IF(E694=1,
      IF(H694="Presencial",
         VLOOKUP(D694,TARIFAS!A:K,3,FALSE) + IF(I694="Sí",VLOOKUP(D694,TARIFAS!A:K,5,FALSE),0),
         VLOOKUP(D694,TARIFAS!A:K,4,FALSE) + IF(I694="Sí",VLOOKUP(D694,TARIFAS!A:K,5,FALSE),0)
      ),
      IF(H694="Presencial",
         VLOOKUP(D694,TARIFAS!A:K,9,FALSE) + IF(I694="Sí",VLOOKUP(D694,TARIFAS!A:K,11,FALSE),0),
         VLOOKUP(D694,TARIFAS!A:K,10,FALSE) + IF(I694="Sí",VLOOKUP(D694,TARIFAS!A:K,11,FALSE),0)
      )
   )
)
</f>
        <v>0</v>
      </c>
      <c r="U694" s="45">
        <f>IF(R694="",0,MAX(0,R694 - TARIFAS!G$2) * TARIFAS!F$2)
</f>
        <v>0</v>
      </c>
      <c r="V694" s="45">
        <f>+T694*TARIFAS!$K$2</f>
        <v>0</v>
      </c>
      <c r="W694" s="45">
        <f t="shared" si="2"/>
        <v>0</v>
      </c>
      <c r="X694" s="45">
        <f t="shared" si="3"/>
        <v>0</v>
      </c>
      <c r="Y694" s="45">
        <f t="shared" si="4"/>
        <v>0</v>
      </c>
      <c r="Z694" s="42" t="str">
        <f>CONFERENCIAS!AB694</f>
        <v/>
      </c>
      <c r="AA694" s="42" t="str">
        <f>CONFERENCIAS!AC694</f>
        <v/>
      </c>
      <c r="AB694" s="47" t="str">
        <f t="shared" si="5"/>
        <v/>
      </c>
      <c r="AC694" s="9" t="str">
        <f t="shared" si="6"/>
        <v/>
      </c>
    </row>
    <row r="695">
      <c r="A695" s="42" t="str">
        <f>CONFERENCIAS!A695</f>
        <v/>
      </c>
      <c r="D695" s="42" t="str">
        <f>CONFERENCIAS!C695</f>
        <v/>
      </c>
      <c r="E695" s="42" t="str">
        <f>CONFERENCIAS!K695</f>
        <v/>
      </c>
      <c r="F695" s="49" t="str">
        <f>CONFERENCIAS!J695</f>
        <v/>
      </c>
      <c r="G695" s="42" t="str">
        <f>CONFERENCIAS!O695</f>
        <v/>
      </c>
      <c r="H695" s="42" t="str">
        <f>CONFERENCIAS!X695</f>
        <v/>
      </c>
      <c r="I695" s="42" t="str">
        <f>CONFERENCIAS!AA695</f>
        <v/>
      </c>
      <c r="J695" s="44" t="str">
        <f>CONFERENCIAS!P695</f>
        <v/>
      </c>
      <c r="K695" s="45" t="str">
        <f>CONFERENCIAS!R695</f>
        <v/>
      </c>
      <c r="L695" s="45">
        <f>IF(D695="",0,
 IF(E695=1,
   IF(H695="Presencial",
      VLOOKUP(D695,TARIFAS!A:K,3,FALSE) + IF(I695="Sí",VLOOKUP(D695,TARIFAS!A:K,5,FALSE),0),
      VLOOKUP(D695,TARIFAS!A:K,4,FALSE) + IF(I695="Sí",VLOOKUP(D695,TARIFAS!A:K,5,FALSE),0)
   ),
   IF(H695="Presencial",
      VLOOKUP(D695,TARIFAS!A:K,9,FALSE) + IF(I695="Sí",VLOOKUP(D695,TARIFAS!A:K,11,FALSE),0),
      VLOOKUP(D695,TARIFAS!A:K,10,FALSE) + IF(I695="Sí",VLOOKUP(D695,TARIFAS!A:K,11,FALSE),0)
   )
 )
)
</f>
        <v>0</v>
      </c>
      <c r="M695" s="45">
        <f>IF(J695="",0,MAX(0,J695 - TARIFAS!G$2) * TARIFAS!F$2)
</f>
        <v>0</v>
      </c>
      <c r="N695" s="45">
        <f>+L695*TARIFAS!$K$2</f>
        <v>0</v>
      </c>
      <c r="O695" s="45">
        <f t="shared" si="1"/>
        <v>0</v>
      </c>
      <c r="P695" s="45">
        <f>+M695+O695+K695+(+I695-(I695*TARIFAS!$K$2))</f>
        <v>0</v>
      </c>
      <c r="Q695" s="42" t="str">
        <f>CONFERENCIAS!T695</f>
        <v/>
      </c>
      <c r="R695" s="45" t="str">
        <f>CONFERENCIAS!U695</f>
        <v/>
      </c>
      <c r="S695" s="45" t="str">
        <f>CONFERENCIAS!W695</f>
        <v/>
      </c>
      <c r="T695" s="48">
        <f>IF(Q695="",0,
   IF(E695=1,
      IF(H695="Presencial",
         VLOOKUP(D695,TARIFAS!A:K,3,FALSE) + IF(I695="Sí",VLOOKUP(D695,TARIFAS!A:K,5,FALSE),0),
         VLOOKUP(D695,TARIFAS!A:K,4,FALSE) + IF(I695="Sí",VLOOKUP(D695,TARIFAS!A:K,5,FALSE),0)
      ),
      IF(H695="Presencial",
         VLOOKUP(D695,TARIFAS!A:K,9,FALSE) + IF(I695="Sí",VLOOKUP(D695,TARIFAS!A:K,11,FALSE),0),
         VLOOKUP(D695,TARIFAS!A:K,10,FALSE) + IF(I695="Sí",VLOOKUP(D695,TARIFAS!A:K,11,FALSE),0)
      )
   )
)
</f>
        <v>0</v>
      </c>
      <c r="U695" s="45">
        <f>IF(R695="",0,MAX(0,R695 - TARIFAS!G$2) * TARIFAS!F$2)
</f>
        <v>0</v>
      </c>
      <c r="V695" s="45">
        <f>+T695*TARIFAS!$K$2</f>
        <v>0</v>
      </c>
      <c r="W695" s="45">
        <f t="shared" si="2"/>
        <v>0</v>
      </c>
      <c r="X695" s="45">
        <f t="shared" si="3"/>
        <v>0</v>
      </c>
      <c r="Y695" s="45">
        <f t="shared" si="4"/>
        <v>0</v>
      </c>
      <c r="Z695" s="42" t="str">
        <f>CONFERENCIAS!AB695</f>
        <v/>
      </c>
      <c r="AA695" s="42" t="str">
        <f>CONFERENCIAS!AC695</f>
        <v/>
      </c>
      <c r="AB695" s="47" t="str">
        <f t="shared" si="5"/>
        <v/>
      </c>
      <c r="AC695" s="9" t="str">
        <f t="shared" si="6"/>
        <v/>
      </c>
    </row>
    <row r="696">
      <c r="A696" s="42" t="str">
        <f>CONFERENCIAS!A696</f>
        <v/>
      </c>
      <c r="D696" s="42" t="str">
        <f>CONFERENCIAS!C696</f>
        <v/>
      </c>
      <c r="E696" s="42" t="str">
        <f>CONFERENCIAS!K696</f>
        <v/>
      </c>
      <c r="F696" s="49" t="str">
        <f>CONFERENCIAS!J696</f>
        <v/>
      </c>
      <c r="G696" s="42" t="str">
        <f>CONFERENCIAS!O696</f>
        <v/>
      </c>
      <c r="H696" s="42" t="str">
        <f>CONFERENCIAS!X696</f>
        <v/>
      </c>
      <c r="I696" s="42" t="str">
        <f>CONFERENCIAS!AA696</f>
        <v/>
      </c>
      <c r="J696" s="44" t="str">
        <f>CONFERENCIAS!P696</f>
        <v/>
      </c>
      <c r="K696" s="45" t="str">
        <f>CONFERENCIAS!R696</f>
        <v/>
      </c>
      <c r="L696" s="45">
        <f>IF(D696="",0,
 IF(E696=1,
   IF(H696="Presencial",
      VLOOKUP(D696,TARIFAS!A:K,3,FALSE) + IF(I696="Sí",VLOOKUP(D696,TARIFAS!A:K,5,FALSE),0),
      VLOOKUP(D696,TARIFAS!A:K,4,FALSE) + IF(I696="Sí",VLOOKUP(D696,TARIFAS!A:K,5,FALSE),0)
   ),
   IF(H696="Presencial",
      VLOOKUP(D696,TARIFAS!A:K,9,FALSE) + IF(I696="Sí",VLOOKUP(D696,TARIFAS!A:K,11,FALSE),0),
      VLOOKUP(D696,TARIFAS!A:K,10,FALSE) + IF(I696="Sí",VLOOKUP(D696,TARIFAS!A:K,11,FALSE),0)
   )
 )
)
</f>
        <v>0</v>
      </c>
      <c r="M696" s="45">
        <f>IF(J696="",0,MAX(0,J696 - TARIFAS!G$2) * TARIFAS!F$2)
</f>
        <v>0</v>
      </c>
      <c r="N696" s="45">
        <f>+L696*TARIFAS!$K$2</f>
        <v>0</v>
      </c>
      <c r="O696" s="45">
        <f t="shared" si="1"/>
        <v>0</v>
      </c>
      <c r="P696" s="45">
        <f>+M696+O696+K696+(+I696-(I696*TARIFAS!$K$2))</f>
        <v>0</v>
      </c>
      <c r="Q696" s="42" t="str">
        <f>CONFERENCIAS!T696</f>
        <v/>
      </c>
      <c r="R696" s="45" t="str">
        <f>CONFERENCIAS!U696</f>
        <v/>
      </c>
      <c r="S696" s="45" t="str">
        <f>CONFERENCIAS!W696</f>
        <v/>
      </c>
      <c r="T696" s="48">
        <f>IF(Q696="",0,
   IF(E696=1,
      IF(H696="Presencial",
         VLOOKUP(D696,TARIFAS!A:K,3,FALSE) + IF(I696="Sí",VLOOKUP(D696,TARIFAS!A:K,5,FALSE),0),
         VLOOKUP(D696,TARIFAS!A:K,4,FALSE) + IF(I696="Sí",VLOOKUP(D696,TARIFAS!A:K,5,FALSE),0)
      ),
      IF(H696="Presencial",
         VLOOKUP(D696,TARIFAS!A:K,9,FALSE) + IF(I696="Sí",VLOOKUP(D696,TARIFAS!A:K,11,FALSE),0),
         VLOOKUP(D696,TARIFAS!A:K,10,FALSE) + IF(I696="Sí",VLOOKUP(D696,TARIFAS!A:K,11,FALSE),0)
      )
   )
)
</f>
        <v>0</v>
      </c>
      <c r="U696" s="45">
        <f>IF(R696="",0,MAX(0,R696 - TARIFAS!G$2) * TARIFAS!F$2)
</f>
        <v>0</v>
      </c>
      <c r="V696" s="45">
        <f>+T696*TARIFAS!$K$2</f>
        <v>0</v>
      </c>
      <c r="W696" s="45">
        <f t="shared" si="2"/>
        <v>0</v>
      </c>
      <c r="X696" s="45">
        <f t="shared" si="3"/>
        <v>0</v>
      </c>
      <c r="Y696" s="45">
        <f t="shared" si="4"/>
        <v>0</v>
      </c>
      <c r="Z696" s="42" t="str">
        <f>CONFERENCIAS!AB696</f>
        <v/>
      </c>
      <c r="AA696" s="42" t="str">
        <f>CONFERENCIAS!AC696</f>
        <v/>
      </c>
      <c r="AB696" s="47" t="str">
        <f t="shared" si="5"/>
        <v/>
      </c>
      <c r="AC696" s="9" t="str">
        <f t="shared" si="6"/>
        <v/>
      </c>
    </row>
    <row r="697">
      <c r="A697" s="42" t="str">
        <f>CONFERENCIAS!A697</f>
        <v/>
      </c>
      <c r="D697" s="42" t="str">
        <f>CONFERENCIAS!C697</f>
        <v/>
      </c>
      <c r="E697" s="42" t="str">
        <f>CONFERENCIAS!K697</f>
        <v/>
      </c>
      <c r="F697" s="49" t="str">
        <f>CONFERENCIAS!J697</f>
        <v/>
      </c>
      <c r="G697" s="42" t="str">
        <f>CONFERENCIAS!O697</f>
        <v/>
      </c>
      <c r="H697" s="42" t="str">
        <f>CONFERENCIAS!X697</f>
        <v/>
      </c>
      <c r="I697" s="42" t="str">
        <f>CONFERENCIAS!AA697</f>
        <v/>
      </c>
      <c r="J697" s="44" t="str">
        <f>CONFERENCIAS!P697</f>
        <v/>
      </c>
      <c r="K697" s="45" t="str">
        <f>CONFERENCIAS!R697</f>
        <v/>
      </c>
      <c r="L697" s="45">
        <f>IF(D697="",0,
 IF(E697=1,
   IF(H697="Presencial",
      VLOOKUP(D697,TARIFAS!A:K,3,FALSE) + IF(I697="Sí",VLOOKUP(D697,TARIFAS!A:K,5,FALSE),0),
      VLOOKUP(D697,TARIFAS!A:K,4,FALSE) + IF(I697="Sí",VLOOKUP(D697,TARIFAS!A:K,5,FALSE),0)
   ),
   IF(H697="Presencial",
      VLOOKUP(D697,TARIFAS!A:K,9,FALSE) + IF(I697="Sí",VLOOKUP(D697,TARIFAS!A:K,11,FALSE),0),
      VLOOKUP(D697,TARIFAS!A:K,10,FALSE) + IF(I697="Sí",VLOOKUP(D697,TARIFAS!A:K,11,FALSE),0)
   )
 )
)
</f>
        <v>0</v>
      </c>
      <c r="M697" s="45">
        <f>IF(J697="",0,MAX(0,J697 - TARIFAS!G$2) * TARIFAS!F$2)
</f>
        <v>0</v>
      </c>
      <c r="N697" s="45">
        <f>+L697*TARIFAS!$K$2</f>
        <v>0</v>
      </c>
      <c r="O697" s="45">
        <f t="shared" si="1"/>
        <v>0</v>
      </c>
      <c r="P697" s="45">
        <f>+M697+O697+K697+(+I697-(I697*TARIFAS!$K$2))</f>
        <v>0</v>
      </c>
      <c r="Q697" s="42" t="str">
        <f>CONFERENCIAS!T697</f>
        <v/>
      </c>
      <c r="R697" s="45" t="str">
        <f>CONFERENCIAS!U697</f>
        <v/>
      </c>
      <c r="S697" s="45" t="str">
        <f>CONFERENCIAS!W697</f>
        <v/>
      </c>
      <c r="T697" s="48">
        <f>IF(Q697="",0,
   IF(E697=1,
      IF(H697="Presencial",
         VLOOKUP(D697,TARIFAS!A:K,3,FALSE) + IF(I697="Sí",VLOOKUP(D697,TARIFAS!A:K,5,FALSE),0),
         VLOOKUP(D697,TARIFAS!A:K,4,FALSE) + IF(I697="Sí",VLOOKUP(D697,TARIFAS!A:K,5,FALSE),0)
      ),
      IF(H697="Presencial",
         VLOOKUP(D697,TARIFAS!A:K,9,FALSE) + IF(I697="Sí",VLOOKUP(D697,TARIFAS!A:K,11,FALSE),0),
         VLOOKUP(D697,TARIFAS!A:K,10,FALSE) + IF(I697="Sí",VLOOKUP(D697,TARIFAS!A:K,11,FALSE),0)
      )
   )
)
</f>
        <v>0</v>
      </c>
      <c r="U697" s="45">
        <f>IF(R697="",0,MAX(0,R697 - TARIFAS!G$2) * TARIFAS!F$2)
</f>
        <v>0</v>
      </c>
      <c r="V697" s="45">
        <f>+T697*TARIFAS!$K$2</f>
        <v>0</v>
      </c>
      <c r="W697" s="45">
        <f t="shared" si="2"/>
        <v>0</v>
      </c>
      <c r="X697" s="45">
        <f t="shared" si="3"/>
        <v>0</v>
      </c>
      <c r="Y697" s="45">
        <f t="shared" si="4"/>
        <v>0</v>
      </c>
      <c r="Z697" s="42" t="str">
        <f>CONFERENCIAS!AB697</f>
        <v/>
      </c>
      <c r="AA697" s="42" t="str">
        <f>CONFERENCIAS!AC697</f>
        <v/>
      </c>
      <c r="AB697" s="47" t="str">
        <f t="shared" si="5"/>
        <v/>
      </c>
      <c r="AC697" s="9" t="str">
        <f t="shared" si="6"/>
        <v/>
      </c>
    </row>
    <row r="698">
      <c r="A698" s="42" t="str">
        <f>CONFERENCIAS!A698</f>
        <v/>
      </c>
      <c r="D698" s="42" t="str">
        <f>CONFERENCIAS!C698</f>
        <v/>
      </c>
      <c r="E698" s="42" t="str">
        <f>CONFERENCIAS!K698</f>
        <v/>
      </c>
      <c r="F698" s="49" t="str">
        <f>CONFERENCIAS!J698</f>
        <v/>
      </c>
      <c r="G698" s="42" t="str">
        <f>CONFERENCIAS!O698</f>
        <v/>
      </c>
      <c r="H698" s="42" t="str">
        <f>CONFERENCIAS!X698</f>
        <v/>
      </c>
      <c r="I698" s="42" t="str">
        <f>CONFERENCIAS!AA698</f>
        <v/>
      </c>
      <c r="J698" s="44" t="str">
        <f>CONFERENCIAS!P698</f>
        <v/>
      </c>
      <c r="K698" s="45" t="str">
        <f>CONFERENCIAS!R698</f>
        <v/>
      </c>
      <c r="L698" s="45">
        <f>IF(D698="",0,
 IF(E698=1,
   IF(H698="Presencial",
      VLOOKUP(D698,TARIFAS!A:K,3,FALSE) + IF(I698="Sí",VLOOKUP(D698,TARIFAS!A:K,5,FALSE),0),
      VLOOKUP(D698,TARIFAS!A:K,4,FALSE) + IF(I698="Sí",VLOOKUP(D698,TARIFAS!A:K,5,FALSE),0)
   ),
   IF(H698="Presencial",
      VLOOKUP(D698,TARIFAS!A:K,9,FALSE) + IF(I698="Sí",VLOOKUP(D698,TARIFAS!A:K,11,FALSE),0),
      VLOOKUP(D698,TARIFAS!A:K,10,FALSE) + IF(I698="Sí",VLOOKUP(D698,TARIFAS!A:K,11,FALSE),0)
   )
 )
)
</f>
        <v>0</v>
      </c>
      <c r="M698" s="45">
        <f>IF(J698="",0,MAX(0,J698 - TARIFAS!G$2) * TARIFAS!F$2)
</f>
        <v>0</v>
      </c>
      <c r="N698" s="45">
        <f>+L698*TARIFAS!$K$2</f>
        <v>0</v>
      </c>
      <c r="O698" s="45">
        <f t="shared" si="1"/>
        <v>0</v>
      </c>
      <c r="P698" s="45">
        <f>+M698+O698+K698+(+I698-(I698*TARIFAS!$K$2))</f>
        <v>0</v>
      </c>
      <c r="Q698" s="42" t="str">
        <f>CONFERENCIAS!T698</f>
        <v/>
      </c>
      <c r="R698" s="45" t="str">
        <f>CONFERENCIAS!U698</f>
        <v/>
      </c>
      <c r="S698" s="45" t="str">
        <f>CONFERENCIAS!W698</f>
        <v/>
      </c>
      <c r="T698" s="48">
        <f>IF(Q698="",0,
   IF(E698=1,
      IF(H698="Presencial",
         VLOOKUP(D698,TARIFAS!A:K,3,FALSE) + IF(I698="Sí",VLOOKUP(D698,TARIFAS!A:K,5,FALSE),0),
         VLOOKUP(D698,TARIFAS!A:K,4,FALSE) + IF(I698="Sí",VLOOKUP(D698,TARIFAS!A:K,5,FALSE),0)
      ),
      IF(H698="Presencial",
         VLOOKUP(D698,TARIFAS!A:K,9,FALSE) + IF(I698="Sí",VLOOKUP(D698,TARIFAS!A:K,11,FALSE),0),
         VLOOKUP(D698,TARIFAS!A:K,10,FALSE) + IF(I698="Sí",VLOOKUP(D698,TARIFAS!A:K,11,FALSE),0)
      )
   )
)
</f>
        <v>0</v>
      </c>
      <c r="U698" s="45">
        <f>IF(R698="",0,MAX(0,R698 - TARIFAS!G$2) * TARIFAS!F$2)
</f>
        <v>0</v>
      </c>
      <c r="V698" s="45">
        <f>+T698*TARIFAS!$K$2</f>
        <v>0</v>
      </c>
      <c r="W698" s="45">
        <f t="shared" si="2"/>
        <v>0</v>
      </c>
      <c r="X698" s="45">
        <f t="shared" si="3"/>
        <v>0</v>
      </c>
      <c r="Y698" s="45">
        <f t="shared" si="4"/>
        <v>0</v>
      </c>
      <c r="Z698" s="42" t="str">
        <f>CONFERENCIAS!AB698</f>
        <v/>
      </c>
      <c r="AA698" s="42" t="str">
        <f>CONFERENCIAS!AC698</f>
        <v/>
      </c>
      <c r="AB698" s="47" t="str">
        <f t="shared" si="5"/>
        <v/>
      </c>
      <c r="AC698" s="9" t="str">
        <f t="shared" si="6"/>
        <v/>
      </c>
    </row>
    <row r="699">
      <c r="A699" s="42" t="str">
        <f>CONFERENCIAS!A699</f>
        <v/>
      </c>
      <c r="D699" s="42" t="str">
        <f>CONFERENCIAS!C699</f>
        <v/>
      </c>
      <c r="E699" s="42" t="str">
        <f>CONFERENCIAS!K699</f>
        <v/>
      </c>
      <c r="F699" s="49" t="str">
        <f>CONFERENCIAS!J699</f>
        <v/>
      </c>
      <c r="G699" s="42" t="str">
        <f>CONFERENCIAS!O699</f>
        <v/>
      </c>
      <c r="H699" s="42" t="str">
        <f>CONFERENCIAS!X699</f>
        <v/>
      </c>
      <c r="I699" s="42" t="str">
        <f>CONFERENCIAS!AA699</f>
        <v/>
      </c>
      <c r="J699" s="44" t="str">
        <f>CONFERENCIAS!P699</f>
        <v/>
      </c>
      <c r="K699" s="45" t="str">
        <f>CONFERENCIAS!R699</f>
        <v/>
      </c>
      <c r="L699" s="45">
        <f>IF(D699="",0,
 IF(E699=1,
   IF(H699="Presencial",
      VLOOKUP(D699,TARIFAS!A:K,3,FALSE) + IF(I699="Sí",VLOOKUP(D699,TARIFAS!A:K,5,FALSE),0),
      VLOOKUP(D699,TARIFAS!A:K,4,FALSE) + IF(I699="Sí",VLOOKUP(D699,TARIFAS!A:K,5,FALSE),0)
   ),
   IF(H699="Presencial",
      VLOOKUP(D699,TARIFAS!A:K,9,FALSE) + IF(I699="Sí",VLOOKUP(D699,TARIFAS!A:K,11,FALSE),0),
      VLOOKUP(D699,TARIFAS!A:K,10,FALSE) + IF(I699="Sí",VLOOKUP(D699,TARIFAS!A:K,11,FALSE),0)
   )
 )
)
</f>
        <v>0</v>
      </c>
      <c r="M699" s="45">
        <f>IF(J699="",0,MAX(0,J699 - TARIFAS!G$2) * TARIFAS!F$2)
</f>
        <v>0</v>
      </c>
      <c r="N699" s="45">
        <f>+L699*TARIFAS!$K$2</f>
        <v>0</v>
      </c>
      <c r="O699" s="45">
        <f t="shared" si="1"/>
        <v>0</v>
      </c>
      <c r="P699" s="45">
        <f>+M699+O699+K699+(+I699-(I699*TARIFAS!$K$2))</f>
        <v>0</v>
      </c>
      <c r="Q699" s="42" t="str">
        <f>CONFERENCIAS!T699</f>
        <v/>
      </c>
      <c r="R699" s="45" t="str">
        <f>CONFERENCIAS!U699</f>
        <v/>
      </c>
      <c r="S699" s="45" t="str">
        <f>CONFERENCIAS!W699</f>
        <v/>
      </c>
      <c r="T699" s="48">
        <f>IF(Q699="",0,
   IF(E699=1,
      IF(H699="Presencial",
         VLOOKUP(D699,TARIFAS!A:K,3,FALSE) + IF(I699="Sí",VLOOKUP(D699,TARIFAS!A:K,5,FALSE),0),
         VLOOKUP(D699,TARIFAS!A:K,4,FALSE) + IF(I699="Sí",VLOOKUP(D699,TARIFAS!A:K,5,FALSE),0)
      ),
      IF(H699="Presencial",
         VLOOKUP(D699,TARIFAS!A:K,9,FALSE) + IF(I699="Sí",VLOOKUP(D699,TARIFAS!A:K,11,FALSE),0),
         VLOOKUP(D699,TARIFAS!A:K,10,FALSE) + IF(I699="Sí",VLOOKUP(D699,TARIFAS!A:K,11,FALSE),0)
      )
   )
)
</f>
        <v>0</v>
      </c>
      <c r="U699" s="45">
        <f>IF(R699="",0,MAX(0,R699 - TARIFAS!G$2) * TARIFAS!F$2)
</f>
        <v>0</v>
      </c>
      <c r="V699" s="45">
        <f>+T699*TARIFAS!$K$2</f>
        <v>0</v>
      </c>
      <c r="W699" s="45">
        <f t="shared" si="2"/>
        <v>0</v>
      </c>
      <c r="X699" s="45">
        <f t="shared" si="3"/>
        <v>0</v>
      </c>
      <c r="Y699" s="45">
        <f t="shared" si="4"/>
        <v>0</v>
      </c>
      <c r="Z699" s="42" t="str">
        <f>CONFERENCIAS!AB699</f>
        <v/>
      </c>
      <c r="AA699" s="42" t="str">
        <f>CONFERENCIAS!AC699</f>
        <v/>
      </c>
      <c r="AB699" s="47" t="str">
        <f t="shared" si="5"/>
        <v/>
      </c>
      <c r="AC699" s="9" t="str">
        <f t="shared" si="6"/>
        <v/>
      </c>
    </row>
    <row r="700">
      <c r="A700" s="42" t="str">
        <f>CONFERENCIAS!A700</f>
        <v/>
      </c>
      <c r="D700" s="42" t="str">
        <f>CONFERENCIAS!C700</f>
        <v/>
      </c>
      <c r="E700" s="42" t="str">
        <f>CONFERENCIAS!K700</f>
        <v/>
      </c>
      <c r="F700" s="49" t="str">
        <f>CONFERENCIAS!J700</f>
        <v/>
      </c>
      <c r="G700" s="42" t="str">
        <f>CONFERENCIAS!O700</f>
        <v/>
      </c>
      <c r="H700" s="42" t="str">
        <f>CONFERENCIAS!X700</f>
        <v/>
      </c>
      <c r="I700" s="42" t="str">
        <f>CONFERENCIAS!AA700</f>
        <v/>
      </c>
      <c r="J700" s="44" t="str">
        <f>CONFERENCIAS!P700</f>
        <v/>
      </c>
      <c r="K700" s="45" t="str">
        <f>CONFERENCIAS!R700</f>
        <v/>
      </c>
      <c r="L700" s="45">
        <f>IF(D700="",0,
 IF(E700=1,
   IF(H700="Presencial",
      VLOOKUP(D700,TARIFAS!A:K,3,FALSE) + IF(I700="Sí",VLOOKUP(D700,TARIFAS!A:K,5,FALSE),0),
      VLOOKUP(D700,TARIFAS!A:K,4,FALSE) + IF(I700="Sí",VLOOKUP(D700,TARIFAS!A:K,5,FALSE),0)
   ),
   IF(H700="Presencial",
      VLOOKUP(D700,TARIFAS!A:K,9,FALSE) + IF(I700="Sí",VLOOKUP(D700,TARIFAS!A:K,11,FALSE),0),
      VLOOKUP(D700,TARIFAS!A:K,10,FALSE) + IF(I700="Sí",VLOOKUP(D700,TARIFAS!A:K,11,FALSE),0)
   )
 )
)
</f>
        <v>0</v>
      </c>
      <c r="M700" s="45">
        <f>IF(J700="",0,MAX(0,J700 - TARIFAS!G$2) * TARIFAS!F$2)
</f>
        <v>0</v>
      </c>
      <c r="N700" s="45">
        <f>+L700*TARIFAS!$K$2</f>
        <v>0</v>
      </c>
      <c r="O700" s="45">
        <f t="shared" si="1"/>
        <v>0</v>
      </c>
      <c r="P700" s="45">
        <f>+M700+O700+K700+(+I700-(I700*TARIFAS!$K$2))</f>
        <v>0</v>
      </c>
      <c r="Q700" s="42" t="str">
        <f>CONFERENCIAS!T700</f>
        <v/>
      </c>
      <c r="R700" s="45" t="str">
        <f>CONFERENCIAS!U700</f>
        <v/>
      </c>
      <c r="S700" s="45" t="str">
        <f>CONFERENCIAS!W700</f>
        <v/>
      </c>
      <c r="T700" s="48">
        <f>IF(Q700="",0,
   IF(E700=1,
      IF(H700="Presencial",
         VLOOKUP(D700,TARIFAS!A:K,3,FALSE) + IF(I700="Sí",VLOOKUP(D700,TARIFAS!A:K,5,FALSE),0),
         VLOOKUP(D700,TARIFAS!A:K,4,FALSE) + IF(I700="Sí",VLOOKUP(D700,TARIFAS!A:K,5,FALSE),0)
      ),
      IF(H700="Presencial",
         VLOOKUP(D700,TARIFAS!A:K,9,FALSE) + IF(I700="Sí",VLOOKUP(D700,TARIFAS!A:K,11,FALSE),0),
         VLOOKUP(D700,TARIFAS!A:K,10,FALSE) + IF(I700="Sí",VLOOKUP(D700,TARIFAS!A:K,11,FALSE),0)
      )
   )
)
</f>
        <v>0</v>
      </c>
      <c r="U700" s="45">
        <f>IF(R700="",0,MAX(0,R700 - TARIFAS!G$2) * TARIFAS!F$2)
</f>
        <v>0</v>
      </c>
      <c r="V700" s="45">
        <f>+T700*TARIFAS!$K$2</f>
        <v>0</v>
      </c>
      <c r="W700" s="45">
        <f t="shared" si="2"/>
        <v>0</v>
      </c>
      <c r="X700" s="45">
        <f t="shared" si="3"/>
        <v>0</v>
      </c>
      <c r="Y700" s="45">
        <f t="shared" si="4"/>
        <v>0</v>
      </c>
      <c r="Z700" s="42" t="str">
        <f>CONFERENCIAS!AB700</f>
        <v/>
      </c>
      <c r="AA700" s="42" t="str">
        <f>CONFERENCIAS!AC700</f>
        <v/>
      </c>
      <c r="AB700" s="47" t="str">
        <f t="shared" si="5"/>
        <v/>
      </c>
      <c r="AC700" s="9" t="str">
        <f t="shared" si="6"/>
        <v/>
      </c>
    </row>
    <row r="701">
      <c r="A701" s="42" t="str">
        <f>CONFERENCIAS!A701</f>
        <v/>
      </c>
      <c r="D701" s="42" t="str">
        <f>CONFERENCIAS!C701</f>
        <v/>
      </c>
      <c r="E701" s="42" t="str">
        <f>CONFERENCIAS!K701</f>
        <v/>
      </c>
      <c r="F701" s="49" t="str">
        <f>CONFERENCIAS!J701</f>
        <v/>
      </c>
      <c r="G701" s="42" t="str">
        <f>CONFERENCIAS!O701</f>
        <v/>
      </c>
      <c r="H701" s="42" t="str">
        <f>CONFERENCIAS!X701</f>
        <v/>
      </c>
      <c r="I701" s="42" t="str">
        <f>CONFERENCIAS!AA701</f>
        <v/>
      </c>
      <c r="J701" s="44" t="str">
        <f>CONFERENCIAS!P701</f>
        <v/>
      </c>
      <c r="K701" s="45" t="str">
        <f>CONFERENCIAS!R701</f>
        <v/>
      </c>
      <c r="L701" s="45">
        <f>IF(D701="",0,
 IF(E701=1,
   IF(H701="Presencial",
      VLOOKUP(D701,TARIFAS!A:K,3,FALSE) + IF(I701="Sí",VLOOKUP(D701,TARIFAS!A:K,5,FALSE),0),
      VLOOKUP(D701,TARIFAS!A:K,4,FALSE) + IF(I701="Sí",VLOOKUP(D701,TARIFAS!A:K,5,FALSE),0)
   ),
   IF(H701="Presencial",
      VLOOKUP(D701,TARIFAS!A:K,9,FALSE) + IF(I701="Sí",VLOOKUP(D701,TARIFAS!A:K,11,FALSE),0),
      VLOOKUP(D701,TARIFAS!A:K,10,FALSE) + IF(I701="Sí",VLOOKUP(D701,TARIFAS!A:K,11,FALSE),0)
   )
 )
)
</f>
        <v>0</v>
      </c>
      <c r="M701" s="45">
        <f>IF(J701="",0,MAX(0,J701 - TARIFAS!G$2) * TARIFAS!F$2)
</f>
        <v>0</v>
      </c>
      <c r="N701" s="45">
        <f>+L701*TARIFAS!$K$2</f>
        <v>0</v>
      </c>
      <c r="O701" s="45">
        <f t="shared" si="1"/>
        <v>0</v>
      </c>
      <c r="P701" s="45">
        <f>+M701+O701+K701+(+I701-(I701*TARIFAS!$K$2))</f>
        <v>0</v>
      </c>
      <c r="Q701" s="42" t="str">
        <f>CONFERENCIAS!T701</f>
        <v/>
      </c>
      <c r="R701" s="45" t="str">
        <f>CONFERENCIAS!U701</f>
        <v/>
      </c>
      <c r="S701" s="45" t="str">
        <f>CONFERENCIAS!W701</f>
        <v/>
      </c>
      <c r="T701" s="48">
        <f>IF(Q701="",0,
   IF(E701=1,
      IF(H701="Presencial",
         VLOOKUP(D701,TARIFAS!A:K,3,FALSE) + IF(I701="Sí",VLOOKUP(D701,TARIFAS!A:K,5,FALSE),0),
         VLOOKUP(D701,TARIFAS!A:K,4,FALSE) + IF(I701="Sí",VLOOKUP(D701,TARIFAS!A:K,5,FALSE),0)
      ),
      IF(H701="Presencial",
         VLOOKUP(D701,TARIFAS!A:K,9,FALSE) + IF(I701="Sí",VLOOKUP(D701,TARIFAS!A:K,11,FALSE),0),
         VLOOKUP(D701,TARIFAS!A:K,10,FALSE) + IF(I701="Sí",VLOOKUP(D701,TARIFAS!A:K,11,FALSE),0)
      )
   )
)
</f>
        <v>0</v>
      </c>
      <c r="U701" s="45">
        <f>IF(R701="",0,MAX(0,R701 - TARIFAS!G$2) * TARIFAS!F$2)
</f>
        <v>0</v>
      </c>
      <c r="V701" s="45">
        <f>+T701*TARIFAS!$K$2</f>
        <v>0</v>
      </c>
      <c r="W701" s="45">
        <f t="shared" si="2"/>
        <v>0</v>
      </c>
      <c r="X701" s="45">
        <f t="shared" si="3"/>
        <v>0</v>
      </c>
      <c r="Y701" s="45">
        <f t="shared" si="4"/>
        <v>0</v>
      </c>
      <c r="Z701" s="42" t="str">
        <f>CONFERENCIAS!AB701</f>
        <v/>
      </c>
      <c r="AA701" s="42" t="str">
        <f>CONFERENCIAS!AC701</f>
        <v/>
      </c>
      <c r="AB701" s="47" t="str">
        <f t="shared" si="5"/>
        <v/>
      </c>
      <c r="AC701" s="9" t="str">
        <f t="shared" si="6"/>
        <v/>
      </c>
    </row>
    <row r="702">
      <c r="A702" s="42" t="str">
        <f>CONFERENCIAS!A702</f>
        <v/>
      </c>
      <c r="D702" s="42" t="str">
        <f>CONFERENCIAS!C702</f>
        <v/>
      </c>
      <c r="E702" s="42" t="str">
        <f>CONFERENCIAS!K702</f>
        <v/>
      </c>
      <c r="F702" s="49" t="str">
        <f>CONFERENCIAS!J702</f>
        <v/>
      </c>
      <c r="G702" s="42" t="str">
        <f>CONFERENCIAS!O702</f>
        <v/>
      </c>
      <c r="H702" s="42" t="str">
        <f>CONFERENCIAS!X702</f>
        <v/>
      </c>
      <c r="I702" s="42" t="str">
        <f>CONFERENCIAS!AA702</f>
        <v/>
      </c>
      <c r="J702" s="44" t="str">
        <f>CONFERENCIAS!P702</f>
        <v/>
      </c>
      <c r="K702" s="45" t="str">
        <f>CONFERENCIAS!R702</f>
        <v/>
      </c>
      <c r="L702" s="45">
        <f>IF(D702="",0,
 IF(E702=1,
   IF(H702="Presencial",
      VLOOKUP(D702,TARIFAS!A:K,3,FALSE) + IF(I702="Sí",VLOOKUP(D702,TARIFAS!A:K,5,FALSE),0),
      VLOOKUP(D702,TARIFAS!A:K,4,FALSE) + IF(I702="Sí",VLOOKUP(D702,TARIFAS!A:K,5,FALSE),0)
   ),
   IF(H702="Presencial",
      VLOOKUP(D702,TARIFAS!A:K,9,FALSE) + IF(I702="Sí",VLOOKUP(D702,TARIFAS!A:K,11,FALSE),0),
      VLOOKUP(D702,TARIFAS!A:K,10,FALSE) + IF(I702="Sí",VLOOKUP(D702,TARIFAS!A:K,11,FALSE),0)
   )
 )
)
</f>
        <v>0</v>
      </c>
      <c r="M702" s="45">
        <f>IF(J702="",0,MAX(0,J702 - TARIFAS!G$2) * TARIFAS!F$2)
</f>
        <v>0</v>
      </c>
      <c r="N702" s="45">
        <f>+L702*TARIFAS!$K$2</f>
        <v>0</v>
      </c>
      <c r="O702" s="45">
        <f t="shared" si="1"/>
        <v>0</v>
      </c>
      <c r="P702" s="45">
        <f>+M702+O702+K702+(+I702-(I702*TARIFAS!$K$2))</f>
        <v>0</v>
      </c>
      <c r="Q702" s="42" t="str">
        <f>CONFERENCIAS!T702</f>
        <v/>
      </c>
      <c r="R702" s="45" t="str">
        <f>CONFERENCIAS!U702</f>
        <v/>
      </c>
      <c r="S702" s="45" t="str">
        <f>CONFERENCIAS!W702</f>
        <v/>
      </c>
      <c r="T702" s="48">
        <f>IF(Q702="",0,
   IF(E702=1,
      IF(H702="Presencial",
         VLOOKUP(D702,TARIFAS!A:K,3,FALSE) + IF(I702="Sí",VLOOKUP(D702,TARIFAS!A:K,5,FALSE),0),
         VLOOKUP(D702,TARIFAS!A:K,4,FALSE) + IF(I702="Sí",VLOOKUP(D702,TARIFAS!A:K,5,FALSE),0)
      ),
      IF(H702="Presencial",
         VLOOKUP(D702,TARIFAS!A:K,9,FALSE) + IF(I702="Sí",VLOOKUP(D702,TARIFAS!A:K,11,FALSE),0),
         VLOOKUP(D702,TARIFAS!A:K,10,FALSE) + IF(I702="Sí",VLOOKUP(D702,TARIFAS!A:K,11,FALSE),0)
      )
   )
)
</f>
        <v>0</v>
      </c>
      <c r="U702" s="45">
        <f>IF(R702="",0,MAX(0,R702 - TARIFAS!G$2) * TARIFAS!F$2)
</f>
        <v>0</v>
      </c>
      <c r="V702" s="45">
        <f>+T702*TARIFAS!$K$2</f>
        <v>0</v>
      </c>
      <c r="W702" s="45">
        <f t="shared" si="2"/>
        <v>0</v>
      </c>
      <c r="X702" s="45">
        <f t="shared" si="3"/>
        <v>0</v>
      </c>
      <c r="Y702" s="45">
        <f t="shared" si="4"/>
        <v>0</v>
      </c>
      <c r="Z702" s="42" t="str">
        <f>CONFERENCIAS!AB702</f>
        <v/>
      </c>
      <c r="AA702" s="42" t="str">
        <f>CONFERENCIAS!AC702</f>
        <v/>
      </c>
      <c r="AB702" s="47" t="str">
        <f t="shared" si="5"/>
        <v/>
      </c>
      <c r="AC702" s="9" t="str">
        <f t="shared" si="6"/>
        <v/>
      </c>
    </row>
    <row r="703">
      <c r="A703" s="42" t="str">
        <f>CONFERENCIAS!A703</f>
        <v/>
      </c>
      <c r="D703" s="42" t="str">
        <f>CONFERENCIAS!C703</f>
        <v/>
      </c>
      <c r="E703" s="42" t="str">
        <f>CONFERENCIAS!K703</f>
        <v/>
      </c>
      <c r="F703" s="49" t="str">
        <f>CONFERENCIAS!J703</f>
        <v/>
      </c>
      <c r="G703" s="42" t="str">
        <f>CONFERENCIAS!O703</f>
        <v/>
      </c>
      <c r="H703" s="42" t="str">
        <f>CONFERENCIAS!X703</f>
        <v/>
      </c>
      <c r="I703" s="42" t="str">
        <f>CONFERENCIAS!AA703</f>
        <v/>
      </c>
      <c r="J703" s="44" t="str">
        <f>CONFERENCIAS!P703</f>
        <v/>
      </c>
      <c r="K703" s="45" t="str">
        <f>CONFERENCIAS!R703</f>
        <v/>
      </c>
      <c r="L703" s="45">
        <f>IF(D703="",0,
 IF(E703=1,
   IF(H703="Presencial",
      VLOOKUP(D703,TARIFAS!A:K,3,FALSE) + IF(I703="Sí",VLOOKUP(D703,TARIFAS!A:K,5,FALSE),0),
      VLOOKUP(D703,TARIFAS!A:K,4,FALSE) + IF(I703="Sí",VLOOKUP(D703,TARIFAS!A:K,5,FALSE),0)
   ),
   IF(H703="Presencial",
      VLOOKUP(D703,TARIFAS!A:K,9,FALSE) + IF(I703="Sí",VLOOKUP(D703,TARIFAS!A:K,11,FALSE),0),
      VLOOKUP(D703,TARIFAS!A:K,10,FALSE) + IF(I703="Sí",VLOOKUP(D703,TARIFAS!A:K,11,FALSE),0)
   )
 )
)
</f>
        <v>0</v>
      </c>
      <c r="M703" s="45">
        <f>IF(J703="",0,MAX(0,J703 - TARIFAS!G$2) * TARIFAS!F$2)
</f>
        <v>0</v>
      </c>
      <c r="N703" s="45">
        <f>+L703*TARIFAS!$K$2</f>
        <v>0</v>
      </c>
      <c r="O703" s="45">
        <f t="shared" si="1"/>
        <v>0</v>
      </c>
      <c r="P703" s="45">
        <f>+M703+O703+K703+(+I703-(I703*TARIFAS!$K$2))</f>
        <v>0</v>
      </c>
      <c r="Q703" s="42" t="str">
        <f>CONFERENCIAS!T703</f>
        <v/>
      </c>
      <c r="R703" s="45" t="str">
        <f>CONFERENCIAS!U703</f>
        <v/>
      </c>
      <c r="S703" s="45" t="str">
        <f>CONFERENCIAS!W703</f>
        <v/>
      </c>
      <c r="T703" s="48">
        <f>IF(Q703="",0,
   IF(E703=1,
      IF(H703="Presencial",
         VLOOKUP(D703,TARIFAS!A:K,3,FALSE) + IF(I703="Sí",VLOOKUP(D703,TARIFAS!A:K,5,FALSE),0),
         VLOOKUP(D703,TARIFAS!A:K,4,FALSE) + IF(I703="Sí",VLOOKUP(D703,TARIFAS!A:K,5,FALSE),0)
      ),
      IF(H703="Presencial",
         VLOOKUP(D703,TARIFAS!A:K,9,FALSE) + IF(I703="Sí",VLOOKUP(D703,TARIFAS!A:K,11,FALSE),0),
         VLOOKUP(D703,TARIFAS!A:K,10,FALSE) + IF(I703="Sí",VLOOKUP(D703,TARIFAS!A:K,11,FALSE),0)
      )
   )
)
</f>
        <v>0</v>
      </c>
      <c r="U703" s="45">
        <f>IF(R703="",0,MAX(0,R703 - TARIFAS!G$2) * TARIFAS!F$2)
</f>
        <v>0</v>
      </c>
      <c r="V703" s="45">
        <f>+T703*TARIFAS!$K$2</f>
        <v>0</v>
      </c>
      <c r="W703" s="45">
        <f t="shared" si="2"/>
        <v>0</v>
      </c>
      <c r="X703" s="45">
        <f t="shared" si="3"/>
        <v>0</v>
      </c>
      <c r="Y703" s="45">
        <f t="shared" si="4"/>
        <v>0</v>
      </c>
      <c r="Z703" s="42" t="str">
        <f>CONFERENCIAS!AB703</f>
        <v/>
      </c>
      <c r="AA703" s="42" t="str">
        <f>CONFERENCIAS!AC703</f>
        <v/>
      </c>
      <c r="AB703" s="47" t="str">
        <f t="shared" si="5"/>
        <v/>
      </c>
      <c r="AC703" s="9" t="str">
        <f t="shared" si="6"/>
        <v/>
      </c>
    </row>
    <row r="704">
      <c r="A704" s="42" t="str">
        <f>CONFERENCIAS!A704</f>
        <v/>
      </c>
      <c r="D704" s="42" t="str">
        <f>CONFERENCIAS!C704</f>
        <v/>
      </c>
      <c r="E704" s="42" t="str">
        <f>CONFERENCIAS!K704</f>
        <v/>
      </c>
      <c r="F704" s="49" t="str">
        <f>CONFERENCIAS!J704</f>
        <v/>
      </c>
      <c r="G704" s="42" t="str">
        <f>CONFERENCIAS!O704</f>
        <v/>
      </c>
      <c r="H704" s="42" t="str">
        <f>CONFERENCIAS!X704</f>
        <v/>
      </c>
      <c r="I704" s="42" t="str">
        <f>CONFERENCIAS!AA704</f>
        <v/>
      </c>
      <c r="J704" s="44" t="str">
        <f>CONFERENCIAS!P704</f>
        <v/>
      </c>
      <c r="K704" s="45" t="str">
        <f>CONFERENCIAS!R704</f>
        <v/>
      </c>
      <c r="L704" s="45">
        <f>IF(D704="",0,
 IF(E704=1,
   IF(H704="Presencial",
      VLOOKUP(D704,TARIFAS!A:K,3,FALSE) + IF(I704="Sí",VLOOKUP(D704,TARIFAS!A:K,5,FALSE),0),
      VLOOKUP(D704,TARIFAS!A:K,4,FALSE) + IF(I704="Sí",VLOOKUP(D704,TARIFAS!A:K,5,FALSE),0)
   ),
   IF(H704="Presencial",
      VLOOKUP(D704,TARIFAS!A:K,9,FALSE) + IF(I704="Sí",VLOOKUP(D704,TARIFAS!A:K,11,FALSE),0),
      VLOOKUP(D704,TARIFAS!A:K,10,FALSE) + IF(I704="Sí",VLOOKUP(D704,TARIFAS!A:K,11,FALSE),0)
   )
 )
)
</f>
        <v>0</v>
      </c>
      <c r="M704" s="45">
        <f>IF(J704="",0,MAX(0,J704 - TARIFAS!G$2) * TARIFAS!F$2)
</f>
        <v>0</v>
      </c>
      <c r="N704" s="45">
        <f>+L704*TARIFAS!$K$2</f>
        <v>0</v>
      </c>
      <c r="O704" s="45">
        <f t="shared" si="1"/>
        <v>0</v>
      </c>
      <c r="P704" s="45">
        <f>+M704+O704+K704+(+I704-(I704*TARIFAS!$K$2))</f>
        <v>0</v>
      </c>
      <c r="Q704" s="42" t="str">
        <f>CONFERENCIAS!T704</f>
        <v/>
      </c>
      <c r="R704" s="45" t="str">
        <f>CONFERENCIAS!U704</f>
        <v/>
      </c>
      <c r="S704" s="45" t="str">
        <f>CONFERENCIAS!W704</f>
        <v/>
      </c>
      <c r="T704" s="48">
        <f>IF(Q704="",0,
   IF(E704=1,
      IF(H704="Presencial",
         VLOOKUP(D704,TARIFAS!A:K,3,FALSE) + IF(I704="Sí",VLOOKUP(D704,TARIFAS!A:K,5,FALSE),0),
         VLOOKUP(D704,TARIFAS!A:K,4,FALSE) + IF(I704="Sí",VLOOKUP(D704,TARIFAS!A:K,5,FALSE),0)
      ),
      IF(H704="Presencial",
         VLOOKUP(D704,TARIFAS!A:K,9,FALSE) + IF(I704="Sí",VLOOKUP(D704,TARIFAS!A:K,11,FALSE),0),
         VLOOKUP(D704,TARIFAS!A:K,10,FALSE) + IF(I704="Sí",VLOOKUP(D704,TARIFAS!A:K,11,FALSE),0)
      )
   )
)
</f>
        <v>0</v>
      </c>
      <c r="U704" s="45">
        <f>IF(R704="",0,MAX(0,R704 - TARIFAS!G$2) * TARIFAS!F$2)
</f>
        <v>0</v>
      </c>
      <c r="V704" s="45">
        <f>+T704*TARIFAS!$K$2</f>
        <v>0</v>
      </c>
      <c r="W704" s="45">
        <f t="shared" si="2"/>
        <v>0</v>
      </c>
      <c r="X704" s="45">
        <f t="shared" si="3"/>
        <v>0</v>
      </c>
      <c r="Y704" s="45">
        <f t="shared" si="4"/>
        <v>0</v>
      </c>
      <c r="Z704" s="42" t="str">
        <f>CONFERENCIAS!AB704</f>
        <v/>
      </c>
      <c r="AA704" s="42" t="str">
        <f>CONFERENCIAS!AC704</f>
        <v/>
      </c>
      <c r="AB704" s="47" t="str">
        <f t="shared" si="5"/>
        <v/>
      </c>
      <c r="AC704" s="9" t="str">
        <f t="shared" si="6"/>
        <v/>
      </c>
    </row>
    <row r="705">
      <c r="A705" s="42" t="str">
        <f>CONFERENCIAS!A705</f>
        <v/>
      </c>
      <c r="D705" s="42" t="str">
        <f>CONFERENCIAS!C705</f>
        <v/>
      </c>
      <c r="E705" s="42" t="str">
        <f>CONFERENCIAS!K705</f>
        <v/>
      </c>
      <c r="F705" s="49" t="str">
        <f>CONFERENCIAS!J705</f>
        <v/>
      </c>
      <c r="G705" s="42" t="str">
        <f>CONFERENCIAS!O705</f>
        <v/>
      </c>
      <c r="H705" s="42" t="str">
        <f>CONFERENCIAS!X705</f>
        <v/>
      </c>
      <c r="I705" s="42" t="str">
        <f>CONFERENCIAS!AA705</f>
        <v/>
      </c>
      <c r="J705" s="44" t="str">
        <f>CONFERENCIAS!P705</f>
        <v/>
      </c>
      <c r="K705" s="45" t="str">
        <f>CONFERENCIAS!R705</f>
        <v/>
      </c>
      <c r="L705" s="45">
        <f>IF(D705="",0,
 IF(E705=1,
   IF(H705="Presencial",
      VLOOKUP(D705,TARIFAS!A:K,3,FALSE) + IF(I705="Sí",VLOOKUP(D705,TARIFAS!A:K,5,FALSE),0),
      VLOOKUP(D705,TARIFAS!A:K,4,FALSE) + IF(I705="Sí",VLOOKUP(D705,TARIFAS!A:K,5,FALSE),0)
   ),
   IF(H705="Presencial",
      VLOOKUP(D705,TARIFAS!A:K,9,FALSE) + IF(I705="Sí",VLOOKUP(D705,TARIFAS!A:K,11,FALSE),0),
      VLOOKUP(D705,TARIFAS!A:K,10,FALSE) + IF(I705="Sí",VLOOKUP(D705,TARIFAS!A:K,11,FALSE),0)
   )
 )
)
</f>
        <v>0</v>
      </c>
      <c r="M705" s="45">
        <f>IF(J705="",0,MAX(0,J705 - TARIFAS!G$2) * TARIFAS!F$2)
</f>
        <v>0</v>
      </c>
      <c r="N705" s="45">
        <f>+L705*TARIFAS!$K$2</f>
        <v>0</v>
      </c>
      <c r="O705" s="45">
        <f t="shared" si="1"/>
        <v>0</v>
      </c>
      <c r="P705" s="45">
        <f>+M705+O705+K705+(+I705-(I705*TARIFAS!$K$2))</f>
        <v>0</v>
      </c>
      <c r="Q705" s="42" t="str">
        <f>CONFERENCIAS!T705</f>
        <v/>
      </c>
      <c r="R705" s="45" t="str">
        <f>CONFERENCIAS!U705</f>
        <v/>
      </c>
      <c r="S705" s="45" t="str">
        <f>CONFERENCIAS!W705</f>
        <v/>
      </c>
      <c r="T705" s="48">
        <f>IF(Q705="",0,
   IF(E705=1,
      IF(H705="Presencial",
         VLOOKUP(D705,TARIFAS!A:K,3,FALSE) + IF(I705="Sí",VLOOKUP(D705,TARIFAS!A:K,5,FALSE),0),
         VLOOKUP(D705,TARIFAS!A:K,4,FALSE) + IF(I705="Sí",VLOOKUP(D705,TARIFAS!A:K,5,FALSE),0)
      ),
      IF(H705="Presencial",
         VLOOKUP(D705,TARIFAS!A:K,9,FALSE) + IF(I705="Sí",VLOOKUP(D705,TARIFAS!A:K,11,FALSE),0),
         VLOOKUP(D705,TARIFAS!A:K,10,FALSE) + IF(I705="Sí",VLOOKUP(D705,TARIFAS!A:K,11,FALSE),0)
      )
   )
)
</f>
        <v>0</v>
      </c>
      <c r="U705" s="45">
        <f>IF(R705="",0,MAX(0,R705 - TARIFAS!G$2) * TARIFAS!F$2)
</f>
        <v>0</v>
      </c>
      <c r="V705" s="45">
        <f>+T705*TARIFAS!$K$2</f>
        <v>0</v>
      </c>
      <c r="W705" s="45">
        <f t="shared" si="2"/>
        <v>0</v>
      </c>
      <c r="X705" s="45">
        <f t="shared" si="3"/>
        <v>0</v>
      </c>
      <c r="Y705" s="45">
        <f t="shared" si="4"/>
        <v>0</v>
      </c>
      <c r="Z705" s="42" t="str">
        <f>CONFERENCIAS!AB705</f>
        <v/>
      </c>
      <c r="AA705" s="42" t="str">
        <f>CONFERENCIAS!AC705</f>
        <v/>
      </c>
      <c r="AB705" s="47" t="str">
        <f t="shared" si="5"/>
        <v/>
      </c>
      <c r="AC705" s="9" t="str">
        <f t="shared" si="6"/>
        <v/>
      </c>
    </row>
    <row r="706">
      <c r="A706" s="42" t="str">
        <f>CONFERENCIAS!A706</f>
        <v/>
      </c>
      <c r="D706" s="42" t="str">
        <f>CONFERENCIAS!C706</f>
        <v/>
      </c>
      <c r="E706" s="42" t="str">
        <f>CONFERENCIAS!K706</f>
        <v/>
      </c>
      <c r="F706" s="49" t="str">
        <f>CONFERENCIAS!J706</f>
        <v/>
      </c>
      <c r="G706" s="42" t="str">
        <f>CONFERENCIAS!O706</f>
        <v/>
      </c>
      <c r="H706" s="42" t="str">
        <f>CONFERENCIAS!X706</f>
        <v/>
      </c>
      <c r="I706" s="42" t="str">
        <f>CONFERENCIAS!AA706</f>
        <v/>
      </c>
      <c r="J706" s="44" t="str">
        <f>CONFERENCIAS!P706</f>
        <v/>
      </c>
      <c r="K706" s="45" t="str">
        <f>CONFERENCIAS!R706</f>
        <v/>
      </c>
      <c r="L706" s="45">
        <f>IF(D706="",0,
 IF(E706=1,
   IF(H706="Presencial",
      VLOOKUP(D706,TARIFAS!A:K,3,FALSE) + IF(I706="Sí",VLOOKUP(D706,TARIFAS!A:K,5,FALSE),0),
      VLOOKUP(D706,TARIFAS!A:K,4,FALSE) + IF(I706="Sí",VLOOKUP(D706,TARIFAS!A:K,5,FALSE),0)
   ),
   IF(H706="Presencial",
      VLOOKUP(D706,TARIFAS!A:K,9,FALSE) + IF(I706="Sí",VLOOKUP(D706,TARIFAS!A:K,11,FALSE),0),
      VLOOKUP(D706,TARIFAS!A:K,10,FALSE) + IF(I706="Sí",VLOOKUP(D706,TARIFAS!A:K,11,FALSE),0)
   )
 )
)
</f>
        <v>0</v>
      </c>
      <c r="M706" s="45">
        <f>IF(J706="",0,MAX(0,J706 - TARIFAS!G$2) * TARIFAS!F$2)
</f>
        <v>0</v>
      </c>
      <c r="N706" s="45">
        <f>+L706*TARIFAS!$K$2</f>
        <v>0</v>
      </c>
      <c r="O706" s="45">
        <f t="shared" si="1"/>
        <v>0</v>
      </c>
      <c r="P706" s="45">
        <f>+M706+O706+K706+(+I706-(I706*TARIFAS!$K$2))</f>
        <v>0</v>
      </c>
      <c r="Q706" s="42" t="str">
        <f>CONFERENCIAS!T706</f>
        <v/>
      </c>
      <c r="R706" s="45" t="str">
        <f>CONFERENCIAS!U706</f>
        <v/>
      </c>
      <c r="S706" s="45" t="str">
        <f>CONFERENCIAS!W706</f>
        <v/>
      </c>
      <c r="T706" s="48">
        <f>IF(Q706="",0,
   IF(E706=1,
      IF(H706="Presencial",
         VLOOKUP(D706,TARIFAS!A:K,3,FALSE) + IF(I706="Sí",VLOOKUP(D706,TARIFAS!A:K,5,FALSE),0),
         VLOOKUP(D706,TARIFAS!A:K,4,FALSE) + IF(I706="Sí",VLOOKUP(D706,TARIFAS!A:K,5,FALSE),0)
      ),
      IF(H706="Presencial",
         VLOOKUP(D706,TARIFAS!A:K,9,FALSE) + IF(I706="Sí",VLOOKUP(D706,TARIFAS!A:K,11,FALSE),0),
         VLOOKUP(D706,TARIFAS!A:K,10,FALSE) + IF(I706="Sí",VLOOKUP(D706,TARIFAS!A:K,11,FALSE),0)
      )
   )
)
</f>
        <v>0</v>
      </c>
      <c r="U706" s="45">
        <f>IF(R706="",0,MAX(0,R706 - TARIFAS!G$2) * TARIFAS!F$2)
</f>
        <v>0</v>
      </c>
      <c r="V706" s="45">
        <f>+T706*TARIFAS!$K$2</f>
        <v>0</v>
      </c>
      <c r="W706" s="45">
        <f t="shared" si="2"/>
        <v>0</v>
      </c>
      <c r="X706" s="45">
        <f t="shared" si="3"/>
        <v>0</v>
      </c>
      <c r="Y706" s="45">
        <f t="shared" si="4"/>
        <v>0</v>
      </c>
      <c r="Z706" s="42" t="str">
        <f>CONFERENCIAS!AB706</f>
        <v/>
      </c>
      <c r="AA706" s="42" t="str">
        <f>CONFERENCIAS!AC706</f>
        <v/>
      </c>
      <c r="AB706" s="47" t="str">
        <f t="shared" si="5"/>
        <v/>
      </c>
      <c r="AC706" s="9" t="str">
        <f t="shared" si="6"/>
        <v/>
      </c>
    </row>
    <row r="707">
      <c r="A707" s="42" t="str">
        <f>CONFERENCIAS!A707</f>
        <v/>
      </c>
      <c r="D707" s="42" t="str">
        <f>CONFERENCIAS!C707</f>
        <v/>
      </c>
      <c r="E707" s="42" t="str">
        <f>CONFERENCIAS!K707</f>
        <v/>
      </c>
      <c r="F707" s="49" t="str">
        <f>CONFERENCIAS!J707</f>
        <v/>
      </c>
      <c r="G707" s="42" t="str">
        <f>CONFERENCIAS!O707</f>
        <v/>
      </c>
      <c r="H707" s="42" t="str">
        <f>CONFERENCIAS!X707</f>
        <v/>
      </c>
      <c r="I707" s="42" t="str">
        <f>CONFERENCIAS!AA707</f>
        <v/>
      </c>
      <c r="J707" s="44" t="str">
        <f>CONFERENCIAS!P707</f>
        <v/>
      </c>
      <c r="K707" s="45" t="str">
        <f>CONFERENCIAS!R707</f>
        <v/>
      </c>
      <c r="L707" s="45">
        <f>IF(D707="",0,
 IF(E707=1,
   IF(H707="Presencial",
      VLOOKUP(D707,TARIFAS!A:K,3,FALSE) + IF(I707="Sí",VLOOKUP(D707,TARIFAS!A:K,5,FALSE),0),
      VLOOKUP(D707,TARIFAS!A:K,4,FALSE) + IF(I707="Sí",VLOOKUP(D707,TARIFAS!A:K,5,FALSE),0)
   ),
   IF(H707="Presencial",
      VLOOKUP(D707,TARIFAS!A:K,9,FALSE) + IF(I707="Sí",VLOOKUP(D707,TARIFAS!A:K,11,FALSE),0),
      VLOOKUP(D707,TARIFAS!A:K,10,FALSE) + IF(I707="Sí",VLOOKUP(D707,TARIFAS!A:K,11,FALSE),0)
   )
 )
)
</f>
        <v>0</v>
      </c>
      <c r="M707" s="45">
        <f>IF(J707="",0,MAX(0,J707 - TARIFAS!G$2) * TARIFAS!F$2)
</f>
        <v>0</v>
      </c>
      <c r="N707" s="45">
        <f>+L707*TARIFAS!$K$2</f>
        <v>0</v>
      </c>
      <c r="O707" s="45">
        <f t="shared" si="1"/>
        <v>0</v>
      </c>
      <c r="P707" s="45">
        <f>+M707+O707+K707+(+I707-(I707*TARIFAS!$K$2))</f>
        <v>0</v>
      </c>
      <c r="Q707" s="42" t="str">
        <f>CONFERENCIAS!T707</f>
        <v/>
      </c>
      <c r="R707" s="45" t="str">
        <f>CONFERENCIAS!U707</f>
        <v/>
      </c>
      <c r="S707" s="45" t="str">
        <f>CONFERENCIAS!W707</f>
        <v/>
      </c>
      <c r="T707" s="48">
        <f>IF(Q707="",0,
   IF(E707=1,
      IF(H707="Presencial",
         VLOOKUP(D707,TARIFAS!A:K,3,FALSE) + IF(I707="Sí",VLOOKUP(D707,TARIFAS!A:K,5,FALSE),0),
         VLOOKUP(D707,TARIFAS!A:K,4,FALSE) + IF(I707="Sí",VLOOKUP(D707,TARIFAS!A:K,5,FALSE),0)
      ),
      IF(H707="Presencial",
         VLOOKUP(D707,TARIFAS!A:K,9,FALSE) + IF(I707="Sí",VLOOKUP(D707,TARIFAS!A:K,11,FALSE),0),
         VLOOKUP(D707,TARIFAS!A:K,10,FALSE) + IF(I707="Sí",VLOOKUP(D707,TARIFAS!A:K,11,FALSE),0)
      )
   )
)
</f>
        <v>0</v>
      </c>
      <c r="U707" s="45">
        <f>IF(R707="",0,MAX(0,R707 - TARIFAS!G$2) * TARIFAS!F$2)
</f>
        <v>0</v>
      </c>
      <c r="V707" s="45">
        <f>+T707*TARIFAS!$K$2</f>
        <v>0</v>
      </c>
      <c r="W707" s="45">
        <f t="shared" si="2"/>
        <v>0</v>
      </c>
      <c r="X707" s="45">
        <f t="shared" si="3"/>
        <v>0</v>
      </c>
      <c r="Y707" s="45">
        <f t="shared" si="4"/>
        <v>0</v>
      </c>
      <c r="Z707" s="42" t="str">
        <f>CONFERENCIAS!AB707</f>
        <v/>
      </c>
      <c r="AA707" s="42" t="str">
        <f>CONFERENCIAS!AC707</f>
        <v/>
      </c>
      <c r="AB707" s="47" t="str">
        <f t="shared" si="5"/>
        <v/>
      </c>
      <c r="AC707" s="9" t="str">
        <f t="shared" si="6"/>
        <v/>
      </c>
    </row>
    <row r="708">
      <c r="A708" s="42" t="str">
        <f>CONFERENCIAS!A708</f>
        <v/>
      </c>
      <c r="D708" s="42" t="str">
        <f>CONFERENCIAS!C708</f>
        <v/>
      </c>
      <c r="E708" s="42" t="str">
        <f>CONFERENCIAS!K708</f>
        <v/>
      </c>
      <c r="F708" s="49" t="str">
        <f>CONFERENCIAS!J708</f>
        <v/>
      </c>
      <c r="G708" s="42" t="str">
        <f>CONFERENCIAS!O708</f>
        <v/>
      </c>
      <c r="H708" s="42" t="str">
        <f>CONFERENCIAS!X708</f>
        <v/>
      </c>
      <c r="I708" s="42" t="str">
        <f>CONFERENCIAS!AA708</f>
        <v/>
      </c>
      <c r="J708" s="44" t="str">
        <f>CONFERENCIAS!P708</f>
        <v/>
      </c>
      <c r="K708" s="45" t="str">
        <f>CONFERENCIAS!R708</f>
        <v/>
      </c>
      <c r="L708" s="45">
        <f>IF(D708="",0,
 IF(E708=1,
   IF(H708="Presencial",
      VLOOKUP(D708,TARIFAS!A:K,3,FALSE) + IF(I708="Sí",VLOOKUP(D708,TARIFAS!A:K,5,FALSE),0),
      VLOOKUP(D708,TARIFAS!A:K,4,FALSE) + IF(I708="Sí",VLOOKUP(D708,TARIFAS!A:K,5,FALSE),0)
   ),
   IF(H708="Presencial",
      VLOOKUP(D708,TARIFAS!A:K,9,FALSE) + IF(I708="Sí",VLOOKUP(D708,TARIFAS!A:K,11,FALSE),0),
      VLOOKUP(D708,TARIFAS!A:K,10,FALSE) + IF(I708="Sí",VLOOKUP(D708,TARIFAS!A:K,11,FALSE),0)
   )
 )
)
</f>
        <v>0</v>
      </c>
      <c r="M708" s="45">
        <f>IF(J708="",0,MAX(0,J708 - TARIFAS!G$2) * TARIFAS!F$2)
</f>
        <v>0</v>
      </c>
      <c r="N708" s="45">
        <f>+L708*TARIFAS!$K$2</f>
        <v>0</v>
      </c>
      <c r="O708" s="45">
        <f t="shared" si="1"/>
        <v>0</v>
      </c>
      <c r="P708" s="45">
        <f>+M708+O708+K708+(+I708-(I708*TARIFAS!$K$2))</f>
        <v>0</v>
      </c>
      <c r="Q708" s="42" t="str">
        <f>CONFERENCIAS!T708</f>
        <v/>
      </c>
      <c r="R708" s="45" t="str">
        <f>CONFERENCIAS!U708</f>
        <v/>
      </c>
      <c r="S708" s="45" t="str">
        <f>CONFERENCIAS!W708</f>
        <v/>
      </c>
      <c r="T708" s="48">
        <f>IF(Q708="",0,
   IF(E708=1,
      IF(H708="Presencial",
         VLOOKUP(D708,TARIFAS!A:K,3,FALSE) + IF(I708="Sí",VLOOKUP(D708,TARIFAS!A:K,5,FALSE),0),
         VLOOKUP(D708,TARIFAS!A:K,4,FALSE) + IF(I708="Sí",VLOOKUP(D708,TARIFAS!A:K,5,FALSE),0)
      ),
      IF(H708="Presencial",
         VLOOKUP(D708,TARIFAS!A:K,9,FALSE) + IF(I708="Sí",VLOOKUP(D708,TARIFAS!A:K,11,FALSE),0),
         VLOOKUP(D708,TARIFAS!A:K,10,FALSE) + IF(I708="Sí",VLOOKUP(D708,TARIFAS!A:K,11,FALSE),0)
      )
   )
)
</f>
        <v>0</v>
      </c>
      <c r="U708" s="45">
        <f>IF(R708="",0,MAX(0,R708 - TARIFAS!G$2) * TARIFAS!F$2)
</f>
        <v>0</v>
      </c>
      <c r="V708" s="45">
        <f>+T708*TARIFAS!$K$2</f>
        <v>0</v>
      </c>
      <c r="W708" s="45">
        <f t="shared" si="2"/>
        <v>0</v>
      </c>
      <c r="X708" s="45">
        <f t="shared" si="3"/>
        <v>0</v>
      </c>
      <c r="Y708" s="45">
        <f t="shared" si="4"/>
        <v>0</v>
      </c>
      <c r="Z708" s="42" t="str">
        <f>CONFERENCIAS!AB708</f>
        <v/>
      </c>
      <c r="AA708" s="42" t="str">
        <f>CONFERENCIAS!AC708</f>
        <v/>
      </c>
      <c r="AB708" s="47" t="str">
        <f t="shared" si="5"/>
        <v/>
      </c>
      <c r="AC708" s="9" t="str">
        <f t="shared" si="6"/>
        <v/>
      </c>
    </row>
    <row r="709">
      <c r="A709" s="42" t="str">
        <f>CONFERENCIAS!A709</f>
        <v/>
      </c>
      <c r="D709" s="42" t="str">
        <f>CONFERENCIAS!C709</f>
        <v/>
      </c>
      <c r="E709" s="42" t="str">
        <f>CONFERENCIAS!K709</f>
        <v/>
      </c>
      <c r="F709" s="49" t="str">
        <f>CONFERENCIAS!J709</f>
        <v/>
      </c>
      <c r="G709" s="42" t="str">
        <f>CONFERENCIAS!O709</f>
        <v/>
      </c>
      <c r="H709" s="42" t="str">
        <f>CONFERENCIAS!X709</f>
        <v/>
      </c>
      <c r="I709" s="42" t="str">
        <f>CONFERENCIAS!AA709</f>
        <v/>
      </c>
      <c r="J709" s="44" t="str">
        <f>CONFERENCIAS!P709</f>
        <v/>
      </c>
      <c r="K709" s="45" t="str">
        <f>CONFERENCIAS!R709</f>
        <v/>
      </c>
      <c r="L709" s="45">
        <f>IF(D709="",0,
 IF(E709=1,
   IF(H709="Presencial",
      VLOOKUP(D709,TARIFAS!A:K,3,FALSE) + IF(I709="Sí",VLOOKUP(D709,TARIFAS!A:K,5,FALSE),0),
      VLOOKUP(D709,TARIFAS!A:K,4,FALSE) + IF(I709="Sí",VLOOKUP(D709,TARIFAS!A:K,5,FALSE),0)
   ),
   IF(H709="Presencial",
      VLOOKUP(D709,TARIFAS!A:K,9,FALSE) + IF(I709="Sí",VLOOKUP(D709,TARIFAS!A:K,11,FALSE),0),
      VLOOKUP(D709,TARIFAS!A:K,10,FALSE) + IF(I709="Sí",VLOOKUP(D709,TARIFAS!A:K,11,FALSE),0)
   )
 )
)
</f>
        <v>0</v>
      </c>
      <c r="M709" s="45">
        <f>IF(J709="",0,MAX(0,J709 - TARIFAS!G$2) * TARIFAS!F$2)
</f>
        <v>0</v>
      </c>
      <c r="N709" s="45">
        <f>+L709*TARIFAS!$K$2</f>
        <v>0</v>
      </c>
      <c r="O709" s="45">
        <f t="shared" si="1"/>
        <v>0</v>
      </c>
      <c r="P709" s="45">
        <f>+M709+O709+K709+(+I709-(I709*TARIFAS!$K$2))</f>
        <v>0</v>
      </c>
      <c r="Q709" s="42" t="str">
        <f>CONFERENCIAS!T709</f>
        <v/>
      </c>
      <c r="R709" s="45" t="str">
        <f>CONFERENCIAS!U709</f>
        <v/>
      </c>
      <c r="S709" s="45" t="str">
        <f>CONFERENCIAS!W709</f>
        <v/>
      </c>
      <c r="T709" s="48">
        <f>IF(Q709="",0,
   IF(E709=1,
      IF(H709="Presencial",
         VLOOKUP(D709,TARIFAS!A:K,3,FALSE) + IF(I709="Sí",VLOOKUP(D709,TARIFAS!A:K,5,FALSE),0),
         VLOOKUP(D709,TARIFAS!A:K,4,FALSE) + IF(I709="Sí",VLOOKUP(D709,TARIFAS!A:K,5,FALSE),0)
      ),
      IF(H709="Presencial",
         VLOOKUP(D709,TARIFAS!A:K,9,FALSE) + IF(I709="Sí",VLOOKUP(D709,TARIFAS!A:K,11,FALSE),0),
         VLOOKUP(D709,TARIFAS!A:K,10,FALSE) + IF(I709="Sí",VLOOKUP(D709,TARIFAS!A:K,11,FALSE),0)
      )
   )
)
</f>
        <v>0</v>
      </c>
      <c r="U709" s="45">
        <f>IF(R709="",0,MAX(0,R709 - TARIFAS!G$2) * TARIFAS!F$2)
</f>
        <v>0</v>
      </c>
      <c r="V709" s="45">
        <f>+T709*TARIFAS!$K$2</f>
        <v>0</v>
      </c>
      <c r="W709" s="45">
        <f t="shared" si="2"/>
        <v>0</v>
      </c>
      <c r="X709" s="45">
        <f t="shared" si="3"/>
        <v>0</v>
      </c>
      <c r="Y709" s="45">
        <f t="shared" si="4"/>
        <v>0</v>
      </c>
      <c r="Z709" s="42" t="str">
        <f>CONFERENCIAS!AB709</f>
        <v/>
      </c>
      <c r="AA709" s="42" t="str">
        <f>CONFERENCIAS!AC709</f>
        <v/>
      </c>
      <c r="AB709" s="47" t="str">
        <f t="shared" si="5"/>
        <v/>
      </c>
      <c r="AC709" s="9" t="str">
        <f t="shared" si="6"/>
        <v/>
      </c>
    </row>
    <row r="710">
      <c r="A710" s="42" t="str">
        <f>CONFERENCIAS!A710</f>
        <v/>
      </c>
      <c r="D710" s="42" t="str">
        <f>CONFERENCIAS!C710</f>
        <v/>
      </c>
      <c r="E710" s="42" t="str">
        <f>CONFERENCIAS!K710</f>
        <v/>
      </c>
      <c r="F710" s="49" t="str">
        <f>CONFERENCIAS!J710</f>
        <v/>
      </c>
      <c r="G710" s="42" t="str">
        <f>CONFERENCIAS!O710</f>
        <v/>
      </c>
      <c r="H710" s="42" t="str">
        <f>CONFERENCIAS!X710</f>
        <v/>
      </c>
      <c r="I710" s="42" t="str">
        <f>CONFERENCIAS!AA710</f>
        <v/>
      </c>
      <c r="J710" s="44" t="str">
        <f>CONFERENCIAS!P710</f>
        <v/>
      </c>
      <c r="K710" s="45" t="str">
        <f>CONFERENCIAS!R710</f>
        <v/>
      </c>
      <c r="L710" s="45">
        <f>IF(D710="",0,
 IF(E710=1,
   IF(H710="Presencial",
      VLOOKUP(D710,TARIFAS!A:K,3,FALSE) + IF(I710="Sí",VLOOKUP(D710,TARIFAS!A:K,5,FALSE),0),
      VLOOKUP(D710,TARIFAS!A:K,4,FALSE) + IF(I710="Sí",VLOOKUP(D710,TARIFAS!A:K,5,FALSE),0)
   ),
   IF(H710="Presencial",
      VLOOKUP(D710,TARIFAS!A:K,9,FALSE) + IF(I710="Sí",VLOOKUP(D710,TARIFAS!A:K,11,FALSE),0),
      VLOOKUP(D710,TARIFAS!A:K,10,FALSE) + IF(I710="Sí",VLOOKUP(D710,TARIFAS!A:K,11,FALSE),0)
   )
 )
)
</f>
        <v>0</v>
      </c>
      <c r="M710" s="45">
        <f>IF(J710="",0,MAX(0,J710 - TARIFAS!G$2) * TARIFAS!F$2)
</f>
        <v>0</v>
      </c>
      <c r="N710" s="45">
        <f>+L710*TARIFAS!$K$2</f>
        <v>0</v>
      </c>
      <c r="O710" s="45">
        <f t="shared" si="1"/>
        <v>0</v>
      </c>
      <c r="P710" s="45">
        <f>+M710+O710+K710+(+I710-(I710*TARIFAS!$K$2))</f>
        <v>0</v>
      </c>
      <c r="Q710" s="42" t="str">
        <f>CONFERENCIAS!T710</f>
        <v/>
      </c>
      <c r="R710" s="45" t="str">
        <f>CONFERENCIAS!U710</f>
        <v/>
      </c>
      <c r="S710" s="45" t="str">
        <f>CONFERENCIAS!W710</f>
        <v/>
      </c>
      <c r="T710" s="48">
        <f>IF(Q710="",0,
   IF(E710=1,
      IF(H710="Presencial",
         VLOOKUP(D710,TARIFAS!A:K,3,FALSE) + IF(I710="Sí",VLOOKUP(D710,TARIFAS!A:K,5,FALSE),0),
         VLOOKUP(D710,TARIFAS!A:K,4,FALSE) + IF(I710="Sí",VLOOKUP(D710,TARIFAS!A:K,5,FALSE),0)
      ),
      IF(H710="Presencial",
         VLOOKUP(D710,TARIFAS!A:K,9,FALSE) + IF(I710="Sí",VLOOKUP(D710,TARIFAS!A:K,11,FALSE),0),
         VLOOKUP(D710,TARIFAS!A:K,10,FALSE) + IF(I710="Sí",VLOOKUP(D710,TARIFAS!A:K,11,FALSE),0)
      )
   )
)
</f>
        <v>0</v>
      </c>
      <c r="U710" s="45">
        <f>IF(R710="",0,MAX(0,R710 - TARIFAS!G$2) * TARIFAS!F$2)
</f>
        <v>0</v>
      </c>
      <c r="V710" s="45">
        <f>+T710*TARIFAS!$K$2</f>
        <v>0</v>
      </c>
      <c r="W710" s="45">
        <f t="shared" si="2"/>
        <v>0</v>
      </c>
      <c r="X710" s="45">
        <f t="shared" si="3"/>
        <v>0</v>
      </c>
      <c r="Y710" s="45">
        <f t="shared" si="4"/>
        <v>0</v>
      </c>
      <c r="Z710" s="42" t="str">
        <f>CONFERENCIAS!AB710</f>
        <v/>
      </c>
      <c r="AA710" s="42" t="str">
        <f>CONFERENCIAS!AC710</f>
        <v/>
      </c>
      <c r="AB710" s="47" t="str">
        <f t="shared" si="5"/>
        <v/>
      </c>
      <c r="AC710" s="9" t="str">
        <f t="shared" si="6"/>
        <v/>
      </c>
    </row>
    <row r="711">
      <c r="A711" s="42" t="str">
        <f>CONFERENCIAS!A711</f>
        <v/>
      </c>
      <c r="D711" s="42" t="str">
        <f>CONFERENCIAS!C711</f>
        <v/>
      </c>
      <c r="E711" s="42" t="str">
        <f>CONFERENCIAS!K711</f>
        <v/>
      </c>
      <c r="F711" s="49" t="str">
        <f>CONFERENCIAS!J711</f>
        <v/>
      </c>
      <c r="G711" s="42" t="str">
        <f>CONFERENCIAS!O711</f>
        <v/>
      </c>
      <c r="H711" s="42" t="str">
        <f>CONFERENCIAS!X711</f>
        <v/>
      </c>
      <c r="I711" s="42" t="str">
        <f>CONFERENCIAS!AA711</f>
        <v/>
      </c>
      <c r="J711" s="44" t="str">
        <f>CONFERENCIAS!P711</f>
        <v/>
      </c>
      <c r="K711" s="45" t="str">
        <f>CONFERENCIAS!R711</f>
        <v/>
      </c>
      <c r="L711" s="45">
        <f>IF(D711="",0,
 IF(E711=1,
   IF(H711="Presencial",
      VLOOKUP(D711,TARIFAS!A:K,3,FALSE) + IF(I711="Sí",VLOOKUP(D711,TARIFAS!A:K,5,FALSE),0),
      VLOOKUP(D711,TARIFAS!A:K,4,FALSE) + IF(I711="Sí",VLOOKUP(D711,TARIFAS!A:K,5,FALSE),0)
   ),
   IF(H711="Presencial",
      VLOOKUP(D711,TARIFAS!A:K,9,FALSE) + IF(I711="Sí",VLOOKUP(D711,TARIFAS!A:K,11,FALSE),0),
      VLOOKUP(D711,TARIFAS!A:K,10,FALSE) + IF(I711="Sí",VLOOKUP(D711,TARIFAS!A:K,11,FALSE),0)
   )
 )
)
</f>
        <v>0</v>
      </c>
      <c r="M711" s="45">
        <f>IF(J711="",0,MAX(0,J711 - TARIFAS!G$2) * TARIFAS!F$2)
</f>
        <v>0</v>
      </c>
      <c r="N711" s="45">
        <f>+L711*TARIFAS!$K$2</f>
        <v>0</v>
      </c>
      <c r="O711" s="45">
        <f t="shared" si="1"/>
        <v>0</v>
      </c>
      <c r="P711" s="45">
        <f>+M711+O711+K711+(+I711-(I711*TARIFAS!$K$2))</f>
        <v>0</v>
      </c>
      <c r="Q711" s="42" t="str">
        <f>CONFERENCIAS!T711</f>
        <v/>
      </c>
      <c r="R711" s="45" t="str">
        <f>CONFERENCIAS!U711</f>
        <v/>
      </c>
      <c r="S711" s="45" t="str">
        <f>CONFERENCIAS!W711</f>
        <v/>
      </c>
      <c r="T711" s="48">
        <f>IF(Q711="",0,
   IF(E711=1,
      IF(H711="Presencial",
         VLOOKUP(D711,TARIFAS!A:K,3,FALSE) + IF(I711="Sí",VLOOKUP(D711,TARIFAS!A:K,5,FALSE),0),
         VLOOKUP(D711,TARIFAS!A:K,4,FALSE) + IF(I711="Sí",VLOOKUP(D711,TARIFAS!A:K,5,FALSE),0)
      ),
      IF(H711="Presencial",
         VLOOKUP(D711,TARIFAS!A:K,9,FALSE) + IF(I711="Sí",VLOOKUP(D711,TARIFAS!A:K,11,FALSE),0),
         VLOOKUP(D711,TARIFAS!A:K,10,FALSE) + IF(I711="Sí",VLOOKUP(D711,TARIFAS!A:K,11,FALSE),0)
      )
   )
)
</f>
        <v>0</v>
      </c>
      <c r="U711" s="45">
        <f>IF(R711="",0,MAX(0,R711 - TARIFAS!G$2) * TARIFAS!F$2)
</f>
        <v>0</v>
      </c>
      <c r="V711" s="45">
        <f>+T711*TARIFAS!$K$2</f>
        <v>0</v>
      </c>
      <c r="W711" s="45">
        <f t="shared" si="2"/>
        <v>0</v>
      </c>
      <c r="X711" s="45">
        <f t="shared" si="3"/>
        <v>0</v>
      </c>
      <c r="Y711" s="45">
        <f t="shared" si="4"/>
        <v>0</v>
      </c>
      <c r="Z711" s="42" t="str">
        <f>CONFERENCIAS!AB711</f>
        <v/>
      </c>
      <c r="AA711" s="42" t="str">
        <f>CONFERENCIAS!AC711</f>
        <v/>
      </c>
      <c r="AB711" s="47" t="str">
        <f t="shared" si="5"/>
        <v/>
      </c>
      <c r="AC711" s="9" t="str">
        <f t="shared" si="6"/>
        <v/>
      </c>
    </row>
    <row r="712">
      <c r="A712" s="42" t="str">
        <f>CONFERENCIAS!A712</f>
        <v/>
      </c>
      <c r="D712" s="42" t="str">
        <f>CONFERENCIAS!C712</f>
        <v/>
      </c>
      <c r="E712" s="42" t="str">
        <f>CONFERENCIAS!K712</f>
        <v/>
      </c>
      <c r="F712" s="49" t="str">
        <f>CONFERENCIAS!J712</f>
        <v/>
      </c>
      <c r="G712" s="42" t="str">
        <f>CONFERENCIAS!O712</f>
        <v/>
      </c>
      <c r="H712" s="42" t="str">
        <f>CONFERENCIAS!X712</f>
        <v/>
      </c>
      <c r="I712" s="42" t="str">
        <f>CONFERENCIAS!AA712</f>
        <v/>
      </c>
      <c r="J712" s="44" t="str">
        <f>CONFERENCIAS!P712</f>
        <v/>
      </c>
      <c r="K712" s="45" t="str">
        <f>CONFERENCIAS!R712</f>
        <v/>
      </c>
      <c r="L712" s="45">
        <f>IF(D712="",0,
 IF(E712=1,
   IF(H712="Presencial",
      VLOOKUP(D712,TARIFAS!A:K,3,FALSE) + IF(I712="Sí",VLOOKUP(D712,TARIFAS!A:K,5,FALSE),0),
      VLOOKUP(D712,TARIFAS!A:K,4,FALSE) + IF(I712="Sí",VLOOKUP(D712,TARIFAS!A:K,5,FALSE),0)
   ),
   IF(H712="Presencial",
      VLOOKUP(D712,TARIFAS!A:K,9,FALSE) + IF(I712="Sí",VLOOKUP(D712,TARIFAS!A:K,11,FALSE),0),
      VLOOKUP(D712,TARIFAS!A:K,10,FALSE) + IF(I712="Sí",VLOOKUP(D712,TARIFAS!A:K,11,FALSE),0)
   )
 )
)
</f>
        <v>0</v>
      </c>
      <c r="M712" s="45">
        <f>IF(J712="",0,MAX(0,J712 - TARIFAS!G$2) * TARIFAS!F$2)
</f>
        <v>0</v>
      </c>
      <c r="N712" s="45">
        <f>+L712*TARIFAS!$K$2</f>
        <v>0</v>
      </c>
      <c r="O712" s="45">
        <f t="shared" si="1"/>
        <v>0</v>
      </c>
      <c r="P712" s="45">
        <f>+M712+O712+K712+(+I712-(I712*TARIFAS!$K$2))</f>
        <v>0</v>
      </c>
      <c r="Q712" s="42" t="str">
        <f>CONFERENCIAS!T712</f>
        <v/>
      </c>
      <c r="R712" s="45" t="str">
        <f>CONFERENCIAS!U712</f>
        <v/>
      </c>
      <c r="S712" s="45" t="str">
        <f>CONFERENCIAS!W712</f>
        <v/>
      </c>
      <c r="T712" s="48">
        <f>IF(Q712="",0,
   IF(E712=1,
      IF(H712="Presencial",
         VLOOKUP(D712,TARIFAS!A:K,3,FALSE) + IF(I712="Sí",VLOOKUP(D712,TARIFAS!A:K,5,FALSE),0),
         VLOOKUP(D712,TARIFAS!A:K,4,FALSE) + IF(I712="Sí",VLOOKUP(D712,TARIFAS!A:K,5,FALSE),0)
      ),
      IF(H712="Presencial",
         VLOOKUP(D712,TARIFAS!A:K,9,FALSE) + IF(I712="Sí",VLOOKUP(D712,TARIFAS!A:K,11,FALSE),0),
         VLOOKUP(D712,TARIFAS!A:K,10,FALSE) + IF(I712="Sí",VLOOKUP(D712,TARIFAS!A:K,11,FALSE),0)
      )
   )
)
</f>
        <v>0</v>
      </c>
      <c r="U712" s="45">
        <f>IF(R712="",0,MAX(0,R712 - TARIFAS!G$2) * TARIFAS!F$2)
</f>
        <v>0</v>
      </c>
      <c r="V712" s="45">
        <f>+T712*TARIFAS!$K$2</f>
        <v>0</v>
      </c>
      <c r="W712" s="45">
        <f t="shared" si="2"/>
        <v>0</v>
      </c>
      <c r="X712" s="45">
        <f t="shared" si="3"/>
        <v>0</v>
      </c>
      <c r="Y712" s="45">
        <f t="shared" si="4"/>
        <v>0</v>
      </c>
      <c r="Z712" s="42" t="str">
        <f>CONFERENCIAS!AB712</f>
        <v/>
      </c>
      <c r="AA712" s="42" t="str">
        <f>CONFERENCIAS!AC712</f>
        <v/>
      </c>
      <c r="AB712" s="47" t="str">
        <f t="shared" si="5"/>
        <v/>
      </c>
      <c r="AC712" s="9" t="str">
        <f t="shared" si="6"/>
        <v/>
      </c>
    </row>
    <row r="713">
      <c r="A713" s="42" t="str">
        <f>CONFERENCIAS!A713</f>
        <v/>
      </c>
      <c r="D713" s="42" t="str">
        <f>CONFERENCIAS!C713</f>
        <v/>
      </c>
      <c r="E713" s="42" t="str">
        <f>CONFERENCIAS!K713</f>
        <v/>
      </c>
      <c r="F713" s="49" t="str">
        <f>CONFERENCIAS!J713</f>
        <v/>
      </c>
      <c r="G713" s="42" t="str">
        <f>CONFERENCIAS!O713</f>
        <v/>
      </c>
      <c r="H713" s="42" t="str">
        <f>CONFERENCIAS!X713</f>
        <v/>
      </c>
      <c r="I713" s="42" t="str">
        <f>CONFERENCIAS!AA713</f>
        <v/>
      </c>
      <c r="J713" s="44" t="str">
        <f>CONFERENCIAS!P713</f>
        <v/>
      </c>
      <c r="K713" s="45" t="str">
        <f>CONFERENCIAS!R713</f>
        <v/>
      </c>
      <c r="L713" s="45">
        <f>IF(D713="",0,
 IF(E713=1,
   IF(H713="Presencial",
      VLOOKUP(D713,TARIFAS!A:K,3,FALSE) + IF(I713="Sí",VLOOKUP(D713,TARIFAS!A:K,5,FALSE),0),
      VLOOKUP(D713,TARIFAS!A:K,4,FALSE) + IF(I713="Sí",VLOOKUP(D713,TARIFAS!A:K,5,FALSE),0)
   ),
   IF(H713="Presencial",
      VLOOKUP(D713,TARIFAS!A:K,9,FALSE) + IF(I713="Sí",VLOOKUP(D713,TARIFAS!A:K,11,FALSE),0),
      VLOOKUP(D713,TARIFAS!A:K,10,FALSE) + IF(I713="Sí",VLOOKUP(D713,TARIFAS!A:K,11,FALSE),0)
   )
 )
)
</f>
        <v>0</v>
      </c>
      <c r="M713" s="45">
        <f>IF(J713="",0,MAX(0,J713 - TARIFAS!G$2) * TARIFAS!F$2)
</f>
        <v>0</v>
      </c>
      <c r="N713" s="45">
        <f>+L713*TARIFAS!$K$2</f>
        <v>0</v>
      </c>
      <c r="O713" s="45">
        <f t="shared" si="1"/>
        <v>0</v>
      </c>
      <c r="P713" s="45">
        <f>+M713+O713+K713+(+I713-(I713*TARIFAS!$K$2))</f>
        <v>0</v>
      </c>
      <c r="Q713" s="42" t="str">
        <f>CONFERENCIAS!T713</f>
        <v/>
      </c>
      <c r="R713" s="45" t="str">
        <f>CONFERENCIAS!U713</f>
        <v/>
      </c>
      <c r="S713" s="45" t="str">
        <f>CONFERENCIAS!W713</f>
        <v/>
      </c>
      <c r="T713" s="48">
        <f>IF(Q713="",0,
   IF(E713=1,
      IF(H713="Presencial",
         VLOOKUP(D713,TARIFAS!A:K,3,FALSE) + IF(I713="Sí",VLOOKUP(D713,TARIFAS!A:K,5,FALSE),0),
         VLOOKUP(D713,TARIFAS!A:K,4,FALSE) + IF(I713="Sí",VLOOKUP(D713,TARIFAS!A:K,5,FALSE),0)
      ),
      IF(H713="Presencial",
         VLOOKUP(D713,TARIFAS!A:K,9,FALSE) + IF(I713="Sí",VLOOKUP(D713,TARIFAS!A:K,11,FALSE),0),
         VLOOKUP(D713,TARIFAS!A:K,10,FALSE) + IF(I713="Sí",VLOOKUP(D713,TARIFAS!A:K,11,FALSE),0)
      )
   )
)
</f>
        <v>0</v>
      </c>
      <c r="U713" s="45">
        <f>IF(R713="",0,MAX(0,R713 - TARIFAS!G$2) * TARIFAS!F$2)
</f>
        <v>0</v>
      </c>
      <c r="V713" s="45">
        <f>+T713*TARIFAS!$K$2</f>
        <v>0</v>
      </c>
      <c r="W713" s="45">
        <f t="shared" si="2"/>
        <v>0</v>
      </c>
      <c r="X713" s="45">
        <f t="shared" si="3"/>
        <v>0</v>
      </c>
      <c r="Y713" s="45">
        <f t="shared" si="4"/>
        <v>0</v>
      </c>
      <c r="Z713" s="42" t="str">
        <f>CONFERENCIAS!AB713</f>
        <v/>
      </c>
      <c r="AA713" s="42" t="str">
        <f>CONFERENCIAS!AC713</f>
        <v/>
      </c>
      <c r="AB713" s="47" t="str">
        <f t="shared" si="5"/>
        <v/>
      </c>
      <c r="AC713" s="9" t="str">
        <f t="shared" si="6"/>
        <v/>
      </c>
    </row>
    <row r="714">
      <c r="A714" s="42" t="str">
        <f>CONFERENCIAS!A714</f>
        <v/>
      </c>
      <c r="D714" s="42" t="str">
        <f>CONFERENCIAS!C714</f>
        <v/>
      </c>
      <c r="E714" s="42" t="str">
        <f>CONFERENCIAS!K714</f>
        <v/>
      </c>
      <c r="F714" s="49" t="str">
        <f>CONFERENCIAS!J714</f>
        <v/>
      </c>
      <c r="G714" s="42" t="str">
        <f>CONFERENCIAS!O714</f>
        <v/>
      </c>
      <c r="H714" s="42" t="str">
        <f>CONFERENCIAS!X714</f>
        <v/>
      </c>
      <c r="I714" s="42" t="str">
        <f>CONFERENCIAS!AA714</f>
        <v/>
      </c>
      <c r="J714" s="44" t="str">
        <f>CONFERENCIAS!P714</f>
        <v/>
      </c>
      <c r="K714" s="45" t="str">
        <f>CONFERENCIAS!R714</f>
        <v/>
      </c>
      <c r="L714" s="45">
        <f>IF(D714="",0,
 IF(E714=1,
   IF(H714="Presencial",
      VLOOKUP(D714,TARIFAS!A:K,3,FALSE) + IF(I714="Sí",VLOOKUP(D714,TARIFAS!A:K,5,FALSE),0),
      VLOOKUP(D714,TARIFAS!A:K,4,FALSE) + IF(I714="Sí",VLOOKUP(D714,TARIFAS!A:K,5,FALSE),0)
   ),
   IF(H714="Presencial",
      VLOOKUP(D714,TARIFAS!A:K,9,FALSE) + IF(I714="Sí",VLOOKUP(D714,TARIFAS!A:K,11,FALSE),0),
      VLOOKUP(D714,TARIFAS!A:K,10,FALSE) + IF(I714="Sí",VLOOKUP(D714,TARIFAS!A:K,11,FALSE),0)
   )
 )
)
</f>
        <v>0</v>
      </c>
      <c r="M714" s="45">
        <f>IF(J714="",0,MAX(0,J714 - TARIFAS!G$2) * TARIFAS!F$2)
</f>
        <v>0</v>
      </c>
      <c r="N714" s="45">
        <f>+L714*TARIFAS!$K$2</f>
        <v>0</v>
      </c>
      <c r="O714" s="45">
        <f t="shared" si="1"/>
        <v>0</v>
      </c>
      <c r="P714" s="45">
        <f>+M714+O714+K714+(+I714-(I714*TARIFAS!$K$2))</f>
        <v>0</v>
      </c>
      <c r="Q714" s="42" t="str">
        <f>CONFERENCIAS!T714</f>
        <v/>
      </c>
      <c r="R714" s="45" t="str">
        <f>CONFERENCIAS!U714</f>
        <v/>
      </c>
      <c r="S714" s="45" t="str">
        <f>CONFERENCIAS!W714</f>
        <v/>
      </c>
      <c r="T714" s="48">
        <f>IF(Q714="",0,
   IF(E714=1,
      IF(H714="Presencial",
         VLOOKUP(D714,TARIFAS!A:K,3,FALSE) + IF(I714="Sí",VLOOKUP(D714,TARIFAS!A:K,5,FALSE),0),
         VLOOKUP(D714,TARIFAS!A:K,4,FALSE) + IF(I714="Sí",VLOOKUP(D714,TARIFAS!A:K,5,FALSE),0)
      ),
      IF(H714="Presencial",
         VLOOKUP(D714,TARIFAS!A:K,9,FALSE) + IF(I714="Sí",VLOOKUP(D714,TARIFAS!A:K,11,FALSE),0),
         VLOOKUP(D714,TARIFAS!A:K,10,FALSE) + IF(I714="Sí",VLOOKUP(D714,TARIFAS!A:K,11,FALSE),0)
      )
   )
)
</f>
        <v>0</v>
      </c>
      <c r="U714" s="45">
        <f>IF(R714="",0,MAX(0,R714 - TARIFAS!G$2) * TARIFAS!F$2)
</f>
        <v>0</v>
      </c>
      <c r="V714" s="45">
        <f>+T714*TARIFAS!$K$2</f>
        <v>0</v>
      </c>
      <c r="W714" s="45">
        <f t="shared" si="2"/>
        <v>0</v>
      </c>
      <c r="X714" s="45">
        <f t="shared" si="3"/>
        <v>0</v>
      </c>
      <c r="Y714" s="45">
        <f t="shared" si="4"/>
        <v>0</v>
      </c>
      <c r="Z714" s="42" t="str">
        <f>CONFERENCIAS!AB714</f>
        <v/>
      </c>
      <c r="AA714" s="42" t="str">
        <f>CONFERENCIAS!AC714</f>
        <v/>
      </c>
      <c r="AB714" s="47" t="str">
        <f t="shared" si="5"/>
        <v/>
      </c>
      <c r="AC714" s="9" t="str">
        <f t="shared" si="6"/>
        <v/>
      </c>
    </row>
    <row r="715">
      <c r="A715" s="42" t="str">
        <f>CONFERENCIAS!A715</f>
        <v/>
      </c>
      <c r="D715" s="42" t="str">
        <f>CONFERENCIAS!C715</f>
        <v/>
      </c>
      <c r="E715" s="42" t="str">
        <f>CONFERENCIAS!K715</f>
        <v/>
      </c>
      <c r="F715" s="49" t="str">
        <f>CONFERENCIAS!J715</f>
        <v/>
      </c>
      <c r="G715" s="42" t="str">
        <f>CONFERENCIAS!O715</f>
        <v/>
      </c>
      <c r="H715" s="42" t="str">
        <f>CONFERENCIAS!X715</f>
        <v/>
      </c>
      <c r="I715" s="42" t="str">
        <f>CONFERENCIAS!AA715</f>
        <v/>
      </c>
      <c r="J715" s="44" t="str">
        <f>CONFERENCIAS!P715</f>
        <v/>
      </c>
      <c r="K715" s="45" t="str">
        <f>CONFERENCIAS!R715</f>
        <v/>
      </c>
      <c r="L715" s="45">
        <f>IF(D715="",0,
 IF(E715=1,
   IF(H715="Presencial",
      VLOOKUP(D715,TARIFAS!A:K,3,FALSE) + IF(I715="Sí",VLOOKUP(D715,TARIFAS!A:K,5,FALSE),0),
      VLOOKUP(D715,TARIFAS!A:K,4,FALSE) + IF(I715="Sí",VLOOKUP(D715,TARIFAS!A:K,5,FALSE),0)
   ),
   IF(H715="Presencial",
      VLOOKUP(D715,TARIFAS!A:K,9,FALSE) + IF(I715="Sí",VLOOKUP(D715,TARIFAS!A:K,11,FALSE),0),
      VLOOKUP(D715,TARIFAS!A:K,10,FALSE) + IF(I715="Sí",VLOOKUP(D715,TARIFAS!A:K,11,FALSE),0)
   )
 )
)
</f>
        <v>0</v>
      </c>
      <c r="M715" s="45">
        <f>IF(J715="",0,MAX(0,J715 - TARIFAS!G$2) * TARIFAS!F$2)
</f>
        <v>0</v>
      </c>
      <c r="N715" s="45">
        <f>+L715*TARIFAS!$K$2</f>
        <v>0</v>
      </c>
      <c r="O715" s="45">
        <f t="shared" si="1"/>
        <v>0</v>
      </c>
      <c r="P715" s="45">
        <f>+M715+O715+K715+(+I715-(I715*TARIFAS!$K$2))</f>
        <v>0</v>
      </c>
      <c r="Q715" s="42" t="str">
        <f>CONFERENCIAS!T715</f>
        <v/>
      </c>
      <c r="R715" s="45" t="str">
        <f>CONFERENCIAS!U715</f>
        <v/>
      </c>
      <c r="S715" s="45" t="str">
        <f>CONFERENCIAS!W715</f>
        <v/>
      </c>
      <c r="T715" s="48">
        <f>IF(Q715="",0,
   IF(E715=1,
      IF(H715="Presencial",
         VLOOKUP(D715,TARIFAS!A:K,3,FALSE) + IF(I715="Sí",VLOOKUP(D715,TARIFAS!A:K,5,FALSE),0),
         VLOOKUP(D715,TARIFAS!A:K,4,FALSE) + IF(I715="Sí",VLOOKUP(D715,TARIFAS!A:K,5,FALSE),0)
      ),
      IF(H715="Presencial",
         VLOOKUP(D715,TARIFAS!A:K,9,FALSE) + IF(I715="Sí",VLOOKUP(D715,TARIFAS!A:K,11,FALSE),0),
         VLOOKUP(D715,TARIFAS!A:K,10,FALSE) + IF(I715="Sí",VLOOKUP(D715,TARIFAS!A:K,11,FALSE),0)
      )
   )
)
</f>
        <v>0</v>
      </c>
      <c r="U715" s="45">
        <f>IF(R715="",0,MAX(0,R715 - TARIFAS!G$2) * TARIFAS!F$2)
</f>
        <v>0</v>
      </c>
      <c r="V715" s="45">
        <f>+T715*TARIFAS!$K$2</f>
        <v>0</v>
      </c>
      <c r="W715" s="45">
        <f t="shared" si="2"/>
        <v>0</v>
      </c>
      <c r="X715" s="45">
        <f t="shared" si="3"/>
        <v>0</v>
      </c>
      <c r="Y715" s="45">
        <f t="shared" si="4"/>
        <v>0</v>
      </c>
      <c r="Z715" s="42" t="str">
        <f>CONFERENCIAS!AB715</f>
        <v/>
      </c>
      <c r="AA715" s="42" t="str">
        <f>CONFERENCIAS!AC715</f>
        <v/>
      </c>
      <c r="AB715" s="47" t="str">
        <f t="shared" si="5"/>
        <v/>
      </c>
      <c r="AC715" s="9" t="str">
        <f t="shared" si="6"/>
        <v/>
      </c>
    </row>
    <row r="716">
      <c r="A716" s="42" t="str">
        <f>CONFERENCIAS!A716</f>
        <v/>
      </c>
      <c r="D716" s="42" t="str">
        <f>CONFERENCIAS!C716</f>
        <v/>
      </c>
      <c r="E716" s="42" t="str">
        <f>CONFERENCIAS!K716</f>
        <v/>
      </c>
      <c r="F716" s="49" t="str">
        <f>CONFERENCIAS!J716</f>
        <v/>
      </c>
      <c r="G716" s="42" t="str">
        <f>CONFERENCIAS!O716</f>
        <v/>
      </c>
      <c r="H716" s="42" t="str">
        <f>CONFERENCIAS!X716</f>
        <v/>
      </c>
      <c r="I716" s="42" t="str">
        <f>CONFERENCIAS!AA716</f>
        <v/>
      </c>
      <c r="J716" s="44" t="str">
        <f>CONFERENCIAS!P716</f>
        <v/>
      </c>
      <c r="K716" s="45" t="str">
        <f>CONFERENCIAS!R716</f>
        <v/>
      </c>
      <c r="L716" s="45">
        <f>IF(D716="",0,
 IF(E716=1,
   IF(H716="Presencial",
      VLOOKUP(D716,TARIFAS!A:K,3,FALSE) + IF(I716="Sí",VLOOKUP(D716,TARIFAS!A:K,5,FALSE),0),
      VLOOKUP(D716,TARIFAS!A:K,4,FALSE) + IF(I716="Sí",VLOOKUP(D716,TARIFAS!A:K,5,FALSE),0)
   ),
   IF(H716="Presencial",
      VLOOKUP(D716,TARIFAS!A:K,9,FALSE) + IF(I716="Sí",VLOOKUP(D716,TARIFAS!A:K,11,FALSE),0),
      VLOOKUP(D716,TARIFAS!A:K,10,FALSE) + IF(I716="Sí",VLOOKUP(D716,TARIFAS!A:K,11,FALSE),0)
   )
 )
)
</f>
        <v>0</v>
      </c>
      <c r="M716" s="45">
        <f>IF(J716="",0,MAX(0,J716 - TARIFAS!G$2) * TARIFAS!F$2)
</f>
        <v>0</v>
      </c>
      <c r="N716" s="45">
        <f>+L716*TARIFAS!$K$2</f>
        <v>0</v>
      </c>
      <c r="O716" s="45">
        <f t="shared" si="1"/>
        <v>0</v>
      </c>
      <c r="P716" s="45">
        <f>+M716+O716+K716+(+I716-(I716*TARIFAS!$K$2))</f>
        <v>0</v>
      </c>
      <c r="Q716" s="42" t="str">
        <f>CONFERENCIAS!T716</f>
        <v/>
      </c>
      <c r="R716" s="45" t="str">
        <f>CONFERENCIAS!U716</f>
        <v/>
      </c>
      <c r="S716" s="45" t="str">
        <f>CONFERENCIAS!W716</f>
        <v/>
      </c>
      <c r="T716" s="48">
        <f>IF(Q716="",0,
   IF(E716=1,
      IF(H716="Presencial",
         VLOOKUP(D716,TARIFAS!A:K,3,FALSE) + IF(I716="Sí",VLOOKUP(D716,TARIFAS!A:K,5,FALSE),0),
         VLOOKUP(D716,TARIFAS!A:K,4,FALSE) + IF(I716="Sí",VLOOKUP(D716,TARIFAS!A:K,5,FALSE),0)
      ),
      IF(H716="Presencial",
         VLOOKUP(D716,TARIFAS!A:K,9,FALSE) + IF(I716="Sí",VLOOKUP(D716,TARIFAS!A:K,11,FALSE),0),
         VLOOKUP(D716,TARIFAS!A:K,10,FALSE) + IF(I716="Sí",VLOOKUP(D716,TARIFAS!A:K,11,FALSE),0)
      )
   )
)
</f>
        <v>0</v>
      </c>
      <c r="U716" s="45">
        <f>IF(R716="",0,MAX(0,R716 - TARIFAS!G$2) * TARIFAS!F$2)
</f>
        <v>0</v>
      </c>
      <c r="V716" s="45">
        <f>+T716*TARIFAS!$K$2</f>
        <v>0</v>
      </c>
      <c r="W716" s="45">
        <f t="shared" si="2"/>
        <v>0</v>
      </c>
      <c r="X716" s="45">
        <f t="shared" si="3"/>
        <v>0</v>
      </c>
      <c r="Y716" s="45">
        <f t="shared" si="4"/>
        <v>0</v>
      </c>
      <c r="Z716" s="42" t="str">
        <f>CONFERENCIAS!AB716</f>
        <v/>
      </c>
      <c r="AA716" s="42" t="str">
        <f>CONFERENCIAS!AC716</f>
        <v/>
      </c>
      <c r="AB716" s="47" t="str">
        <f t="shared" si="5"/>
        <v/>
      </c>
      <c r="AC716" s="9" t="str">
        <f t="shared" si="6"/>
        <v/>
      </c>
    </row>
    <row r="717">
      <c r="A717" s="42" t="str">
        <f>CONFERENCIAS!A717</f>
        <v/>
      </c>
      <c r="D717" s="42" t="str">
        <f>CONFERENCIAS!C717</f>
        <v/>
      </c>
      <c r="E717" s="42" t="str">
        <f>CONFERENCIAS!K717</f>
        <v/>
      </c>
      <c r="F717" s="49" t="str">
        <f>CONFERENCIAS!J717</f>
        <v/>
      </c>
      <c r="G717" s="42" t="str">
        <f>CONFERENCIAS!O717</f>
        <v/>
      </c>
      <c r="H717" s="42" t="str">
        <f>CONFERENCIAS!X717</f>
        <v/>
      </c>
      <c r="I717" s="42" t="str">
        <f>CONFERENCIAS!AA717</f>
        <v/>
      </c>
      <c r="J717" s="44" t="str">
        <f>CONFERENCIAS!P717</f>
        <v/>
      </c>
      <c r="K717" s="45" t="str">
        <f>CONFERENCIAS!R717</f>
        <v/>
      </c>
      <c r="L717" s="45">
        <f>IF(D717="",0,
 IF(E717=1,
   IF(H717="Presencial",
      VLOOKUP(D717,TARIFAS!A:K,3,FALSE) + IF(I717="Sí",VLOOKUP(D717,TARIFAS!A:K,5,FALSE),0),
      VLOOKUP(D717,TARIFAS!A:K,4,FALSE) + IF(I717="Sí",VLOOKUP(D717,TARIFAS!A:K,5,FALSE),0)
   ),
   IF(H717="Presencial",
      VLOOKUP(D717,TARIFAS!A:K,9,FALSE) + IF(I717="Sí",VLOOKUP(D717,TARIFAS!A:K,11,FALSE),0),
      VLOOKUP(D717,TARIFAS!A:K,10,FALSE) + IF(I717="Sí",VLOOKUP(D717,TARIFAS!A:K,11,FALSE),0)
   )
 )
)
</f>
        <v>0</v>
      </c>
      <c r="M717" s="45">
        <f>IF(J717="",0,MAX(0,J717 - TARIFAS!G$2) * TARIFAS!F$2)
</f>
        <v>0</v>
      </c>
      <c r="N717" s="45">
        <f>+L717*TARIFAS!$K$2</f>
        <v>0</v>
      </c>
      <c r="O717" s="45">
        <f t="shared" si="1"/>
        <v>0</v>
      </c>
      <c r="P717" s="45">
        <f>+M717+O717+K717+(+I717-(I717*TARIFAS!$K$2))</f>
        <v>0</v>
      </c>
      <c r="Q717" s="42" t="str">
        <f>CONFERENCIAS!T717</f>
        <v/>
      </c>
      <c r="R717" s="45" t="str">
        <f>CONFERENCIAS!U717</f>
        <v/>
      </c>
      <c r="S717" s="45" t="str">
        <f>CONFERENCIAS!W717</f>
        <v/>
      </c>
      <c r="T717" s="48">
        <f>IF(Q717="",0,
   IF(E717=1,
      IF(H717="Presencial",
         VLOOKUP(D717,TARIFAS!A:K,3,FALSE) + IF(I717="Sí",VLOOKUP(D717,TARIFAS!A:K,5,FALSE),0),
         VLOOKUP(D717,TARIFAS!A:K,4,FALSE) + IF(I717="Sí",VLOOKUP(D717,TARIFAS!A:K,5,FALSE),0)
      ),
      IF(H717="Presencial",
         VLOOKUP(D717,TARIFAS!A:K,9,FALSE) + IF(I717="Sí",VLOOKUP(D717,TARIFAS!A:K,11,FALSE),0),
         VLOOKUP(D717,TARIFAS!A:K,10,FALSE) + IF(I717="Sí",VLOOKUP(D717,TARIFAS!A:K,11,FALSE),0)
      )
   )
)
</f>
        <v>0</v>
      </c>
      <c r="U717" s="45">
        <f>IF(R717="",0,MAX(0,R717 - TARIFAS!G$2) * TARIFAS!F$2)
</f>
        <v>0</v>
      </c>
      <c r="V717" s="45">
        <f>+T717*TARIFAS!$K$2</f>
        <v>0</v>
      </c>
      <c r="W717" s="45">
        <f t="shared" si="2"/>
        <v>0</v>
      </c>
      <c r="X717" s="45">
        <f t="shared" si="3"/>
        <v>0</v>
      </c>
      <c r="Y717" s="45">
        <f t="shared" si="4"/>
        <v>0</v>
      </c>
      <c r="Z717" s="42" t="str">
        <f>CONFERENCIAS!AB717</f>
        <v/>
      </c>
      <c r="AA717" s="42" t="str">
        <f>CONFERENCIAS!AC717</f>
        <v/>
      </c>
      <c r="AB717" s="47" t="str">
        <f t="shared" si="5"/>
        <v/>
      </c>
      <c r="AC717" s="9" t="str">
        <f t="shared" si="6"/>
        <v/>
      </c>
    </row>
    <row r="718">
      <c r="A718" s="42" t="str">
        <f>CONFERENCIAS!A718</f>
        <v/>
      </c>
      <c r="D718" s="42" t="str">
        <f>CONFERENCIAS!C718</f>
        <v/>
      </c>
      <c r="E718" s="42" t="str">
        <f>CONFERENCIAS!K718</f>
        <v/>
      </c>
      <c r="F718" s="49" t="str">
        <f>CONFERENCIAS!J718</f>
        <v/>
      </c>
      <c r="G718" s="42" t="str">
        <f>CONFERENCIAS!O718</f>
        <v/>
      </c>
      <c r="H718" s="42" t="str">
        <f>CONFERENCIAS!X718</f>
        <v/>
      </c>
      <c r="I718" s="42" t="str">
        <f>CONFERENCIAS!AA718</f>
        <v/>
      </c>
      <c r="J718" s="44" t="str">
        <f>CONFERENCIAS!P718</f>
        <v/>
      </c>
      <c r="K718" s="45" t="str">
        <f>CONFERENCIAS!R718</f>
        <v/>
      </c>
      <c r="L718" s="45">
        <f>IF(D718="",0,
 IF(E718=1,
   IF(H718="Presencial",
      VLOOKUP(D718,TARIFAS!A:K,3,FALSE) + IF(I718="Sí",VLOOKUP(D718,TARIFAS!A:K,5,FALSE),0),
      VLOOKUP(D718,TARIFAS!A:K,4,FALSE) + IF(I718="Sí",VLOOKUP(D718,TARIFAS!A:K,5,FALSE),0)
   ),
   IF(H718="Presencial",
      VLOOKUP(D718,TARIFAS!A:K,9,FALSE) + IF(I718="Sí",VLOOKUP(D718,TARIFAS!A:K,11,FALSE),0),
      VLOOKUP(D718,TARIFAS!A:K,10,FALSE) + IF(I718="Sí",VLOOKUP(D718,TARIFAS!A:K,11,FALSE),0)
   )
 )
)
</f>
        <v>0</v>
      </c>
      <c r="M718" s="45">
        <f>IF(J718="",0,MAX(0,J718 - TARIFAS!G$2) * TARIFAS!F$2)
</f>
        <v>0</v>
      </c>
      <c r="N718" s="45">
        <f>+L718*TARIFAS!$K$2</f>
        <v>0</v>
      </c>
      <c r="O718" s="45">
        <f t="shared" si="1"/>
        <v>0</v>
      </c>
      <c r="P718" s="45">
        <f>+M718+O718+K718+(+I718-(I718*TARIFAS!$K$2))</f>
        <v>0</v>
      </c>
      <c r="Q718" s="42" t="str">
        <f>CONFERENCIAS!T718</f>
        <v/>
      </c>
      <c r="R718" s="45" t="str">
        <f>CONFERENCIAS!U718</f>
        <v/>
      </c>
      <c r="S718" s="45" t="str">
        <f>CONFERENCIAS!W718</f>
        <v/>
      </c>
      <c r="T718" s="48">
        <f>IF(Q718="",0,
   IF(E718=1,
      IF(H718="Presencial",
         VLOOKUP(D718,TARIFAS!A:K,3,FALSE) + IF(I718="Sí",VLOOKUP(D718,TARIFAS!A:K,5,FALSE),0),
         VLOOKUP(D718,TARIFAS!A:K,4,FALSE) + IF(I718="Sí",VLOOKUP(D718,TARIFAS!A:K,5,FALSE),0)
      ),
      IF(H718="Presencial",
         VLOOKUP(D718,TARIFAS!A:K,9,FALSE) + IF(I718="Sí",VLOOKUP(D718,TARIFAS!A:K,11,FALSE),0),
         VLOOKUP(D718,TARIFAS!A:K,10,FALSE) + IF(I718="Sí",VLOOKUP(D718,TARIFAS!A:K,11,FALSE),0)
      )
   )
)
</f>
        <v>0</v>
      </c>
      <c r="U718" s="45">
        <f>IF(R718="",0,MAX(0,R718 - TARIFAS!G$2) * TARIFAS!F$2)
</f>
        <v>0</v>
      </c>
      <c r="V718" s="45">
        <f>+T718*TARIFAS!$K$2</f>
        <v>0</v>
      </c>
      <c r="W718" s="45">
        <f t="shared" si="2"/>
        <v>0</v>
      </c>
      <c r="X718" s="45">
        <f t="shared" si="3"/>
        <v>0</v>
      </c>
      <c r="Y718" s="45">
        <f t="shared" si="4"/>
        <v>0</v>
      </c>
      <c r="Z718" s="42" t="str">
        <f>CONFERENCIAS!AB718</f>
        <v/>
      </c>
      <c r="AA718" s="42" t="str">
        <f>CONFERENCIAS!AC718</f>
        <v/>
      </c>
      <c r="AB718" s="47" t="str">
        <f t="shared" si="5"/>
        <v/>
      </c>
      <c r="AC718" s="9" t="str">
        <f t="shared" si="6"/>
        <v/>
      </c>
    </row>
    <row r="719">
      <c r="A719" s="42" t="str">
        <f>CONFERENCIAS!A719</f>
        <v/>
      </c>
      <c r="D719" s="42" t="str">
        <f>CONFERENCIAS!C719</f>
        <v/>
      </c>
      <c r="E719" s="42" t="str">
        <f>CONFERENCIAS!K719</f>
        <v/>
      </c>
      <c r="F719" s="49" t="str">
        <f>CONFERENCIAS!J719</f>
        <v/>
      </c>
      <c r="G719" s="42" t="str">
        <f>CONFERENCIAS!O719</f>
        <v/>
      </c>
      <c r="H719" s="42" t="str">
        <f>CONFERENCIAS!X719</f>
        <v/>
      </c>
      <c r="I719" s="42" t="str">
        <f>CONFERENCIAS!AA719</f>
        <v/>
      </c>
      <c r="J719" s="44" t="str">
        <f>CONFERENCIAS!P719</f>
        <v/>
      </c>
      <c r="K719" s="45" t="str">
        <f>CONFERENCIAS!R719</f>
        <v/>
      </c>
      <c r="L719" s="45">
        <f>IF(D719="",0,
 IF(E719=1,
   IF(H719="Presencial",
      VLOOKUP(D719,TARIFAS!A:K,3,FALSE) + IF(I719="Sí",VLOOKUP(D719,TARIFAS!A:K,5,FALSE),0),
      VLOOKUP(D719,TARIFAS!A:K,4,FALSE) + IF(I719="Sí",VLOOKUP(D719,TARIFAS!A:K,5,FALSE),0)
   ),
   IF(H719="Presencial",
      VLOOKUP(D719,TARIFAS!A:K,9,FALSE) + IF(I719="Sí",VLOOKUP(D719,TARIFAS!A:K,11,FALSE),0),
      VLOOKUP(D719,TARIFAS!A:K,10,FALSE) + IF(I719="Sí",VLOOKUP(D719,TARIFAS!A:K,11,FALSE),0)
   )
 )
)
</f>
        <v>0</v>
      </c>
      <c r="M719" s="45">
        <f>IF(J719="",0,MAX(0,J719 - TARIFAS!G$2) * TARIFAS!F$2)
</f>
        <v>0</v>
      </c>
      <c r="N719" s="45">
        <f>+L719*TARIFAS!$K$2</f>
        <v>0</v>
      </c>
      <c r="O719" s="45">
        <f t="shared" si="1"/>
        <v>0</v>
      </c>
      <c r="P719" s="45">
        <f>+M719+O719+K719+(+I719-(I719*TARIFAS!$K$2))</f>
        <v>0</v>
      </c>
      <c r="Q719" s="42" t="str">
        <f>CONFERENCIAS!T719</f>
        <v/>
      </c>
      <c r="R719" s="45" t="str">
        <f>CONFERENCIAS!U719</f>
        <v/>
      </c>
      <c r="S719" s="45" t="str">
        <f>CONFERENCIAS!W719</f>
        <v/>
      </c>
      <c r="T719" s="48">
        <f>IF(Q719="",0,
   IF(E719=1,
      IF(H719="Presencial",
         VLOOKUP(D719,TARIFAS!A:K,3,FALSE) + IF(I719="Sí",VLOOKUP(D719,TARIFAS!A:K,5,FALSE),0),
         VLOOKUP(D719,TARIFAS!A:K,4,FALSE) + IF(I719="Sí",VLOOKUP(D719,TARIFAS!A:K,5,FALSE),0)
      ),
      IF(H719="Presencial",
         VLOOKUP(D719,TARIFAS!A:K,9,FALSE) + IF(I719="Sí",VLOOKUP(D719,TARIFAS!A:K,11,FALSE),0),
         VLOOKUP(D719,TARIFAS!A:K,10,FALSE) + IF(I719="Sí",VLOOKUP(D719,TARIFAS!A:K,11,FALSE),0)
      )
   )
)
</f>
        <v>0</v>
      </c>
      <c r="U719" s="45">
        <f>IF(R719="",0,MAX(0,R719 - TARIFAS!G$2) * TARIFAS!F$2)
</f>
        <v>0</v>
      </c>
      <c r="V719" s="45">
        <f>+T719*TARIFAS!$K$2</f>
        <v>0</v>
      </c>
      <c r="W719" s="45">
        <f t="shared" si="2"/>
        <v>0</v>
      </c>
      <c r="X719" s="45">
        <f t="shared" si="3"/>
        <v>0</v>
      </c>
      <c r="Y719" s="45">
        <f t="shared" si="4"/>
        <v>0</v>
      </c>
      <c r="Z719" s="42" t="str">
        <f>CONFERENCIAS!AB719</f>
        <v/>
      </c>
      <c r="AA719" s="42" t="str">
        <f>CONFERENCIAS!AC719</f>
        <v/>
      </c>
      <c r="AB719" s="47" t="str">
        <f t="shared" si="5"/>
        <v/>
      </c>
      <c r="AC719" s="9" t="str">
        <f t="shared" si="6"/>
        <v/>
      </c>
    </row>
    <row r="720">
      <c r="A720" s="42" t="str">
        <f>CONFERENCIAS!A720</f>
        <v/>
      </c>
      <c r="D720" s="42" t="str">
        <f>CONFERENCIAS!C720</f>
        <v/>
      </c>
      <c r="E720" s="42" t="str">
        <f>CONFERENCIAS!K720</f>
        <v/>
      </c>
      <c r="F720" s="49" t="str">
        <f>CONFERENCIAS!J720</f>
        <v/>
      </c>
      <c r="G720" s="42" t="str">
        <f>CONFERENCIAS!O720</f>
        <v/>
      </c>
      <c r="H720" s="42" t="str">
        <f>CONFERENCIAS!X720</f>
        <v/>
      </c>
      <c r="I720" s="42" t="str">
        <f>CONFERENCIAS!AA720</f>
        <v/>
      </c>
      <c r="J720" s="44" t="str">
        <f>CONFERENCIAS!P720</f>
        <v/>
      </c>
      <c r="K720" s="45" t="str">
        <f>CONFERENCIAS!R720</f>
        <v/>
      </c>
      <c r="L720" s="45">
        <f>IF(D720="",0,
 IF(E720=1,
   IF(H720="Presencial",
      VLOOKUP(D720,TARIFAS!A:K,3,FALSE) + IF(I720="Sí",VLOOKUP(D720,TARIFAS!A:K,5,FALSE),0),
      VLOOKUP(D720,TARIFAS!A:K,4,FALSE) + IF(I720="Sí",VLOOKUP(D720,TARIFAS!A:K,5,FALSE),0)
   ),
   IF(H720="Presencial",
      VLOOKUP(D720,TARIFAS!A:K,9,FALSE) + IF(I720="Sí",VLOOKUP(D720,TARIFAS!A:K,11,FALSE),0),
      VLOOKUP(D720,TARIFAS!A:K,10,FALSE) + IF(I720="Sí",VLOOKUP(D720,TARIFAS!A:K,11,FALSE),0)
   )
 )
)
</f>
        <v>0</v>
      </c>
      <c r="M720" s="45">
        <f>IF(J720="",0,MAX(0,J720 - TARIFAS!G$2) * TARIFAS!F$2)
</f>
        <v>0</v>
      </c>
      <c r="N720" s="45">
        <f>+L720*TARIFAS!$K$2</f>
        <v>0</v>
      </c>
      <c r="O720" s="45">
        <f t="shared" si="1"/>
        <v>0</v>
      </c>
      <c r="P720" s="45">
        <f>+M720+O720+K720+(+I720-(I720*TARIFAS!$K$2))</f>
        <v>0</v>
      </c>
      <c r="Q720" s="42" t="str">
        <f>CONFERENCIAS!T720</f>
        <v/>
      </c>
      <c r="R720" s="45" t="str">
        <f>CONFERENCIAS!U720</f>
        <v/>
      </c>
      <c r="S720" s="45" t="str">
        <f>CONFERENCIAS!W720</f>
        <v/>
      </c>
      <c r="T720" s="48">
        <f>IF(Q720="",0,
   IF(E720=1,
      IF(H720="Presencial",
         VLOOKUP(D720,TARIFAS!A:K,3,FALSE) + IF(I720="Sí",VLOOKUP(D720,TARIFAS!A:K,5,FALSE),0),
         VLOOKUP(D720,TARIFAS!A:K,4,FALSE) + IF(I720="Sí",VLOOKUP(D720,TARIFAS!A:K,5,FALSE),0)
      ),
      IF(H720="Presencial",
         VLOOKUP(D720,TARIFAS!A:K,9,FALSE) + IF(I720="Sí",VLOOKUP(D720,TARIFAS!A:K,11,FALSE),0),
         VLOOKUP(D720,TARIFAS!A:K,10,FALSE) + IF(I720="Sí",VLOOKUP(D720,TARIFAS!A:K,11,FALSE),0)
      )
   )
)
</f>
        <v>0</v>
      </c>
      <c r="U720" s="45">
        <f>IF(R720="",0,MAX(0,R720 - TARIFAS!G$2) * TARIFAS!F$2)
</f>
        <v>0</v>
      </c>
      <c r="V720" s="45">
        <f>+T720*TARIFAS!$K$2</f>
        <v>0</v>
      </c>
      <c r="W720" s="45">
        <f t="shared" si="2"/>
        <v>0</v>
      </c>
      <c r="X720" s="45">
        <f t="shared" si="3"/>
        <v>0</v>
      </c>
      <c r="Y720" s="45">
        <f t="shared" si="4"/>
        <v>0</v>
      </c>
      <c r="Z720" s="42" t="str">
        <f>CONFERENCIAS!AB720</f>
        <v/>
      </c>
      <c r="AA720" s="42" t="str">
        <f>CONFERENCIAS!AC720</f>
        <v/>
      </c>
      <c r="AB720" s="47" t="str">
        <f t="shared" si="5"/>
        <v/>
      </c>
      <c r="AC720" s="9" t="str">
        <f t="shared" si="6"/>
        <v/>
      </c>
    </row>
    <row r="721">
      <c r="A721" s="42" t="str">
        <f>CONFERENCIAS!A721</f>
        <v/>
      </c>
      <c r="D721" s="42" t="str">
        <f>CONFERENCIAS!C721</f>
        <v/>
      </c>
      <c r="E721" s="42" t="str">
        <f>CONFERENCIAS!K721</f>
        <v/>
      </c>
      <c r="F721" s="49" t="str">
        <f>CONFERENCIAS!J721</f>
        <v/>
      </c>
      <c r="G721" s="42" t="str">
        <f>CONFERENCIAS!O721</f>
        <v/>
      </c>
      <c r="H721" s="42" t="str">
        <f>CONFERENCIAS!X721</f>
        <v/>
      </c>
      <c r="I721" s="42" t="str">
        <f>CONFERENCIAS!AA721</f>
        <v/>
      </c>
      <c r="J721" s="44" t="str">
        <f>CONFERENCIAS!P721</f>
        <v/>
      </c>
      <c r="K721" s="45" t="str">
        <f>CONFERENCIAS!R721</f>
        <v/>
      </c>
      <c r="L721" s="45">
        <f>IF(D721="",0,
 IF(E721=1,
   IF(H721="Presencial",
      VLOOKUP(D721,TARIFAS!A:K,3,FALSE) + IF(I721="Sí",VLOOKUP(D721,TARIFAS!A:K,5,FALSE),0),
      VLOOKUP(D721,TARIFAS!A:K,4,FALSE) + IF(I721="Sí",VLOOKUP(D721,TARIFAS!A:K,5,FALSE),0)
   ),
   IF(H721="Presencial",
      VLOOKUP(D721,TARIFAS!A:K,9,FALSE) + IF(I721="Sí",VLOOKUP(D721,TARIFAS!A:K,11,FALSE),0),
      VLOOKUP(D721,TARIFAS!A:K,10,FALSE) + IF(I721="Sí",VLOOKUP(D721,TARIFAS!A:K,11,FALSE),0)
   )
 )
)
</f>
        <v>0</v>
      </c>
      <c r="M721" s="45">
        <f>IF(J721="",0,MAX(0,J721 - TARIFAS!G$2) * TARIFAS!F$2)
</f>
        <v>0</v>
      </c>
      <c r="N721" s="45">
        <f>+L721*TARIFAS!$K$2</f>
        <v>0</v>
      </c>
      <c r="O721" s="45">
        <f t="shared" si="1"/>
        <v>0</v>
      </c>
      <c r="P721" s="45">
        <f>+M721+O721+K721+(+I721-(I721*TARIFAS!$K$2))</f>
        <v>0</v>
      </c>
      <c r="Q721" s="42" t="str">
        <f>CONFERENCIAS!T721</f>
        <v/>
      </c>
      <c r="R721" s="45" t="str">
        <f>CONFERENCIAS!U721</f>
        <v/>
      </c>
      <c r="S721" s="45" t="str">
        <f>CONFERENCIAS!W721</f>
        <v/>
      </c>
      <c r="T721" s="48">
        <f>IF(Q721="",0,
   IF(E721=1,
      IF(H721="Presencial",
         VLOOKUP(D721,TARIFAS!A:K,3,FALSE) + IF(I721="Sí",VLOOKUP(D721,TARIFAS!A:K,5,FALSE),0),
         VLOOKUP(D721,TARIFAS!A:K,4,FALSE) + IF(I721="Sí",VLOOKUP(D721,TARIFAS!A:K,5,FALSE),0)
      ),
      IF(H721="Presencial",
         VLOOKUP(D721,TARIFAS!A:K,9,FALSE) + IF(I721="Sí",VLOOKUP(D721,TARIFAS!A:K,11,FALSE),0),
         VLOOKUP(D721,TARIFAS!A:K,10,FALSE) + IF(I721="Sí",VLOOKUP(D721,TARIFAS!A:K,11,FALSE),0)
      )
   )
)
</f>
        <v>0</v>
      </c>
      <c r="U721" s="45">
        <f>IF(R721="",0,MAX(0,R721 - TARIFAS!G$2) * TARIFAS!F$2)
</f>
        <v>0</v>
      </c>
      <c r="V721" s="45">
        <f>+T721*TARIFAS!$K$2</f>
        <v>0</v>
      </c>
      <c r="W721" s="45">
        <f t="shared" si="2"/>
        <v>0</v>
      </c>
      <c r="X721" s="45">
        <f t="shared" si="3"/>
        <v>0</v>
      </c>
      <c r="Y721" s="45">
        <f t="shared" si="4"/>
        <v>0</v>
      </c>
      <c r="Z721" s="42" t="str">
        <f>CONFERENCIAS!AB721</f>
        <v/>
      </c>
      <c r="AA721" s="42" t="str">
        <f>CONFERENCIAS!AC721</f>
        <v/>
      </c>
      <c r="AB721" s="47" t="str">
        <f t="shared" si="5"/>
        <v/>
      </c>
      <c r="AC721" s="9" t="str">
        <f t="shared" si="6"/>
        <v/>
      </c>
    </row>
    <row r="722">
      <c r="A722" s="42" t="str">
        <f>CONFERENCIAS!A722</f>
        <v/>
      </c>
      <c r="D722" s="42" t="str">
        <f>CONFERENCIAS!C722</f>
        <v/>
      </c>
      <c r="E722" s="42" t="str">
        <f>CONFERENCIAS!K722</f>
        <v/>
      </c>
      <c r="F722" s="49" t="str">
        <f>CONFERENCIAS!J722</f>
        <v/>
      </c>
      <c r="G722" s="42" t="str">
        <f>CONFERENCIAS!O722</f>
        <v/>
      </c>
      <c r="H722" s="42" t="str">
        <f>CONFERENCIAS!X722</f>
        <v/>
      </c>
      <c r="I722" s="42" t="str">
        <f>CONFERENCIAS!AA722</f>
        <v/>
      </c>
      <c r="J722" s="44" t="str">
        <f>CONFERENCIAS!P722</f>
        <v/>
      </c>
      <c r="K722" s="45" t="str">
        <f>CONFERENCIAS!R722</f>
        <v/>
      </c>
      <c r="L722" s="45">
        <f>IF(D722="",0,
 IF(E722=1,
   IF(H722="Presencial",
      VLOOKUP(D722,TARIFAS!A:K,3,FALSE) + IF(I722="Sí",VLOOKUP(D722,TARIFAS!A:K,5,FALSE),0),
      VLOOKUP(D722,TARIFAS!A:K,4,FALSE) + IF(I722="Sí",VLOOKUP(D722,TARIFAS!A:K,5,FALSE),0)
   ),
   IF(H722="Presencial",
      VLOOKUP(D722,TARIFAS!A:K,9,FALSE) + IF(I722="Sí",VLOOKUP(D722,TARIFAS!A:K,11,FALSE),0),
      VLOOKUP(D722,TARIFAS!A:K,10,FALSE) + IF(I722="Sí",VLOOKUP(D722,TARIFAS!A:K,11,FALSE),0)
   )
 )
)
</f>
        <v>0</v>
      </c>
      <c r="M722" s="45">
        <f>IF(J722="",0,MAX(0,J722 - TARIFAS!G$2) * TARIFAS!F$2)
</f>
        <v>0</v>
      </c>
      <c r="N722" s="45">
        <f>+L722*TARIFAS!$K$2</f>
        <v>0</v>
      </c>
      <c r="O722" s="45">
        <f t="shared" si="1"/>
        <v>0</v>
      </c>
      <c r="P722" s="45">
        <f>+M722+O722+K722+(+I722-(I722*TARIFAS!$K$2))</f>
        <v>0</v>
      </c>
      <c r="Q722" s="42" t="str">
        <f>CONFERENCIAS!T722</f>
        <v/>
      </c>
      <c r="R722" s="45" t="str">
        <f>CONFERENCIAS!U722</f>
        <v/>
      </c>
      <c r="S722" s="45" t="str">
        <f>CONFERENCIAS!W722</f>
        <v/>
      </c>
      <c r="T722" s="48">
        <f>IF(Q722="",0,
   IF(E722=1,
      IF(H722="Presencial",
         VLOOKUP(D722,TARIFAS!A:K,3,FALSE) + IF(I722="Sí",VLOOKUP(D722,TARIFAS!A:K,5,FALSE),0),
         VLOOKUP(D722,TARIFAS!A:K,4,FALSE) + IF(I722="Sí",VLOOKUP(D722,TARIFAS!A:K,5,FALSE),0)
      ),
      IF(H722="Presencial",
         VLOOKUP(D722,TARIFAS!A:K,9,FALSE) + IF(I722="Sí",VLOOKUP(D722,TARIFAS!A:K,11,FALSE),0),
         VLOOKUP(D722,TARIFAS!A:K,10,FALSE) + IF(I722="Sí",VLOOKUP(D722,TARIFAS!A:K,11,FALSE),0)
      )
   )
)
</f>
        <v>0</v>
      </c>
      <c r="U722" s="45">
        <f>IF(R722="",0,MAX(0,R722 - TARIFAS!G$2) * TARIFAS!F$2)
</f>
        <v>0</v>
      </c>
      <c r="V722" s="45">
        <f>+T722*TARIFAS!$K$2</f>
        <v>0</v>
      </c>
      <c r="W722" s="45">
        <f t="shared" si="2"/>
        <v>0</v>
      </c>
      <c r="X722" s="45">
        <f t="shared" si="3"/>
        <v>0</v>
      </c>
      <c r="Y722" s="45">
        <f t="shared" si="4"/>
        <v>0</v>
      </c>
      <c r="Z722" s="42" t="str">
        <f>CONFERENCIAS!AB722</f>
        <v/>
      </c>
      <c r="AA722" s="42" t="str">
        <f>CONFERENCIAS!AC722</f>
        <v/>
      </c>
      <c r="AB722" s="47" t="str">
        <f t="shared" si="5"/>
        <v/>
      </c>
      <c r="AC722" s="9" t="str">
        <f t="shared" si="6"/>
        <v/>
      </c>
    </row>
    <row r="723">
      <c r="A723" s="42" t="str">
        <f>CONFERENCIAS!A723</f>
        <v/>
      </c>
      <c r="D723" s="42" t="str">
        <f>CONFERENCIAS!C723</f>
        <v/>
      </c>
      <c r="E723" s="42" t="str">
        <f>CONFERENCIAS!K723</f>
        <v/>
      </c>
      <c r="F723" s="49" t="str">
        <f>CONFERENCIAS!J723</f>
        <v/>
      </c>
      <c r="G723" s="42" t="str">
        <f>CONFERENCIAS!O723</f>
        <v/>
      </c>
      <c r="H723" s="42" t="str">
        <f>CONFERENCIAS!X723</f>
        <v/>
      </c>
      <c r="I723" s="42" t="str">
        <f>CONFERENCIAS!AA723</f>
        <v/>
      </c>
      <c r="J723" s="44" t="str">
        <f>CONFERENCIAS!P723</f>
        <v/>
      </c>
      <c r="K723" s="45" t="str">
        <f>CONFERENCIAS!R723</f>
        <v/>
      </c>
      <c r="L723" s="45">
        <f>IF(D723="",0,
 IF(E723=1,
   IF(H723="Presencial",
      VLOOKUP(D723,TARIFAS!A:K,3,FALSE) + IF(I723="Sí",VLOOKUP(D723,TARIFAS!A:K,5,FALSE),0),
      VLOOKUP(D723,TARIFAS!A:K,4,FALSE) + IF(I723="Sí",VLOOKUP(D723,TARIFAS!A:K,5,FALSE),0)
   ),
   IF(H723="Presencial",
      VLOOKUP(D723,TARIFAS!A:K,9,FALSE) + IF(I723="Sí",VLOOKUP(D723,TARIFAS!A:K,11,FALSE),0),
      VLOOKUP(D723,TARIFAS!A:K,10,FALSE) + IF(I723="Sí",VLOOKUP(D723,TARIFAS!A:K,11,FALSE),0)
   )
 )
)
</f>
        <v>0</v>
      </c>
      <c r="M723" s="45">
        <f>IF(J723="",0,MAX(0,J723 - TARIFAS!G$2) * TARIFAS!F$2)
</f>
        <v>0</v>
      </c>
      <c r="N723" s="45">
        <f>+L723*TARIFAS!$K$2</f>
        <v>0</v>
      </c>
      <c r="O723" s="45">
        <f t="shared" si="1"/>
        <v>0</v>
      </c>
      <c r="P723" s="45">
        <f>+M723+O723+K723+(+I723-(I723*TARIFAS!$K$2))</f>
        <v>0</v>
      </c>
      <c r="Q723" s="42" t="str">
        <f>CONFERENCIAS!T723</f>
        <v/>
      </c>
      <c r="R723" s="45" t="str">
        <f>CONFERENCIAS!U723</f>
        <v/>
      </c>
      <c r="S723" s="45" t="str">
        <f>CONFERENCIAS!W723</f>
        <v/>
      </c>
      <c r="T723" s="48">
        <f>IF(Q723="",0,
   IF(E723=1,
      IF(H723="Presencial",
         VLOOKUP(D723,TARIFAS!A:K,3,FALSE) + IF(I723="Sí",VLOOKUP(D723,TARIFAS!A:K,5,FALSE),0),
         VLOOKUP(D723,TARIFAS!A:K,4,FALSE) + IF(I723="Sí",VLOOKUP(D723,TARIFAS!A:K,5,FALSE),0)
      ),
      IF(H723="Presencial",
         VLOOKUP(D723,TARIFAS!A:K,9,FALSE) + IF(I723="Sí",VLOOKUP(D723,TARIFAS!A:K,11,FALSE),0),
         VLOOKUP(D723,TARIFAS!A:K,10,FALSE) + IF(I723="Sí",VLOOKUP(D723,TARIFAS!A:K,11,FALSE),0)
      )
   )
)
</f>
        <v>0</v>
      </c>
      <c r="U723" s="45">
        <f>IF(R723="",0,MAX(0,R723 - TARIFAS!G$2) * TARIFAS!F$2)
</f>
        <v>0</v>
      </c>
      <c r="V723" s="45">
        <f>+T723*TARIFAS!$K$2</f>
        <v>0</v>
      </c>
      <c r="W723" s="45">
        <f t="shared" si="2"/>
        <v>0</v>
      </c>
      <c r="X723" s="45">
        <f t="shared" si="3"/>
        <v>0</v>
      </c>
      <c r="Y723" s="45">
        <f t="shared" si="4"/>
        <v>0</v>
      </c>
      <c r="Z723" s="42" t="str">
        <f>CONFERENCIAS!AB723</f>
        <v/>
      </c>
      <c r="AA723" s="42" t="str">
        <f>CONFERENCIAS!AC723</f>
        <v/>
      </c>
      <c r="AB723" s="47" t="str">
        <f t="shared" si="5"/>
        <v/>
      </c>
      <c r="AC723" s="9" t="str">
        <f t="shared" si="6"/>
        <v/>
      </c>
    </row>
    <row r="724">
      <c r="A724" s="42" t="str">
        <f>CONFERENCIAS!A724</f>
        <v/>
      </c>
      <c r="D724" s="42" t="str">
        <f>CONFERENCIAS!C724</f>
        <v/>
      </c>
      <c r="E724" s="42" t="str">
        <f>CONFERENCIAS!K724</f>
        <v/>
      </c>
      <c r="F724" s="49" t="str">
        <f>CONFERENCIAS!J724</f>
        <v/>
      </c>
      <c r="G724" s="42" t="str">
        <f>CONFERENCIAS!O724</f>
        <v/>
      </c>
      <c r="H724" s="42" t="str">
        <f>CONFERENCIAS!X724</f>
        <v/>
      </c>
      <c r="I724" s="42" t="str">
        <f>CONFERENCIAS!AA724</f>
        <v/>
      </c>
      <c r="J724" s="44" t="str">
        <f>CONFERENCIAS!P724</f>
        <v/>
      </c>
      <c r="K724" s="45" t="str">
        <f>CONFERENCIAS!R724</f>
        <v/>
      </c>
      <c r="L724" s="45">
        <f>IF(D724="",0,
 IF(E724=1,
   IF(H724="Presencial",
      VLOOKUP(D724,TARIFAS!A:K,3,FALSE) + IF(I724="Sí",VLOOKUP(D724,TARIFAS!A:K,5,FALSE),0),
      VLOOKUP(D724,TARIFAS!A:K,4,FALSE) + IF(I724="Sí",VLOOKUP(D724,TARIFAS!A:K,5,FALSE),0)
   ),
   IF(H724="Presencial",
      VLOOKUP(D724,TARIFAS!A:K,9,FALSE) + IF(I724="Sí",VLOOKUP(D724,TARIFAS!A:K,11,FALSE),0),
      VLOOKUP(D724,TARIFAS!A:K,10,FALSE) + IF(I724="Sí",VLOOKUP(D724,TARIFAS!A:K,11,FALSE),0)
   )
 )
)
</f>
        <v>0</v>
      </c>
      <c r="M724" s="45">
        <f>IF(J724="",0,MAX(0,J724 - TARIFAS!G$2) * TARIFAS!F$2)
</f>
        <v>0</v>
      </c>
      <c r="N724" s="45">
        <f>+L724*TARIFAS!$K$2</f>
        <v>0</v>
      </c>
      <c r="O724" s="45">
        <f t="shared" si="1"/>
        <v>0</v>
      </c>
      <c r="P724" s="45">
        <f>+M724+O724+K724+(+I724-(I724*TARIFAS!$K$2))</f>
        <v>0</v>
      </c>
      <c r="Q724" s="42" t="str">
        <f>CONFERENCIAS!T724</f>
        <v/>
      </c>
      <c r="R724" s="45" t="str">
        <f>CONFERENCIAS!U724</f>
        <v/>
      </c>
      <c r="S724" s="45" t="str">
        <f>CONFERENCIAS!W724</f>
        <v/>
      </c>
      <c r="T724" s="48">
        <f>IF(Q724="",0,
   IF(E724=1,
      IF(H724="Presencial",
         VLOOKUP(D724,TARIFAS!A:K,3,FALSE) + IF(I724="Sí",VLOOKUP(D724,TARIFAS!A:K,5,FALSE),0),
         VLOOKUP(D724,TARIFAS!A:K,4,FALSE) + IF(I724="Sí",VLOOKUP(D724,TARIFAS!A:K,5,FALSE),0)
      ),
      IF(H724="Presencial",
         VLOOKUP(D724,TARIFAS!A:K,9,FALSE) + IF(I724="Sí",VLOOKUP(D724,TARIFAS!A:K,11,FALSE),0),
         VLOOKUP(D724,TARIFAS!A:K,10,FALSE) + IF(I724="Sí",VLOOKUP(D724,TARIFAS!A:K,11,FALSE),0)
      )
   )
)
</f>
        <v>0</v>
      </c>
      <c r="U724" s="45">
        <f>IF(R724="",0,MAX(0,R724 - TARIFAS!G$2) * TARIFAS!F$2)
</f>
        <v>0</v>
      </c>
      <c r="V724" s="45">
        <f>+T724*TARIFAS!$K$2</f>
        <v>0</v>
      </c>
      <c r="W724" s="45">
        <f t="shared" si="2"/>
        <v>0</v>
      </c>
      <c r="X724" s="45">
        <f t="shared" si="3"/>
        <v>0</v>
      </c>
      <c r="Y724" s="45">
        <f t="shared" si="4"/>
        <v>0</v>
      </c>
      <c r="Z724" s="42" t="str">
        <f>CONFERENCIAS!AB724</f>
        <v/>
      </c>
      <c r="AA724" s="42" t="str">
        <f>CONFERENCIAS!AC724</f>
        <v/>
      </c>
      <c r="AB724" s="47" t="str">
        <f t="shared" si="5"/>
        <v/>
      </c>
      <c r="AC724" s="9" t="str">
        <f t="shared" si="6"/>
        <v/>
      </c>
    </row>
    <row r="725">
      <c r="A725" s="42" t="str">
        <f>CONFERENCIAS!A725</f>
        <v/>
      </c>
      <c r="D725" s="42" t="str">
        <f>CONFERENCIAS!C725</f>
        <v/>
      </c>
      <c r="E725" s="42" t="str">
        <f>CONFERENCIAS!K725</f>
        <v/>
      </c>
      <c r="F725" s="49" t="str">
        <f>CONFERENCIAS!J725</f>
        <v/>
      </c>
      <c r="G725" s="42" t="str">
        <f>CONFERENCIAS!O725</f>
        <v/>
      </c>
      <c r="H725" s="42" t="str">
        <f>CONFERENCIAS!X725</f>
        <v/>
      </c>
      <c r="I725" s="42" t="str">
        <f>CONFERENCIAS!AA725</f>
        <v/>
      </c>
      <c r="J725" s="44" t="str">
        <f>CONFERENCIAS!P725</f>
        <v/>
      </c>
      <c r="K725" s="45" t="str">
        <f>CONFERENCIAS!R725</f>
        <v/>
      </c>
      <c r="L725" s="45">
        <f>IF(D725="",0,
 IF(E725=1,
   IF(H725="Presencial",
      VLOOKUP(D725,TARIFAS!A:K,3,FALSE) + IF(I725="Sí",VLOOKUP(D725,TARIFAS!A:K,5,FALSE),0),
      VLOOKUP(D725,TARIFAS!A:K,4,FALSE) + IF(I725="Sí",VLOOKUP(D725,TARIFAS!A:K,5,FALSE),0)
   ),
   IF(H725="Presencial",
      VLOOKUP(D725,TARIFAS!A:K,9,FALSE) + IF(I725="Sí",VLOOKUP(D725,TARIFAS!A:K,11,FALSE),0),
      VLOOKUP(D725,TARIFAS!A:K,10,FALSE) + IF(I725="Sí",VLOOKUP(D725,TARIFAS!A:K,11,FALSE),0)
   )
 )
)
</f>
        <v>0</v>
      </c>
      <c r="M725" s="45">
        <f>IF(J725="",0,MAX(0,J725 - TARIFAS!G$2) * TARIFAS!F$2)
</f>
        <v>0</v>
      </c>
      <c r="N725" s="45">
        <f>+L725*TARIFAS!$K$2</f>
        <v>0</v>
      </c>
      <c r="O725" s="45">
        <f t="shared" si="1"/>
        <v>0</v>
      </c>
      <c r="P725" s="45">
        <f>+M725+O725+K725+(+I725-(I725*TARIFAS!$K$2))</f>
        <v>0</v>
      </c>
      <c r="Q725" s="42" t="str">
        <f>CONFERENCIAS!T725</f>
        <v/>
      </c>
      <c r="R725" s="45" t="str">
        <f>CONFERENCIAS!U725</f>
        <v/>
      </c>
      <c r="S725" s="45" t="str">
        <f>CONFERENCIAS!W725</f>
        <v/>
      </c>
      <c r="T725" s="48">
        <f>IF(Q725="",0,
   IF(E725=1,
      IF(H725="Presencial",
         VLOOKUP(D725,TARIFAS!A:K,3,FALSE) + IF(I725="Sí",VLOOKUP(D725,TARIFAS!A:K,5,FALSE),0),
         VLOOKUP(D725,TARIFAS!A:K,4,FALSE) + IF(I725="Sí",VLOOKUP(D725,TARIFAS!A:K,5,FALSE),0)
      ),
      IF(H725="Presencial",
         VLOOKUP(D725,TARIFAS!A:K,9,FALSE) + IF(I725="Sí",VLOOKUP(D725,TARIFAS!A:K,11,FALSE),0),
         VLOOKUP(D725,TARIFAS!A:K,10,FALSE) + IF(I725="Sí",VLOOKUP(D725,TARIFAS!A:K,11,FALSE),0)
      )
   )
)
</f>
        <v>0</v>
      </c>
      <c r="U725" s="45">
        <f>IF(R725="",0,MAX(0,R725 - TARIFAS!G$2) * TARIFAS!F$2)
</f>
        <v>0</v>
      </c>
      <c r="V725" s="45">
        <f>+T725*TARIFAS!$K$2</f>
        <v>0</v>
      </c>
      <c r="W725" s="45">
        <f t="shared" si="2"/>
        <v>0</v>
      </c>
      <c r="X725" s="45">
        <f t="shared" si="3"/>
        <v>0</v>
      </c>
      <c r="Y725" s="45">
        <f t="shared" si="4"/>
        <v>0</v>
      </c>
      <c r="Z725" s="42" t="str">
        <f>CONFERENCIAS!AB725</f>
        <v/>
      </c>
      <c r="AA725" s="42" t="str">
        <f>CONFERENCIAS!AC725</f>
        <v/>
      </c>
      <c r="AB725" s="47" t="str">
        <f t="shared" si="5"/>
        <v/>
      </c>
      <c r="AC725" s="9" t="str">
        <f t="shared" si="6"/>
        <v/>
      </c>
    </row>
    <row r="726">
      <c r="A726" s="42" t="str">
        <f>CONFERENCIAS!A726</f>
        <v/>
      </c>
      <c r="D726" s="42" t="str">
        <f>CONFERENCIAS!C726</f>
        <v/>
      </c>
      <c r="E726" s="42" t="str">
        <f>CONFERENCIAS!K726</f>
        <v/>
      </c>
      <c r="F726" s="49" t="str">
        <f>CONFERENCIAS!J726</f>
        <v/>
      </c>
      <c r="G726" s="42" t="str">
        <f>CONFERENCIAS!O726</f>
        <v/>
      </c>
      <c r="H726" s="42" t="str">
        <f>CONFERENCIAS!X726</f>
        <v/>
      </c>
      <c r="I726" s="42" t="str">
        <f>CONFERENCIAS!AA726</f>
        <v/>
      </c>
      <c r="J726" s="44" t="str">
        <f>CONFERENCIAS!P726</f>
        <v/>
      </c>
      <c r="K726" s="45" t="str">
        <f>CONFERENCIAS!R726</f>
        <v/>
      </c>
      <c r="L726" s="45">
        <f>IF(D726="",0,
 IF(E726=1,
   IF(H726="Presencial",
      VLOOKUP(D726,TARIFAS!A:K,3,FALSE) + IF(I726="Sí",VLOOKUP(D726,TARIFAS!A:K,5,FALSE),0),
      VLOOKUP(D726,TARIFAS!A:K,4,FALSE) + IF(I726="Sí",VLOOKUP(D726,TARIFAS!A:K,5,FALSE),0)
   ),
   IF(H726="Presencial",
      VLOOKUP(D726,TARIFAS!A:K,9,FALSE) + IF(I726="Sí",VLOOKUP(D726,TARIFAS!A:K,11,FALSE),0),
      VLOOKUP(D726,TARIFAS!A:K,10,FALSE) + IF(I726="Sí",VLOOKUP(D726,TARIFAS!A:K,11,FALSE),0)
   )
 )
)
</f>
        <v>0</v>
      </c>
      <c r="M726" s="45">
        <f>IF(J726="",0,MAX(0,J726 - TARIFAS!G$2) * TARIFAS!F$2)
</f>
        <v>0</v>
      </c>
      <c r="N726" s="45">
        <f>+L726*TARIFAS!$K$2</f>
        <v>0</v>
      </c>
      <c r="O726" s="45">
        <f t="shared" si="1"/>
        <v>0</v>
      </c>
      <c r="P726" s="45">
        <f>+M726+O726+K726+(+I726-(I726*TARIFAS!$K$2))</f>
        <v>0</v>
      </c>
      <c r="Q726" s="42" t="str">
        <f>CONFERENCIAS!T726</f>
        <v/>
      </c>
      <c r="R726" s="45" t="str">
        <f>CONFERENCIAS!U726</f>
        <v/>
      </c>
      <c r="S726" s="45" t="str">
        <f>CONFERENCIAS!W726</f>
        <v/>
      </c>
      <c r="T726" s="48">
        <f>IF(Q726="",0,
   IF(E726=1,
      IF(H726="Presencial",
         VLOOKUP(D726,TARIFAS!A:K,3,FALSE) + IF(I726="Sí",VLOOKUP(D726,TARIFAS!A:K,5,FALSE),0),
         VLOOKUP(D726,TARIFAS!A:K,4,FALSE) + IF(I726="Sí",VLOOKUP(D726,TARIFAS!A:K,5,FALSE),0)
      ),
      IF(H726="Presencial",
         VLOOKUP(D726,TARIFAS!A:K,9,FALSE) + IF(I726="Sí",VLOOKUP(D726,TARIFAS!A:K,11,FALSE),0),
         VLOOKUP(D726,TARIFAS!A:K,10,FALSE) + IF(I726="Sí",VLOOKUP(D726,TARIFAS!A:K,11,FALSE),0)
      )
   )
)
</f>
        <v>0</v>
      </c>
      <c r="U726" s="45">
        <f>IF(R726="",0,MAX(0,R726 - TARIFAS!G$2) * TARIFAS!F$2)
</f>
        <v>0</v>
      </c>
      <c r="V726" s="45">
        <f>+T726*TARIFAS!$K$2</f>
        <v>0</v>
      </c>
      <c r="W726" s="45">
        <f t="shared" si="2"/>
        <v>0</v>
      </c>
      <c r="X726" s="45">
        <f t="shared" si="3"/>
        <v>0</v>
      </c>
      <c r="Y726" s="45">
        <f t="shared" si="4"/>
        <v>0</v>
      </c>
      <c r="Z726" s="42" t="str">
        <f>CONFERENCIAS!AB726</f>
        <v/>
      </c>
      <c r="AA726" s="42" t="str">
        <f>CONFERENCIAS!AC726</f>
        <v/>
      </c>
      <c r="AB726" s="47" t="str">
        <f t="shared" si="5"/>
        <v/>
      </c>
      <c r="AC726" s="9" t="str">
        <f t="shared" si="6"/>
        <v/>
      </c>
    </row>
    <row r="727">
      <c r="A727" s="42" t="str">
        <f>CONFERENCIAS!A727</f>
        <v/>
      </c>
      <c r="D727" s="42" t="str">
        <f>CONFERENCIAS!C727</f>
        <v/>
      </c>
      <c r="E727" s="42" t="str">
        <f>CONFERENCIAS!K727</f>
        <v/>
      </c>
      <c r="F727" s="49" t="str">
        <f>CONFERENCIAS!J727</f>
        <v/>
      </c>
      <c r="G727" s="42" t="str">
        <f>CONFERENCIAS!O727</f>
        <v/>
      </c>
      <c r="H727" s="42" t="str">
        <f>CONFERENCIAS!X727</f>
        <v/>
      </c>
      <c r="I727" s="42" t="str">
        <f>CONFERENCIAS!AA727</f>
        <v/>
      </c>
      <c r="J727" s="44" t="str">
        <f>CONFERENCIAS!P727</f>
        <v/>
      </c>
      <c r="K727" s="45" t="str">
        <f>CONFERENCIAS!R727</f>
        <v/>
      </c>
      <c r="L727" s="45">
        <f>IF(D727="",0,
 IF(E727=1,
   IF(H727="Presencial",
      VLOOKUP(D727,TARIFAS!A:K,3,FALSE) + IF(I727="Sí",VLOOKUP(D727,TARIFAS!A:K,5,FALSE),0),
      VLOOKUP(D727,TARIFAS!A:K,4,FALSE) + IF(I727="Sí",VLOOKUP(D727,TARIFAS!A:K,5,FALSE),0)
   ),
   IF(H727="Presencial",
      VLOOKUP(D727,TARIFAS!A:K,9,FALSE) + IF(I727="Sí",VLOOKUP(D727,TARIFAS!A:K,11,FALSE),0),
      VLOOKUP(D727,TARIFAS!A:K,10,FALSE) + IF(I727="Sí",VLOOKUP(D727,TARIFAS!A:K,11,FALSE),0)
   )
 )
)
</f>
        <v>0</v>
      </c>
      <c r="M727" s="45">
        <f>IF(J727="",0,MAX(0,J727 - TARIFAS!G$2) * TARIFAS!F$2)
</f>
        <v>0</v>
      </c>
      <c r="N727" s="45">
        <f>+L727*TARIFAS!$K$2</f>
        <v>0</v>
      </c>
      <c r="O727" s="45">
        <f t="shared" si="1"/>
        <v>0</v>
      </c>
      <c r="P727" s="45">
        <f>+M727+O727+K727+(+I727-(I727*TARIFAS!$K$2))</f>
        <v>0</v>
      </c>
      <c r="Q727" s="42" t="str">
        <f>CONFERENCIAS!T727</f>
        <v/>
      </c>
      <c r="R727" s="45" t="str">
        <f>CONFERENCIAS!U727</f>
        <v/>
      </c>
      <c r="S727" s="45" t="str">
        <f>CONFERENCIAS!W727</f>
        <v/>
      </c>
      <c r="T727" s="48">
        <f>IF(Q727="",0,
   IF(E727=1,
      IF(H727="Presencial",
         VLOOKUP(D727,TARIFAS!A:K,3,FALSE) + IF(I727="Sí",VLOOKUP(D727,TARIFAS!A:K,5,FALSE),0),
         VLOOKUP(D727,TARIFAS!A:K,4,FALSE) + IF(I727="Sí",VLOOKUP(D727,TARIFAS!A:K,5,FALSE),0)
      ),
      IF(H727="Presencial",
         VLOOKUP(D727,TARIFAS!A:K,9,FALSE) + IF(I727="Sí",VLOOKUP(D727,TARIFAS!A:K,11,FALSE),0),
         VLOOKUP(D727,TARIFAS!A:K,10,FALSE) + IF(I727="Sí",VLOOKUP(D727,TARIFAS!A:K,11,FALSE),0)
      )
   )
)
</f>
        <v>0</v>
      </c>
      <c r="U727" s="45">
        <f>IF(R727="",0,MAX(0,R727 - TARIFAS!G$2) * TARIFAS!F$2)
</f>
        <v>0</v>
      </c>
      <c r="V727" s="45">
        <f>+T727*TARIFAS!$K$2</f>
        <v>0</v>
      </c>
      <c r="W727" s="45">
        <f t="shared" si="2"/>
        <v>0</v>
      </c>
      <c r="X727" s="45">
        <f t="shared" si="3"/>
        <v>0</v>
      </c>
      <c r="Y727" s="45">
        <f t="shared" si="4"/>
        <v>0</v>
      </c>
      <c r="Z727" s="42" t="str">
        <f>CONFERENCIAS!AB727</f>
        <v/>
      </c>
      <c r="AA727" s="42" t="str">
        <f>CONFERENCIAS!AC727</f>
        <v/>
      </c>
      <c r="AB727" s="47" t="str">
        <f t="shared" si="5"/>
        <v/>
      </c>
      <c r="AC727" s="9" t="str">
        <f t="shared" si="6"/>
        <v/>
      </c>
    </row>
    <row r="728">
      <c r="A728" s="42" t="str">
        <f>CONFERENCIAS!A728</f>
        <v/>
      </c>
      <c r="D728" s="42" t="str">
        <f>CONFERENCIAS!C728</f>
        <v/>
      </c>
      <c r="E728" s="42" t="str">
        <f>CONFERENCIAS!K728</f>
        <v/>
      </c>
      <c r="F728" s="49" t="str">
        <f>CONFERENCIAS!J728</f>
        <v/>
      </c>
      <c r="G728" s="42" t="str">
        <f>CONFERENCIAS!O728</f>
        <v/>
      </c>
      <c r="H728" s="42" t="str">
        <f>CONFERENCIAS!X728</f>
        <v/>
      </c>
      <c r="I728" s="42" t="str">
        <f>CONFERENCIAS!AA728</f>
        <v/>
      </c>
      <c r="J728" s="44" t="str">
        <f>CONFERENCIAS!P728</f>
        <v/>
      </c>
      <c r="K728" s="45" t="str">
        <f>CONFERENCIAS!R728</f>
        <v/>
      </c>
      <c r="L728" s="45">
        <f>IF(D728="",0,
 IF(E728=1,
   IF(H728="Presencial",
      VLOOKUP(D728,TARIFAS!A:K,3,FALSE) + IF(I728="Sí",VLOOKUP(D728,TARIFAS!A:K,5,FALSE),0),
      VLOOKUP(D728,TARIFAS!A:K,4,FALSE) + IF(I728="Sí",VLOOKUP(D728,TARIFAS!A:K,5,FALSE),0)
   ),
   IF(H728="Presencial",
      VLOOKUP(D728,TARIFAS!A:K,9,FALSE) + IF(I728="Sí",VLOOKUP(D728,TARIFAS!A:K,11,FALSE),0),
      VLOOKUP(D728,TARIFAS!A:K,10,FALSE) + IF(I728="Sí",VLOOKUP(D728,TARIFAS!A:K,11,FALSE),0)
   )
 )
)
</f>
        <v>0</v>
      </c>
      <c r="M728" s="45">
        <f>IF(J728="",0,MAX(0,J728 - TARIFAS!G$2) * TARIFAS!F$2)
</f>
        <v>0</v>
      </c>
      <c r="N728" s="45">
        <f>+L728*TARIFAS!$K$2</f>
        <v>0</v>
      </c>
      <c r="O728" s="45">
        <f t="shared" si="1"/>
        <v>0</v>
      </c>
      <c r="P728" s="45">
        <f>+M728+O728+K728+(+I728-(I728*TARIFAS!$K$2))</f>
        <v>0</v>
      </c>
      <c r="Q728" s="42" t="str">
        <f>CONFERENCIAS!T728</f>
        <v/>
      </c>
      <c r="R728" s="45" t="str">
        <f>CONFERENCIAS!U728</f>
        <v/>
      </c>
      <c r="S728" s="45" t="str">
        <f>CONFERENCIAS!W728</f>
        <v/>
      </c>
      <c r="T728" s="48">
        <f>IF(Q728="",0,
   IF(E728=1,
      IF(H728="Presencial",
         VLOOKUP(D728,TARIFAS!A:K,3,FALSE) + IF(I728="Sí",VLOOKUP(D728,TARIFAS!A:K,5,FALSE),0),
         VLOOKUP(D728,TARIFAS!A:K,4,FALSE) + IF(I728="Sí",VLOOKUP(D728,TARIFAS!A:K,5,FALSE),0)
      ),
      IF(H728="Presencial",
         VLOOKUP(D728,TARIFAS!A:K,9,FALSE) + IF(I728="Sí",VLOOKUP(D728,TARIFAS!A:K,11,FALSE),0),
         VLOOKUP(D728,TARIFAS!A:K,10,FALSE) + IF(I728="Sí",VLOOKUP(D728,TARIFAS!A:K,11,FALSE),0)
      )
   )
)
</f>
        <v>0</v>
      </c>
      <c r="U728" s="45">
        <f>IF(R728="",0,MAX(0,R728 - TARIFAS!G$2) * TARIFAS!F$2)
</f>
        <v>0</v>
      </c>
      <c r="V728" s="45">
        <f>+T728*TARIFAS!$K$2</f>
        <v>0</v>
      </c>
      <c r="W728" s="45">
        <f t="shared" si="2"/>
        <v>0</v>
      </c>
      <c r="X728" s="45">
        <f t="shared" si="3"/>
        <v>0</v>
      </c>
      <c r="Y728" s="45">
        <f t="shared" si="4"/>
        <v>0</v>
      </c>
      <c r="Z728" s="42" t="str">
        <f>CONFERENCIAS!AB728</f>
        <v/>
      </c>
      <c r="AA728" s="42" t="str">
        <f>CONFERENCIAS!AC728</f>
        <v/>
      </c>
      <c r="AB728" s="47" t="str">
        <f t="shared" si="5"/>
        <v/>
      </c>
      <c r="AC728" s="9" t="str">
        <f t="shared" si="6"/>
        <v/>
      </c>
    </row>
    <row r="729">
      <c r="A729" s="42" t="str">
        <f>CONFERENCIAS!A729</f>
        <v/>
      </c>
      <c r="D729" s="42" t="str">
        <f>CONFERENCIAS!C729</f>
        <v/>
      </c>
      <c r="E729" s="42" t="str">
        <f>CONFERENCIAS!K729</f>
        <v/>
      </c>
      <c r="F729" s="49" t="str">
        <f>CONFERENCIAS!J729</f>
        <v/>
      </c>
      <c r="G729" s="42" t="str">
        <f>CONFERENCIAS!O729</f>
        <v/>
      </c>
      <c r="H729" s="42" t="str">
        <f>CONFERENCIAS!X729</f>
        <v/>
      </c>
      <c r="I729" s="42" t="str">
        <f>CONFERENCIAS!AA729</f>
        <v/>
      </c>
      <c r="J729" s="44" t="str">
        <f>CONFERENCIAS!P729</f>
        <v/>
      </c>
      <c r="K729" s="45" t="str">
        <f>CONFERENCIAS!R729</f>
        <v/>
      </c>
      <c r="L729" s="45">
        <f>IF(D729="",0,
 IF(E729=1,
   IF(H729="Presencial",
      VLOOKUP(D729,TARIFAS!A:K,3,FALSE) + IF(I729="Sí",VLOOKUP(D729,TARIFAS!A:K,5,FALSE),0),
      VLOOKUP(D729,TARIFAS!A:K,4,FALSE) + IF(I729="Sí",VLOOKUP(D729,TARIFAS!A:K,5,FALSE),0)
   ),
   IF(H729="Presencial",
      VLOOKUP(D729,TARIFAS!A:K,9,FALSE) + IF(I729="Sí",VLOOKUP(D729,TARIFAS!A:K,11,FALSE),0),
      VLOOKUP(D729,TARIFAS!A:K,10,FALSE) + IF(I729="Sí",VLOOKUP(D729,TARIFAS!A:K,11,FALSE),0)
   )
 )
)
</f>
        <v>0</v>
      </c>
      <c r="M729" s="45">
        <f>IF(J729="",0,MAX(0,J729 - TARIFAS!G$2) * TARIFAS!F$2)
</f>
        <v>0</v>
      </c>
      <c r="N729" s="45">
        <f>+L729*TARIFAS!$K$2</f>
        <v>0</v>
      </c>
      <c r="O729" s="45">
        <f t="shared" si="1"/>
        <v>0</v>
      </c>
      <c r="P729" s="45">
        <f>+M729+O729+K729+(+I729-(I729*TARIFAS!$K$2))</f>
        <v>0</v>
      </c>
      <c r="Q729" s="42" t="str">
        <f>CONFERENCIAS!T729</f>
        <v/>
      </c>
      <c r="R729" s="45" t="str">
        <f>CONFERENCIAS!U729</f>
        <v/>
      </c>
      <c r="S729" s="45" t="str">
        <f>CONFERENCIAS!W729</f>
        <v/>
      </c>
      <c r="T729" s="48">
        <f>IF(Q729="",0,
   IF(E729=1,
      IF(H729="Presencial",
         VLOOKUP(D729,TARIFAS!A:K,3,FALSE) + IF(I729="Sí",VLOOKUP(D729,TARIFAS!A:K,5,FALSE),0),
         VLOOKUP(D729,TARIFAS!A:K,4,FALSE) + IF(I729="Sí",VLOOKUP(D729,TARIFAS!A:K,5,FALSE),0)
      ),
      IF(H729="Presencial",
         VLOOKUP(D729,TARIFAS!A:K,9,FALSE) + IF(I729="Sí",VLOOKUP(D729,TARIFAS!A:K,11,FALSE),0),
         VLOOKUP(D729,TARIFAS!A:K,10,FALSE) + IF(I729="Sí",VLOOKUP(D729,TARIFAS!A:K,11,FALSE),0)
      )
   )
)
</f>
        <v>0</v>
      </c>
      <c r="U729" s="45">
        <f>IF(R729="",0,MAX(0,R729 - TARIFAS!G$2) * TARIFAS!F$2)
</f>
        <v>0</v>
      </c>
      <c r="V729" s="45">
        <f>+T729*TARIFAS!$K$2</f>
        <v>0</v>
      </c>
      <c r="W729" s="45">
        <f t="shared" si="2"/>
        <v>0</v>
      </c>
      <c r="X729" s="45">
        <f t="shared" si="3"/>
        <v>0</v>
      </c>
      <c r="Y729" s="45">
        <f t="shared" si="4"/>
        <v>0</v>
      </c>
      <c r="Z729" s="42" t="str">
        <f>CONFERENCIAS!AB729</f>
        <v/>
      </c>
      <c r="AA729" s="42" t="str">
        <f>CONFERENCIAS!AC729</f>
        <v/>
      </c>
      <c r="AB729" s="47" t="str">
        <f t="shared" si="5"/>
        <v/>
      </c>
      <c r="AC729" s="9" t="str">
        <f t="shared" si="6"/>
        <v/>
      </c>
    </row>
    <row r="730">
      <c r="A730" s="42" t="str">
        <f>CONFERENCIAS!A730</f>
        <v/>
      </c>
      <c r="D730" s="42" t="str">
        <f>CONFERENCIAS!C730</f>
        <v/>
      </c>
      <c r="E730" s="42" t="str">
        <f>CONFERENCIAS!K730</f>
        <v/>
      </c>
      <c r="F730" s="49" t="str">
        <f>CONFERENCIAS!J730</f>
        <v/>
      </c>
      <c r="G730" s="42" t="str">
        <f>CONFERENCIAS!O730</f>
        <v/>
      </c>
      <c r="H730" s="42" t="str">
        <f>CONFERENCIAS!X730</f>
        <v/>
      </c>
      <c r="I730" s="42" t="str">
        <f>CONFERENCIAS!AA730</f>
        <v/>
      </c>
      <c r="J730" s="44" t="str">
        <f>CONFERENCIAS!P730</f>
        <v/>
      </c>
      <c r="K730" s="45" t="str">
        <f>CONFERENCIAS!R730</f>
        <v/>
      </c>
      <c r="L730" s="45">
        <f>IF(D730="",0,
 IF(E730=1,
   IF(H730="Presencial",
      VLOOKUP(D730,TARIFAS!A:K,3,FALSE) + IF(I730="Sí",VLOOKUP(D730,TARIFAS!A:K,5,FALSE),0),
      VLOOKUP(D730,TARIFAS!A:K,4,FALSE) + IF(I730="Sí",VLOOKUP(D730,TARIFAS!A:K,5,FALSE),0)
   ),
   IF(H730="Presencial",
      VLOOKUP(D730,TARIFAS!A:K,9,FALSE) + IF(I730="Sí",VLOOKUP(D730,TARIFAS!A:K,11,FALSE),0),
      VLOOKUP(D730,TARIFAS!A:K,10,FALSE) + IF(I730="Sí",VLOOKUP(D730,TARIFAS!A:K,11,FALSE),0)
   )
 )
)
</f>
        <v>0</v>
      </c>
      <c r="M730" s="45">
        <f>IF(J730="",0,MAX(0,J730 - TARIFAS!G$2) * TARIFAS!F$2)
</f>
        <v>0</v>
      </c>
      <c r="N730" s="45">
        <f>+L730*TARIFAS!$K$2</f>
        <v>0</v>
      </c>
      <c r="O730" s="45">
        <f t="shared" si="1"/>
        <v>0</v>
      </c>
      <c r="P730" s="45">
        <f>+M730+O730+K730+(+I730-(I730*TARIFAS!$K$2))</f>
        <v>0</v>
      </c>
      <c r="Q730" s="42" t="str">
        <f>CONFERENCIAS!T730</f>
        <v/>
      </c>
      <c r="R730" s="45" t="str">
        <f>CONFERENCIAS!U730</f>
        <v/>
      </c>
      <c r="S730" s="45" t="str">
        <f>CONFERENCIAS!W730</f>
        <v/>
      </c>
      <c r="T730" s="48">
        <f>IF(Q730="",0,
   IF(E730=1,
      IF(H730="Presencial",
         VLOOKUP(D730,TARIFAS!A:K,3,FALSE) + IF(I730="Sí",VLOOKUP(D730,TARIFAS!A:K,5,FALSE),0),
         VLOOKUP(D730,TARIFAS!A:K,4,FALSE) + IF(I730="Sí",VLOOKUP(D730,TARIFAS!A:K,5,FALSE),0)
      ),
      IF(H730="Presencial",
         VLOOKUP(D730,TARIFAS!A:K,9,FALSE) + IF(I730="Sí",VLOOKUP(D730,TARIFAS!A:K,11,FALSE),0),
         VLOOKUP(D730,TARIFAS!A:K,10,FALSE) + IF(I730="Sí",VLOOKUP(D730,TARIFAS!A:K,11,FALSE),0)
      )
   )
)
</f>
        <v>0</v>
      </c>
      <c r="U730" s="45">
        <f>IF(R730="",0,MAX(0,R730 - TARIFAS!G$2) * TARIFAS!F$2)
</f>
        <v>0</v>
      </c>
      <c r="V730" s="45">
        <f>+T730*TARIFAS!$K$2</f>
        <v>0</v>
      </c>
      <c r="W730" s="45">
        <f t="shared" si="2"/>
        <v>0</v>
      </c>
      <c r="X730" s="45">
        <f t="shared" si="3"/>
        <v>0</v>
      </c>
      <c r="Y730" s="45">
        <f t="shared" si="4"/>
        <v>0</v>
      </c>
      <c r="Z730" s="42" t="str">
        <f>CONFERENCIAS!AB730</f>
        <v/>
      </c>
      <c r="AA730" s="42" t="str">
        <f>CONFERENCIAS!AC730</f>
        <v/>
      </c>
      <c r="AB730" s="47" t="str">
        <f t="shared" si="5"/>
        <v/>
      </c>
      <c r="AC730" s="9" t="str">
        <f t="shared" si="6"/>
        <v/>
      </c>
    </row>
    <row r="731">
      <c r="A731" s="42" t="str">
        <f>CONFERENCIAS!A731</f>
        <v/>
      </c>
      <c r="D731" s="42" t="str">
        <f>CONFERENCIAS!C731</f>
        <v/>
      </c>
      <c r="E731" s="42" t="str">
        <f>CONFERENCIAS!K731</f>
        <v/>
      </c>
      <c r="F731" s="49" t="str">
        <f>CONFERENCIAS!J731</f>
        <v/>
      </c>
      <c r="G731" s="42" t="str">
        <f>CONFERENCIAS!O731</f>
        <v/>
      </c>
      <c r="H731" s="42" t="str">
        <f>CONFERENCIAS!X731</f>
        <v/>
      </c>
      <c r="I731" s="42" t="str">
        <f>CONFERENCIAS!AA731</f>
        <v/>
      </c>
      <c r="J731" s="44" t="str">
        <f>CONFERENCIAS!P731</f>
        <v/>
      </c>
      <c r="K731" s="45" t="str">
        <f>CONFERENCIAS!R731</f>
        <v/>
      </c>
      <c r="L731" s="45">
        <f>IF(D731="",0,
 IF(E731=1,
   IF(H731="Presencial",
      VLOOKUP(D731,TARIFAS!A:K,3,FALSE) + IF(I731="Sí",VLOOKUP(D731,TARIFAS!A:K,5,FALSE),0),
      VLOOKUP(D731,TARIFAS!A:K,4,FALSE) + IF(I731="Sí",VLOOKUP(D731,TARIFAS!A:K,5,FALSE),0)
   ),
   IF(H731="Presencial",
      VLOOKUP(D731,TARIFAS!A:K,9,FALSE) + IF(I731="Sí",VLOOKUP(D731,TARIFAS!A:K,11,FALSE),0),
      VLOOKUP(D731,TARIFAS!A:K,10,FALSE) + IF(I731="Sí",VLOOKUP(D731,TARIFAS!A:K,11,FALSE),0)
   )
 )
)
</f>
        <v>0</v>
      </c>
      <c r="M731" s="45">
        <f>IF(J731="",0,MAX(0,J731 - TARIFAS!G$2) * TARIFAS!F$2)
</f>
        <v>0</v>
      </c>
      <c r="N731" s="45">
        <f>+L731*TARIFAS!$K$2</f>
        <v>0</v>
      </c>
      <c r="O731" s="45">
        <f t="shared" si="1"/>
        <v>0</v>
      </c>
      <c r="P731" s="45">
        <f>+M731+O731+K731+(+I731-(I731*TARIFAS!$K$2))</f>
        <v>0</v>
      </c>
      <c r="Q731" s="42" t="str">
        <f>CONFERENCIAS!T731</f>
        <v/>
      </c>
      <c r="R731" s="45" t="str">
        <f>CONFERENCIAS!U731</f>
        <v/>
      </c>
      <c r="S731" s="45" t="str">
        <f>CONFERENCIAS!W731</f>
        <v/>
      </c>
      <c r="T731" s="48">
        <f>IF(Q731="",0,
   IF(E731=1,
      IF(H731="Presencial",
         VLOOKUP(D731,TARIFAS!A:K,3,FALSE) + IF(I731="Sí",VLOOKUP(D731,TARIFAS!A:K,5,FALSE),0),
         VLOOKUP(D731,TARIFAS!A:K,4,FALSE) + IF(I731="Sí",VLOOKUP(D731,TARIFAS!A:K,5,FALSE),0)
      ),
      IF(H731="Presencial",
         VLOOKUP(D731,TARIFAS!A:K,9,FALSE) + IF(I731="Sí",VLOOKUP(D731,TARIFAS!A:K,11,FALSE),0),
         VLOOKUP(D731,TARIFAS!A:K,10,FALSE) + IF(I731="Sí",VLOOKUP(D731,TARIFAS!A:K,11,FALSE),0)
      )
   )
)
</f>
        <v>0</v>
      </c>
      <c r="U731" s="45">
        <f>IF(R731="",0,MAX(0,R731 - TARIFAS!G$2) * TARIFAS!F$2)
</f>
        <v>0</v>
      </c>
      <c r="V731" s="45">
        <f>+T731*TARIFAS!$K$2</f>
        <v>0</v>
      </c>
      <c r="W731" s="45">
        <f t="shared" si="2"/>
        <v>0</v>
      </c>
      <c r="X731" s="45">
        <f t="shared" si="3"/>
        <v>0</v>
      </c>
      <c r="Y731" s="45">
        <f t="shared" si="4"/>
        <v>0</v>
      </c>
      <c r="Z731" s="42" t="str">
        <f>CONFERENCIAS!AB731</f>
        <v/>
      </c>
      <c r="AA731" s="42" t="str">
        <f>CONFERENCIAS!AC731</f>
        <v/>
      </c>
      <c r="AB731" s="47" t="str">
        <f t="shared" si="5"/>
        <v/>
      </c>
      <c r="AC731" s="9" t="str">
        <f t="shared" si="6"/>
        <v/>
      </c>
    </row>
    <row r="732">
      <c r="A732" s="42" t="str">
        <f>CONFERENCIAS!A732</f>
        <v/>
      </c>
      <c r="D732" s="42" t="str">
        <f>CONFERENCIAS!C732</f>
        <v/>
      </c>
      <c r="E732" s="42" t="str">
        <f>CONFERENCIAS!K732</f>
        <v/>
      </c>
      <c r="F732" s="49" t="str">
        <f>CONFERENCIAS!J732</f>
        <v/>
      </c>
      <c r="G732" s="42" t="str">
        <f>CONFERENCIAS!O732</f>
        <v/>
      </c>
      <c r="H732" s="42" t="str">
        <f>CONFERENCIAS!X732</f>
        <v/>
      </c>
      <c r="I732" s="42" t="str">
        <f>CONFERENCIAS!AA732</f>
        <v/>
      </c>
      <c r="J732" s="44" t="str">
        <f>CONFERENCIAS!P732</f>
        <v/>
      </c>
      <c r="K732" s="45" t="str">
        <f>CONFERENCIAS!R732</f>
        <v/>
      </c>
      <c r="L732" s="45">
        <f>IF(D732="",0,
 IF(E732=1,
   IF(H732="Presencial",
      VLOOKUP(D732,TARIFAS!A:K,3,FALSE) + IF(I732="Sí",VLOOKUP(D732,TARIFAS!A:K,5,FALSE),0),
      VLOOKUP(D732,TARIFAS!A:K,4,FALSE) + IF(I732="Sí",VLOOKUP(D732,TARIFAS!A:K,5,FALSE),0)
   ),
   IF(H732="Presencial",
      VLOOKUP(D732,TARIFAS!A:K,9,FALSE) + IF(I732="Sí",VLOOKUP(D732,TARIFAS!A:K,11,FALSE),0),
      VLOOKUP(D732,TARIFAS!A:K,10,FALSE) + IF(I732="Sí",VLOOKUP(D732,TARIFAS!A:K,11,FALSE),0)
   )
 )
)
</f>
        <v>0</v>
      </c>
      <c r="M732" s="45">
        <f>IF(J732="",0,MAX(0,J732 - TARIFAS!G$2) * TARIFAS!F$2)
</f>
        <v>0</v>
      </c>
      <c r="N732" s="45">
        <f>+L732*TARIFAS!$K$2</f>
        <v>0</v>
      </c>
      <c r="O732" s="45">
        <f t="shared" si="1"/>
        <v>0</v>
      </c>
      <c r="P732" s="45">
        <f>+M732+O732+K732+(+I732-(I732*TARIFAS!$K$2))</f>
        <v>0</v>
      </c>
      <c r="Q732" s="42" t="str">
        <f>CONFERENCIAS!T732</f>
        <v/>
      </c>
      <c r="R732" s="45" t="str">
        <f>CONFERENCIAS!U732</f>
        <v/>
      </c>
      <c r="S732" s="45" t="str">
        <f>CONFERENCIAS!W732</f>
        <v/>
      </c>
      <c r="T732" s="48">
        <f>IF(Q732="",0,
   IF(E732=1,
      IF(H732="Presencial",
         VLOOKUP(D732,TARIFAS!A:K,3,FALSE) + IF(I732="Sí",VLOOKUP(D732,TARIFAS!A:K,5,FALSE),0),
         VLOOKUP(D732,TARIFAS!A:K,4,FALSE) + IF(I732="Sí",VLOOKUP(D732,TARIFAS!A:K,5,FALSE),0)
      ),
      IF(H732="Presencial",
         VLOOKUP(D732,TARIFAS!A:K,9,FALSE) + IF(I732="Sí",VLOOKUP(D732,TARIFAS!A:K,11,FALSE),0),
         VLOOKUP(D732,TARIFAS!A:K,10,FALSE) + IF(I732="Sí",VLOOKUP(D732,TARIFAS!A:K,11,FALSE),0)
      )
   )
)
</f>
        <v>0</v>
      </c>
      <c r="U732" s="45">
        <f>IF(R732="",0,MAX(0,R732 - TARIFAS!G$2) * TARIFAS!F$2)
</f>
        <v>0</v>
      </c>
      <c r="V732" s="45">
        <f>+T732*TARIFAS!$K$2</f>
        <v>0</v>
      </c>
      <c r="W732" s="45">
        <f t="shared" si="2"/>
        <v>0</v>
      </c>
      <c r="X732" s="45">
        <f t="shared" si="3"/>
        <v>0</v>
      </c>
      <c r="Y732" s="45">
        <f t="shared" si="4"/>
        <v>0</v>
      </c>
      <c r="Z732" s="42" t="str">
        <f>CONFERENCIAS!AB732</f>
        <v/>
      </c>
      <c r="AA732" s="42" t="str">
        <f>CONFERENCIAS!AC732</f>
        <v/>
      </c>
      <c r="AB732" s="47" t="str">
        <f t="shared" si="5"/>
        <v/>
      </c>
      <c r="AC732" s="9" t="str">
        <f t="shared" si="6"/>
        <v/>
      </c>
    </row>
    <row r="733">
      <c r="A733" s="42" t="str">
        <f>CONFERENCIAS!A733</f>
        <v/>
      </c>
      <c r="D733" s="42" t="str">
        <f>CONFERENCIAS!C733</f>
        <v/>
      </c>
      <c r="E733" s="42" t="str">
        <f>CONFERENCIAS!K733</f>
        <v/>
      </c>
      <c r="F733" s="49" t="str">
        <f>CONFERENCIAS!J733</f>
        <v/>
      </c>
      <c r="G733" s="42" t="str">
        <f>CONFERENCIAS!O733</f>
        <v/>
      </c>
      <c r="H733" s="42" t="str">
        <f>CONFERENCIAS!X733</f>
        <v/>
      </c>
      <c r="I733" s="42" t="str">
        <f>CONFERENCIAS!AA733</f>
        <v/>
      </c>
      <c r="J733" s="44" t="str">
        <f>CONFERENCIAS!P733</f>
        <v/>
      </c>
      <c r="K733" s="45" t="str">
        <f>CONFERENCIAS!R733</f>
        <v/>
      </c>
      <c r="L733" s="45">
        <f>IF(D733="",0,
 IF(E733=1,
   IF(H733="Presencial",
      VLOOKUP(D733,TARIFAS!A:K,3,FALSE) + IF(I733="Sí",VLOOKUP(D733,TARIFAS!A:K,5,FALSE),0),
      VLOOKUP(D733,TARIFAS!A:K,4,FALSE) + IF(I733="Sí",VLOOKUP(D733,TARIFAS!A:K,5,FALSE),0)
   ),
   IF(H733="Presencial",
      VLOOKUP(D733,TARIFAS!A:K,9,FALSE) + IF(I733="Sí",VLOOKUP(D733,TARIFAS!A:K,11,FALSE),0),
      VLOOKUP(D733,TARIFAS!A:K,10,FALSE) + IF(I733="Sí",VLOOKUP(D733,TARIFAS!A:K,11,FALSE),0)
   )
 )
)
</f>
        <v>0</v>
      </c>
      <c r="M733" s="45">
        <f>IF(J733="",0,MAX(0,J733 - TARIFAS!G$2) * TARIFAS!F$2)
</f>
        <v>0</v>
      </c>
      <c r="N733" s="45">
        <f>+L733*TARIFAS!$K$2</f>
        <v>0</v>
      </c>
      <c r="O733" s="45">
        <f t="shared" si="1"/>
        <v>0</v>
      </c>
      <c r="P733" s="45">
        <f>+M733+O733+K733+(+I733-(I733*TARIFAS!$K$2))</f>
        <v>0</v>
      </c>
      <c r="Q733" s="42" t="str">
        <f>CONFERENCIAS!T733</f>
        <v/>
      </c>
      <c r="R733" s="45" t="str">
        <f>CONFERENCIAS!U733</f>
        <v/>
      </c>
      <c r="S733" s="45" t="str">
        <f>CONFERENCIAS!W733</f>
        <v/>
      </c>
      <c r="T733" s="48">
        <f>IF(Q733="",0,
   IF(E733=1,
      IF(H733="Presencial",
         VLOOKUP(D733,TARIFAS!A:K,3,FALSE) + IF(I733="Sí",VLOOKUP(D733,TARIFAS!A:K,5,FALSE),0),
         VLOOKUP(D733,TARIFAS!A:K,4,FALSE) + IF(I733="Sí",VLOOKUP(D733,TARIFAS!A:K,5,FALSE),0)
      ),
      IF(H733="Presencial",
         VLOOKUP(D733,TARIFAS!A:K,9,FALSE) + IF(I733="Sí",VLOOKUP(D733,TARIFAS!A:K,11,FALSE),0),
         VLOOKUP(D733,TARIFAS!A:K,10,FALSE) + IF(I733="Sí",VLOOKUP(D733,TARIFAS!A:K,11,FALSE),0)
      )
   )
)
</f>
        <v>0</v>
      </c>
      <c r="U733" s="45">
        <f>IF(R733="",0,MAX(0,R733 - TARIFAS!G$2) * TARIFAS!F$2)
</f>
        <v>0</v>
      </c>
      <c r="V733" s="45">
        <f>+T733*TARIFAS!$K$2</f>
        <v>0</v>
      </c>
      <c r="W733" s="45">
        <f t="shared" si="2"/>
        <v>0</v>
      </c>
      <c r="X733" s="45">
        <f t="shared" si="3"/>
        <v>0</v>
      </c>
      <c r="Y733" s="45">
        <f t="shared" si="4"/>
        <v>0</v>
      </c>
      <c r="Z733" s="42" t="str">
        <f>CONFERENCIAS!AB733</f>
        <v/>
      </c>
      <c r="AA733" s="42" t="str">
        <f>CONFERENCIAS!AC733</f>
        <v/>
      </c>
      <c r="AB733" s="47" t="str">
        <f t="shared" si="5"/>
        <v/>
      </c>
      <c r="AC733" s="9" t="str">
        <f t="shared" si="6"/>
        <v/>
      </c>
    </row>
    <row r="734">
      <c r="A734" s="42" t="str">
        <f>CONFERENCIAS!A734</f>
        <v/>
      </c>
      <c r="D734" s="42" t="str">
        <f>CONFERENCIAS!C734</f>
        <v/>
      </c>
      <c r="E734" s="42" t="str">
        <f>CONFERENCIAS!K734</f>
        <v/>
      </c>
      <c r="F734" s="49" t="str">
        <f>CONFERENCIAS!J734</f>
        <v/>
      </c>
      <c r="G734" s="42" t="str">
        <f>CONFERENCIAS!O734</f>
        <v/>
      </c>
      <c r="H734" s="42" t="str">
        <f>CONFERENCIAS!X734</f>
        <v/>
      </c>
      <c r="I734" s="42" t="str">
        <f>CONFERENCIAS!AA734</f>
        <v/>
      </c>
      <c r="J734" s="44" t="str">
        <f>CONFERENCIAS!P734</f>
        <v/>
      </c>
      <c r="K734" s="45" t="str">
        <f>CONFERENCIAS!R734</f>
        <v/>
      </c>
      <c r="L734" s="45">
        <f>IF(D734="",0,
 IF(E734=1,
   IF(H734="Presencial",
      VLOOKUP(D734,TARIFAS!A:K,3,FALSE) + IF(I734="Sí",VLOOKUP(D734,TARIFAS!A:K,5,FALSE),0),
      VLOOKUP(D734,TARIFAS!A:K,4,FALSE) + IF(I734="Sí",VLOOKUP(D734,TARIFAS!A:K,5,FALSE),0)
   ),
   IF(H734="Presencial",
      VLOOKUP(D734,TARIFAS!A:K,9,FALSE) + IF(I734="Sí",VLOOKUP(D734,TARIFAS!A:K,11,FALSE),0),
      VLOOKUP(D734,TARIFAS!A:K,10,FALSE) + IF(I734="Sí",VLOOKUP(D734,TARIFAS!A:K,11,FALSE),0)
   )
 )
)
</f>
        <v>0</v>
      </c>
      <c r="M734" s="45">
        <f>IF(J734="",0,MAX(0,J734 - TARIFAS!G$2) * TARIFAS!F$2)
</f>
        <v>0</v>
      </c>
      <c r="N734" s="45">
        <f>+L734*TARIFAS!$K$2</f>
        <v>0</v>
      </c>
      <c r="O734" s="45">
        <f t="shared" si="1"/>
        <v>0</v>
      </c>
      <c r="P734" s="45">
        <f>+M734+O734+K734+(+I734-(I734*TARIFAS!$K$2))</f>
        <v>0</v>
      </c>
      <c r="Q734" s="42" t="str">
        <f>CONFERENCIAS!T734</f>
        <v/>
      </c>
      <c r="R734" s="45" t="str">
        <f>CONFERENCIAS!U734</f>
        <v/>
      </c>
      <c r="S734" s="45" t="str">
        <f>CONFERENCIAS!W734</f>
        <v/>
      </c>
      <c r="T734" s="48">
        <f>IF(Q734="",0,
   IF(E734=1,
      IF(H734="Presencial",
         VLOOKUP(D734,TARIFAS!A:K,3,FALSE) + IF(I734="Sí",VLOOKUP(D734,TARIFAS!A:K,5,FALSE),0),
         VLOOKUP(D734,TARIFAS!A:K,4,FALSE) + IF(I734="Sí",VLOOKUP(D734,TARIFAS!A:K,5,FALSE),0)
      ),
      IF(H734="Presencial",
         VLOOKUP(D734,TARIFAS!A:K,9,FALSE) + IF(I734="Sí",VLOOKUP(D734,TARIFAS!A:K,11,FALSE),0),
         VLOOKUP(D734,TARIFAS!A:K,10,FALSE) + IF(I734="Sí",VLOOKUP(D734,TARIFAS!A:K,11,FALSE),0)
      )
   )
)
</f>
        <v>0</v>
      </c>
      <c r="U734" s="45">
        <f>IF(R734="",0,MAX(0,R734 - TARIFAS!G$2) * TARIFAS!F$2)
</f>
        <v>0</v>
      </c>
      <c r="V734" s="45">
        <f>+T734*TARIFAS!$K$2</f>
        <v>0</v>
      </c>
      <c r="W734" s="45">
        <f t="shared" si="2"/>
        <v>0</v>
      </c>
      <c r="X734" s="45">
        <f t="shared" si="3"/>
        <v>0</v>
      </c>
      <c r="Y734" s="45">
        <f t="shared" si="4"/>
        <v>0</v>
      </c>
      <c r="Z734" s="42" t="str">
        <f>CONFERENCIAS!AB734</f>
        <v/>
      </c>
      <c r="AA734" s="42" t="str">
        <f>CONFERENCIAS!AC734</f>
        <v/>
      </c>
      <c r="AB734" s="47" t="str">
        <f t="shared" si="5"/>
        <v/>
      </c>
      <c r="AC734" s="9" t="str">
        <f t="shared" si="6"/>
        <v/>
      </c>
    </row>
    <row r="735">
      <c r="A735" s="42" t="str">
        <f>CONFERENCIAS!A735</f>
        <v/>
      </c>
      <c r="D735" s="42" t="str">
        <f>CONFERENCIAS!C735</f>
        <v/>
      </c>
      <c r="E735" s="42" t="str">
        <f>CONFERENCIAS!K735</f>
        <v/>
      </c>
      <c r="F735" s="49" t="str">
        <f>CONFERENCIAS!J735</f>
        <v/>
      </c>
      <c r="G735" s="42" t="str">
        <f>CONFERENCIAS!O735</f>
        <v/>
      </c>
      <c r="H735" s="42" t="str">
        <f>CONFERENCIAS!X735</f>
        <v/>
      </c>
      <c r="I735" s="42" t="str">
        <f>CONFERENCIAS!AA735</f>
        <v/>
      </c>
      <c r="J735" s="44" t="str">
        <f>CONFERENCIAS!P735</f>
        <v/>
      </c>
      <c r="K735" s="45" t="str">
        <f>CONFERENCIAS!R735</f>
        <v/>
      </c>
      <c r="L735" s="45">
        <f>IF(D735="",0,
 IF(E735=1,
   IF(H735="Presencial",
      VLOOKUP(D735,TARIFAS!A:K,3,FALSE) + IF(I735="Sí",VLOOKUP(D735,TARIFAS!A:K,5,FALSE),0),
      VLOOKUP(D735,TARIFAS!A:K,4,FALSE) + IF(I735="Sí",VLOOKUP(D735,TARIFAS!A:K,5,FALSE),0)
   ),
   IF(H735="Presencial",
      VLOOKUP(D735,TARIFAS!A:K,9,FALSE) + IF(I735="Sí",VLOOKUP(D735,TARIFAS!A:K,11,FALSE),0),
      VLOOKUP(D735,TARIFAS!A:K,10,FALSE) + IF(I735="Sí",VLOOKUP(D735,TARIFAS!A:K,11,FALSE),0)
   )
 )
)
</f>
        <v>0</v>
      </c>
      <c r="M735" s="45">
        <f>IF(J735="",0,MAX(0,J735 - TARIFAS!G$2) * TARIFAS!F$2)
</f>
        <v>0</v>
      </c>
      <c r="N735" s="45">
        <f>+L735*TARIFAS!$K$2</f>
        <v>0</v>
      </c>
      <c r="O735" s="45">
        <f t="shared" si="1"/>
        <v>0</v>
      </c>
      <c r="P735" s="45">
        <f>+M735+O735+K735+(+I735-(I735*TARIFAS!$K$2))</f>
        <v>0</v>
      </c>
      <c r="Q735" s="42" t="str">
        <f>CONFERENCIAS!T735</f>
        <v/>
      </c>
      <c r="R735" s="45" t="str">
        <f>CONFERENCIAS!U735</f>
        <v/>
      </c>
      <c r="S735" s="45" t="str">
        <f>CONFERENCIAS!W735</f>
        <v/>
      </c>
      <c r="T735" s="48">
        <f>IF(Q735="",0,
   IF(E735=1,
      IF(H735="Presencial",
         VLOOKUP(D735,TARIFAS!A:K,3,FALSE) + IF(I735="Sí",VLOOKUP(D735,TARIFAS!A:K,5,FALSE),0),
         VLOOKUP(D735,TARIFAS!A:K,4,FALSE) + IF(I735="Sí",VLOOKUP(D735,TARIFAS!A:K,5,FALSE),0)
      ),
      IF(H735="Presencial",
         VLOOKUP(D735,TARIFAS!A:K,9,FALSE) + IF(I735="Sí",VLOOKUP(D735,TARIFAS!A:K,11,FALSE),0),
         VLOOKUP(D735,TARIFAS!A:K,10,FALSE) + IF(I735="Sí",VLOOKUP(D735,TARIFAS!A:K,11,FALSE),0)
      )
   )
)
</f>
        <v>0</v>
      </c>
      <c r="U735" s="45">
        <f>IF(R735="",0,MAX(0,R735 - TARIFAS!G$2) * TARIFAS!F$2)
</f>
        <v>0</v>
      </c>
      <c r="V735" s="45">
        <f>+T735*TARIFAS!$K$2</f>
        <v>0</v>
      </c>
      <c r="W735" s="45">
        <f t="shared" si="2"/>
        <v>0</v>
      </c>
      <c r="X735" s="45">
        <f t="shared" si="3"/>
        <v>0</v>
      </c>
      <c r="Y735" s="45">
        <f t="shared" si="4"/>
        <v>0</v>
      </c>
      <c r="Z735" s="42" t="str">
        <f>CONFERENCIAS!AB735</f>
        <v/>
      </c>
      <c r="AA735" s="42" t="str">
        <f>CONFERENCIAS!AC735</f>
        <v/>
      </c>
      <c r="AB735" s="47" t="str">
        <f t="shared" si="5"/>
        <v/>
      </c>
      <c r="AC735" s="9" t="str">
        <f t="shared" si="6"/>
        <v/>
      </c>
    </row>
    <row r="736">
      <c r="A736" s="42" t="str">
        <f>CONFERENCIAS!A736</f>
        <v/>
      </c>
      <c r="D736" s="42" t="str">
        <f>CONFERENCIAS!C736</f>
        <v/>
      </c>
      <c r="E736" s="42" t="str">
        <f>CONFERENCIAS!K736</f>
        <v/>
      </c>
      <c r="F736" s="49" t="str">
        <f>CONFERENCIAS!J736</f>
        <v/>
      </c>
      <c r="G736" s="42" t="str">
        <f>CONFERENCIAS!O736</f>
        <v/>
      </c>
      <c r="H736" s="42" t="str">
        <f>CONFERENCIAS!X736</f>
        <v/>
      </c>
      <c r="I736" s="42" t="str">
        <f>CONFERENCIAS!AA736</f>
        <v/>
      </c>
      <c r="J736" s="44" t="str">
        <f>CONFERENCIAS!P736</f>
        <v/>
      </c>
      <c r="K736" s="45" t="str">
        <f>CONFERENCIAS!R736</f>
        <v/>
      </c>
      <c r="L736" s="45">
        <f>IF(D736="",0,
 IF(E736=1,
   IF(H736="Presencial",
      VLOOKUP(D736,TARIFAS!A:K,3,FALSE) + IF(I736="Sí",VLOOKUP(D736,TARIFAS!A:K,5,FALSE),0),
      VLOOKUP(D736,TARIFAS!A:K,4,FALSE) + IF(I736="Sí",VLOOKUP(D736,TARIFAS!A:K,5,FALSE),0)
   ),
   IF(H736="Presencial",
      VLOOKUP(D736,TARIFAS!A:K,9,FALSE) + IF(I736="Sí",VLOOKUP(D736,TARIFAS!A:K,11,FALSE),0),
      VLOOKUP(D736,TARIFAS!A:K,10,FALSE) + IF(I736="Sí",VLOOKUP(D736,TARIFAS!A:K,11,FALSE),0)
   )
 )
)
</f>
        <v>0</v>
      </c>
      <c r="M736" s="45">
        <f>IF(J736="",0,MAX(0,J736 - TARIFAS!G$2) * TARIFAS!F$2)
</f>
        <v>0</v>
      </c>
      <c r="N736" s="45">
        <f>+L736*TARIFAS!$K$2</f>
        <v>0</v>
      </c>
      <c r="O736" s="45">
        <f t="shared" si="1"/>
        <v>0</v>
      </c>
      <c r="P736" s="45">
        <f>+M736+O736+K736+(+I736-(I736*TARIFAS!$K$2))</f>
        <v>0</v>
      </c>
      <c r="Q736" s="42" t="str">
        <f>CONFERENCIAS!T736</f>
        <v/>
      </c>
      <c r="R736" s="45" t="str">
        <f>CONFERENCIAS!U736</f>
        <v/>
      </c>
      <c r="S736" s="45" t="str">
        <f>CONFERENCIAS!W736</f>
        <v/>
      </c>
      <c r="T736" s="48">
        <f>IF(Q736="",0,
   IF(E736=1,
      IF(H736="Presencial",
         VLOOKUP(D736,TARIFAS!A:K,3,FALSE) + IF(I736="Sí",VLOOKUP(D736,TARIFAS!A:K,5,FALSE),0),
         VLOOKUP(D736,TARIFAS!A:K,4,FALSE) + IF(I736="Sí",VLOOKUP(D736,TARIFAS!A:K,5,FALSE),0)
      ),
      IF(H736="Presencial",
         VLOOKUP(D736,TARIFAS!A:K,9,FALSE) + IF(I736="Sí",VLOOKUP(D736,TARIFAS!A:K,11,FALSE),0),
         VLOOKUP(D736,TARIFAS!A:K,10,FALSE) + IF(I736="Sí",VLOOKUP(D736,TARIFAS!A:K,11,FALSE),0)
      )
   )
)
</f>
        <v>0</v>
      </c>
      <c r="U736" s="45">
        <f>IF(R736="",0,MAX(0,R736 - TARIFAS!G$2) * TARIFAS!F$2)
</f>
        <v>0</v>
      </c>
      <c r="V736" s="45">
        <f>+T736*TARIFAS!$K$2</f>
        <v>0</v>
      </c>
      <c r="W736" s="45">
        <f t="shared" si="2"/>
        <v>0</v>
      </c>
      <c r="X736" s="45">
        <f t="shared" si="3"/>
        <v>0</v>
      </c>
      <c r="Y736" s="45">
        <f t="shared" si="4"/>
        <v>0</v>
      </c>
      <c r="Z736" s="42" t="str">
        <f>CONFERENCIAS!AB736</f>
        <v/>
      </c>
      <c r="AA736" s="42" t="str">
        <f>CONFERENCIAS!AC736</f>
        <v/>
      </c>
      <c r="AB736" s="47" t="str">
        <f t="shared" si="5"/>
        <v/>
      </c>
      <c r="AC736" s="9" t="str">
        <f t="shared" si="6"/>
        <v/>
      </c>
    </row>
    <row r="737">
      <c r="A737" s="42" t="str">
        <f>CONFERENCIAS!A737</f>
        <v/>
      </c>
      <c r="D737" s="42" t="str">
        <f>CONFERENCIAS!C737</f>
        <v/>
      </c>
      <c r="E737" s="42" t="str">
        <f>CONFERENCIAS!K737</f>
        <v/>
      </c>
      <c r="F737" s="49" t="str">
        <f>CONFERENCIAS!J737</f>
        <v/>
      </c>
      <c r="G737" s="42" t="str">
        <f>CONFERENCIAS!O737</f>
        <v/>
      </c>
      <c r="H737" s="42" t="str">
        <f>CONFERENCIAS!X737</f>
        <v/>
      </c>
      <c r="I737" s="42" t="str">
        <f>CONFERENCIAS!AA737</f>
        <v/>
      </c>
      <c r="J737" s="44" t="str">
        <f>CONFERENCIAS!P737</f>
        <v/>
      </c>
      <c r="K737" s="45" t="str">
        <f>CONFERENCIAS!R737</f>
        <v/>
      </c>
      <c r="L737" s="45">
        <f>IF(D737="",0,
 IF(E737=1,
   IF(H737="Presencial",
      VLOOKUP(D737,TARIFAS!A:K,3,FALSE) + IF(I737="Sí",VLOOKUP(D737,TARIFAS!A:K,5,FALSE),0),
      VLOOKUP(D737,TARIFAS!A:K,4,FALSE) + IF(I737="Sí",VLOOKUP(D737,TARIFAS!A:K,5,FALSE),0)
   ),
   IF(H737="Presencial",
      VLOOKUP(D737,TARIFAS!A:K,9,FALSE) + IF(I737="Sí",VLOOKUP(D737,TARIFAS!A:K,11,FALSE),0),
      VLOOKUP(D737,TARIFAS!A:K,10,FALSE) + IF(I737="Sí",VLOOKUP(D737,TARIFAS!A:K,11,FALSE),0)
   )
 )
)
</f>
        <v>0</v>
      </c>
      <c r="M737" s="45">
        <f>IF(J737="",0,MAX(0,J737 - TARIFAS!G$2) * TARIFAS!F$2)
</f>
        <v>0</v>
      </c>
      <c r="N737" s="45">
        <f>+L737*TARIFAS!$K$2</f>
        <v>0</v>
      </c>
      <c r="O737" s="45">
        <f t="shared" si="1"/>
        <v>0</v>
      </c>
      <c r="P737" s="45">
        <f>+M737+O737+K737+(+I737-(I737*TARIFAS!$K$2))</f>
        <v>0</v>
      </c>
      <c r="Q737" s="42" t="str">
        <f>CONFERENCIAS!T737</f>
        <v/>
      </c>
      <c r="R737" s="45" t="str">
        <f>CONFERENCIAS!U737</f>
        <v/>
      </c>
      <c r="S737" s="45" t="str">
        <f>CONFERENCIAS!W737</f>
        <v/>
      </c>
      <c r="T737" s="48">
        <f>IF(Q737="",0,
   IF(E737=1,
      IF(H737="Presencial",
         VLOOKUP(D737,TARIFAS!A:K,3,FALSE) + IF(I737="Sí",VLOOKUP(D737,TARIFAS!A:K,5,FALSE),0),
         VLOOKUP(D737,TARIFAS!A:K,4,FALSE) + IF(I737="Sí",VLOOKUP(D737,TARIFAS!A:K,5,FALSE),0)
      ),
      IF(H737="Presencial",
         VLOOKUP(D737,TARIFAS!A:K,9,FALSE) + IF(I737="Sí",VLOOKUP(D737,TARIFAS!A:K,11,FALSE),0),
         VLOOKUP(D737,TARIFAS!A:K,10,FALSE) + IF(I737="Sí",VLOOKUP(D737,TARIFAS!A:K,11,FALSE),0)
      )
   )
)
</f>
        <v>0</v>
      </c>
      <c r="U737" s="45">
        <f>IF(R737="",0,MAX(0,R737 - TARIFAS!G$2) * TARIFAS!F$2)
</f>
        <v>0</v>
      </c>
      <c r="V737" s="45">
        <f>+T737*TARIFAS!$K$2</f>
        <v>0</v>
      </c>
      <c r="W737" s="45">
        <f t="shared" si="2"/>
        <v>0</v>
      </c>
      <c r="X737" s="45">
        <f t="shared" si="3"/>
        <v>0</v>
      </c>
      <c r="Y737" s="45">
        <f t="shared" si="4"/>
        <v>0</v>
      </c>
      <c r="Z737" s="42" t="str">
        <f>CONFERENCIAS!AB737</f>
        <v/>
      </c>
      <c r="AA737" s="42" t="str">
        <f>CONFERENCIAS!AC737</f>
        <v/>
      </c>
      <c r="AB737" s="47" t="str">
        <f t="shared" si="5"/>
        <v/>
      </c>
      <c r="AC737" s="9" t="str">
        <f t="shared" si="6"/>
        <v/>
      </c>
    </row>
    <row r="738">
      <c r="A738" s="42" t="str">
        <f>CONFERENCIAS!A738</f>
        <v/>
      </c>
      <c r="D738" s="42" t="str">
        <f>CONFERENCIAS!C738</f>
        <v/>
      </c>
      <c r="E738" s="42" t="str">
        <f>CONFERENCIAS!K738</f>
        <v/>
      </c>
      <c r="F738" s="49" t="str">
        <f>CONFERENCIAS!J738</f>
        <v/>
      </c>
      <c r="G738" s="42" t="str">
        <f>CONFERENCIAS!O738</f>
        <v/>
      </c>
      <c r="H738" s="42" t="str">
        <f>CONFERENCIAS!X738</f>
        <v/>
      </c>
      <c r="I738" s="42" t="str">
        <f>CONFERENCIAS!AA738</f>
        <v/>
      </c>
      <c r="J738" s="44" t="str">
        <f>CONFERENCIAS!P738</f>
        <v/>
      </c>
      <c r="K738" s="45" t="str">
        <f>CONFERENCIAS!R738</f>
        <v/>
      </c>
      <c r="L738" s="45">
        <f>IF(D738="",0,
 IF(E738=1,
   IF(H738="Presencial",
      VLOOKUP(D738,TARIFAS!A:K,3,FALSE) + IF(I738="Sí",VLOOKUP(D738,TARIFAS!A:K,5,FALSE),0),
      VLOOKUP(D738,TARIFAS!A:K,4,FALSE) + IF(I738="Sí",VLOOKUP(D738,TARIFAS!A:K,5,FALSE),0)
   ),
   IF(H738="Presencial",
      VLOOKUP(D738,TARIFAS!A:K,9,FALSE) + IF(I738="Sí",VLOOKUP(D738,TARIFAS!A:K,11,FALSE),0),
      VLOOKUP(D738,TARIFAS!A:K,10,FALSE) + IF(I738="Sí",VLOOKUP(D738,TARIFAS!A:K,11,FALSE),0)
   )
 )
)
</f>
        <v>0</v>
      </c>
      <c r="M738" s="45">
        <f>IF(J738="",0,MAX(0,J738 - TARIFAS!G$2) * TARIFAS!F$2)
</f>
        <v>0</v>
      </c>
      <c r="N738" s="45">
        <f>+L738*TARIFAS!$K$2</f>
        <v>0</v>
      </c>
      <c r="O738" s="45">
        <f t="shared" si="1"/>
        <v>0</v>
      </c>
      <c r="P738" s="45">
        <f>+M738+O738+K738+(+I738-(I738*TARIFAS!$K$2))</f>
        <v>0</v>
      </c>
      <c r="Q738" s="42" t="str">
        <f>CONFERENCIAS!T738</f>
        <v/>
      </c>
      <c r="R738" s="45" t="str">
        <f>CONFERENCIAS!U738</f>
        <v/>
      </c>
      <c r="S738" s="45" t="str">
        <f>CONFERENCIAS!W738</f>
        <v/>
      </c>
      <c r="T738" s="48">
        <f>IF(Q738="",0,
   IF(E738=1,
      IF(H738="Presencial",
         VLOOKUP(D738,TARIFAS!A:K,3,FALSE) + IF(I738="Sí",VLOOKUP(D738,TARIFAS!A:K,5,FALSE),0),
         VLOOKUP(D738,TARIFAS!A:K,4,FALSE) + IF(I738="Sí",VLOOKUP(D738,TARIFAS!A:K,5,FALSE),0)
      ),
      IF(H738="Presencial",
         VLOOKUP(D738,TARIFAS!A:K,9,FALSE) + IF(I738="Sí",VLOOKUP(D738,TARIFAS!A:K,11,FALSE),0),
         VLOOKUP(D738,TARIFAS!A:K,10,FALSE) + IF(I738="Sí",VLOOKUP(D738,TARIFAS!A:K,11,FALSE),0)
      )
   )
)
</f>
        <v>0</v>
      </c>
      <c r="U738" s="45">
        <f>IF(R738="",0,MAX(0,R738 - TARIFAS!G$2) * TARIFAS!F$2)
</f>
        <v>0</v>
      </c>
      <c r="V738" s="45">
        <f>+T738*TARIFAS!$K$2</f>
        <v>0</v>
      </c>
      <c r="W738" s="45">
        <f t="shared" si="2"/>
        <v>0</v>
      </c>
      <c r="X738" s="45">
        <f t="shared" si="3"/>
        <v>0</v>
      </c>
      <c r="Y738" s="45">
        <f t="shared" si="4"/>
        <v>0</v>
      </c>
      <c r="Z738" s="42" t="str">
        <f>CONFERENCIAS!AB738</f>
        <v/>
      </c>
      <c r="AA738" s="42" t="str">
        <f>CONFERENCIAS!AC738</f>
        <v/>
      </c>
      <c r="AB738" s="47" t="str">
        <f t="shared" si="5"/>
        <v/>
      </c>
      <c r="AC738" s="9" t="str">
        <f t="shared" si="6"/>
        <v/>
      </c>
    </row>
    <row r="739">
      <c r="A739" s="42" t="str">
        <f>CONFERENCIAS!A739</f>
        <v/>
      </c>
      <c r="D739" s="42" t="str">
        <f>CONFERENCIAS!C739</f>
        <v/>
      </c>
      <c r="E739" s="42" t="str">
        <f>CONFERENCIAS!K739</f>
        <v/>
      </c>
      <c r="F739" s="49" t="str">
        <f>CONFERENCIAS!J739</f>
        <v/>
      </c>
      <c r="G739" s="42" t="str">
        <f>CONFERENCIAS!O739</f>
        <v/>
      </c>
      <c r="H739" s="42" t="str">
        <f>CONFERENCIAS!X739</f>
        <v/>
      </c>
      <c r="I739" s="42" t="str">
        <f>CONFERENCIAS!AA739</f>
        <v/>
      </c>
      <c r="J739" s="44" t="str">
        <f>CONFERENCIAS!P739</f>
        <v/>
      </c>
      <c r="K739" s="45" t="str">
        <f>CONFERENCIAS!R739</f>
        <v/>
      </c>
      <c r="L739" s="45">
        <f>IF(D739="",0,
 IF(E739=1,
   IF(H739="Presencial",
      VLOOKUP(D739,TARIFAS!A:K,3,FALSE) + IF(I739="Sí",VLOOKUP(D739,TARIFAS!A:K,5,FALSE),0),
      VLOOKUP(D739,TARIFAS!A:K,4,FALSE) + IF(I739="Sí",VLOOKUP(D739,TARIFAS!A:K,5,FALSE),0)
   ),
   IF(H739="Presencial",
      VLOOKUP(D739,TARIFAS!A:K,9,FALSE) + IF(I739="Sí",VLOOKUP(D739,TARIFAS!A:K,11,FALSE),0),
      VLOOKUP(D739,TARIFAS!A:K,10,FALSE) + IF(I739="Sí",VLOOKUP(D739,TARIFAS!A:K,11,FALSE),0)
   )
 )
)
</f>
        <v>0</v>
      </c>
      <c r="M739" s="45">
        <f>IF(J739="",0,MAX(0,J739 - TARIFAS!G$2) * TARIFAS!F$2)
</f>
        <v>0</v>
      </c>
      <c r="N739" s="45">
        <f>+L739*TARIFAS!$K$2</f>
        <v>0</v>
      </c>
      <c r="O739" s="45">
        <f t="shared" si="1"/>
        <v>0</v>
      </c>
      <c r="P739" s="45">
        <f>+M739+O739+K739+(+I739-(I739*TARIFAS!$K$2))</f>
        <v>0</v>
      </c>
      <c r="Q739" s="42" t="str">
        <f>CONFERENCIAS!T739</f>
        <v/>
      </c>
      <c r="R739" s="45" t="str">
        <f>CONFERENCIAS!U739</f>
        <v/>
      </c>
      <c r="S739" s="45" t="str">
        <f>CONFERENCIAS!W739</f>
        <v/>
      </c>
      <c r="T739" s="48">
        <f>IF(Q739="",0,
   IF(E739=1,
      IF(H739="Presencial",
         VLOOKUP(D739,TARIFAS!A:K,3,FALSE) + IF(I739="Sí",VLOOKUP(D739,TARIFAS!A:K,5,FALSE),0),
         VLOOKUP(D739,TARIFAS!A:K,4,FALSE) + IF(I739="Sí",VLOOKUP(D739,TARIFAS!A:K,5,FALSE),0)
      ),
      IF(H739="Presencial",
         VLOOKUP(D739,TARIFAS!A:K,9,FALSE) + IF(I739="Sí",VLOOKUP(D739,TARIFAS!A:K,11,FALSE),0),
         VLOOKUP(D739,TARIFAS!A:K,10,FALSE) + IF(I739="Sí",VLOOKUP(D739,TARIFAS!A:K,11,FALSE),0)
      )
   )
)
</f>
        <v>0</v>
      </c>
      <c r="U739" s="45">
        <f>IF(R739="",0,MAX(0,R739 - TARIFAS!G$2) * TARIFAS!F$2)
</f>
        <v>0</v>
      </c>
      <c r="V739" s="45">
        <f>+T739*TARIFAS!$K$2</f>
        <v>0</v>
      </c>
      <c r="W739" s="45">
        <f t="shared" si="2"/>
        <v>0</v>
      </c>
      <c r="X739" s="45">
        <f t="shared" si="3"/>
        <v>0</v>
      </c>
      <c r="Y739" s="45">
        <f t="shared" si="4"/>
        <v>0</v>
      </c>
      <c r="Z739" s="42" t="str">
        <f>CONFERENCIAS!AB739</f>
        <v/>
      </c>
      <c r="AA739" s="42" t="str">
        <f>CONFERENCIAS!AC739</f>
        <v/>
      </c>
      <c r="AB739" s="47" t="str">
        <f t="shared" si="5"/>
        <v/>
      </c>
      <c r="AC739" s="9" t="str">
        <f t="shared" si="6"/>
        <v/>
      </c>
    </row>
    <row r="740">
      <c r="A740" s="42" t="str">
        <f>CONFERENCIAS!A740</f>
        <v/>
      </c>
      <c r="D740" s="42" t="str">
        <f>CONFERENCIAS!C740</f>
        <v/>
      </c>
      <c r="E740" s="42" t="str">
        <f>CONFERENCIAS!K740</f>
        <v/>
      </c>
      <c r="F740" s="49" t="str">
        <f>CONFERENCIAS!J740</f>
        <v/>
      </c>
      <c r="G740" s="42" t="str">
        <f>CONFERENCIAS!O740</f>
        <v/>
      </c>
      <c r="H740" s="42" t="str">
        <f>CONFERENCIAS!X740</f>
        <v/>
      </c>
      <c r="I740" s="42" t="str">
        <f>CONFERENCIAS!AA740</f>
        <v/>
      </c>
      <c r="J740" s="44" t="str">
        <f>CONFERENCIAS!P740</f>
        <v/>
      </c>
      <c r="K740" s="45" t="str">
        <f>CONFERENCIAS!R740</f>
        <v/>
      </c>
      <c r="L740" s="45">
        <f>IF(D740="",0,
 IF(E740=1,
   IF(H740="Presencial",
      VLOOKUP(D740,TARIFAS!A:K,3,FALSE) + IF(I740="Sí",VLOOKUP(D740,TARIFAS!A:K,5,FALSE),0),
      VLOOKUP(D740,TARIFAS!A:K,4,FALSE) + IF(I740="Sí",VLOOKUP(D740,TARIFAS!A:K,5,FALSE),0)
   ),
   IF(H740="Presencial",
      VLOOKUP(D740,TARIFAS!A:K,9,FALSE) + IF(I740="Sí",VLOOKUP(D740,TARIFAS!A:K,11,FALSE),0),
      VLOOKUP(D740,TARIFAS!A:K,10,FALSE) + IF(I740="Sí",VLOOKUP(D740,TARIFAS!A:K,11,FALSE),0)
   )
 )
)
</f>
        <v>0</v>
      </c>
      <c r="M740" s="45">
        <f>IF(J740="",0,MAX(0,J740 - TARIFAS!G$2) * TARIFAS!F$2)
</f>
        <v>0</v>
      </c>
      <c r="N740" s="45">
        <f>+L740*TARIFAS!$K$2</f>
        <v>0</v>
      </c>
      <c r="O740" s="45">
        <f t="shared" si="1"/>
        <v>0</v>
      </c>
      <c r="P740" s="45">
        <f>+M740+O740+K740+(+I740-(I740*TARIFAS!$K$2))</f>
        <v>0</v>
      </c>
      <c r="Q740" s="42" t="str">
        <f>CONFERENCIAS!T740</f>
        <v/>
      </c>
      <c r="R740" s="45" t="str">
        <f>CONFERENCIAS!U740</f>
        <v/>
      </c>
      <c r="S740" s="45" t="str">
        <f>CONFERENCIAS!W740</f>
        <v/>
      </c>
      <c r="T740" s="48">
        <f>IF(Q740="",0,
   IF(E740=1,
      IF(H740="Presencial",
         VLOOKUP(D740,TARIFAS!A:K,3,FALSE) + IF(I740="Sí",VLOOKUP(D740,TARIFAS!A:K,5,FALSE),0),
         VLOOKUP(D740,TARIFAS!A:K,4,FALSE) + IF(I740="Sí",VLOOKUP(D740,TARIFAS!A:K,5,FALSE),0)
      ),
      IF(H740="Presencial",
         VLOOKUP(D740,TARIFAS!A:K,9,FALSE) + IF(I740="Sí",VLOOKUP(D740,TARIFAS!A:K,11,FALSE),0),
         VLOOKUP(D740,TARIFAS!A:K,10,FALSE) + IF(I740="Sí",VLOOKUP(D740,TARIFAS!A:K,11,FALSE),0)
      )
   )
)
</f>
        <v>0</v>
      </c>
      <c r="U740" s="45">
        <f>IF(R740="",0,MAX(0,R740 - TARIFAS!G$2) * TARIFAS!F$2)
</f>
        <v>0</v>
      </c>
      <c r="V740" s="45">
        <f>+T740*TARIFAS!$K$2</f>
        <v>0</v>
      </c>
      <c r="W740" s="45">
        <f t="shared" si="2"/>
        <v>0</v>
      </c>
      <c r="X740" s="45">
        <f t="shared" si="3"/>
        <v>0</v>
      </c>
      <c r="Y740" s="45">
        <f t="shared" si="4"/>
        <v>0</v>
      </c>
      <c r="Z740" s="42" t="str">
        <f>CONFERENCIAS!AB740</f>
        <v/>
      </c>
      <c r="AA740" s="42" t="str">
        <f>CONFERENCIAS!AC740</f>
        <v/>
      </c>
      <c r="AB740" s="47" t="str">
        <f t="shared" si="5"/>
        <v/>
      </c>
      <c r="AC740" s="9" t="str">
        <f t="shared" si="6"/>
        <v/>
      </c>
    </row>
    <row r="741">
      <c r="A741" s="42" t="str">
        <f>CONFERENCIAS!A741</f>
        <v/>
      </c>
      <c r="D741" s="42" t="str">
        <f>CONFERENCIAS!C741</f>
        <v/>
      </c>
      <c r="E741" s="42" t="str">
        <f>CONFERENCIAS!K741</f>
        <v/>
      </c>
      <c r="F741" s="49" t="str">
        <f>CONFERENCIAS!J741</f>
        <v/>
      </c>
      <c r="G741" s="42" t="str">
        <f>CONFERENCIAS!O741</f>
        <v/>
      </c>
      <c r="H741" s="42" t="str">
        <f>CONFERENCIAS!X741</f>
        <v/>
      </c>
      <c r="I741" s="42" t="str">
        <f>CONFERENCIAS!AA741</f>
        <v/>
      </c>
      <c r="J741" s="44" t="str">
        <f>CONFERENCIAS!P741</f>
        <v/>
      </c>
      <c r="K741" s="45" t="str">
        <f>CONFERENCIAS!R741</f>
        <v/>
      </c>
      <c r="L741" s="45">
        <f>IF(D741="",0,
 IF(E741=1,
   IF(H741="Presencial",
      VLOOKUP(D741,TARIFAS!A:K,3,FALSE) + IF(I741="Sí",VLOOKUP(D741,TARIFAS!A:K,5,FALSE),0),
      VLOOKUP(D741,TARIFAS!A:K,4,FALSE) + IF(I741="Sí",VLOOKUP(D741,TARIFAS!A:K,5,FALSE),0)
   ),
   IF(H741="Presencial",
      VLOOKUP(D741,TARIFAS!A:K,9,FALSE) + IF(I741="Sí",VLOOKUP(D741,TARIFAS!A:K,11,FALSE),0),
      VLOOKUP(D741,TARIFAS!A:K,10,FALSE) + IF(I741="Sí",VLOOKUP(D741,TARIFAS!A:K,11,FALSE),0)
   )
 )
)
</f>
        <v>0</v>
      </c>
      <c r="M741" s="45">
        <f>IF(J741="",0,MAX(0,J741 - TARIFAS!G$2) * TARIFAS!F$2)
</f>
        <v>0</v>
      </c>
      <c r="N741" s="45">
        <f>+L741*TARIFAS!$K$2</f>
        <v>0</v>
      </c>
      <c r="O741" s="45">
        <f t="shared" si="1"/>
        <v>0</v>
      </c>
      <c r="P741" s="45">
        <f>+M741+O741+K741+(+I741-(I741*TARIFAS!$K$2))</f>
        <v>0</v>
      </c>
      <c r="Q741" s="42" t="str">
        <f>CONFERENCIAS!T741</f>
        <v/>
      </c>
      <c r="R741" s="45" t="str">
        <f>CONFERENCIAS!U741</f>
        <v/>
      </c>
      <c r="S741" s="45" t="str">
        <f>CONFERENCIAS!W741</f>
        <v/>
      </c>
      <c r="T741" s="48">
        <f>IF(Q741="",0,
   IF(E741=1,
      IF(H741="Presencial",
         VLOOKUP(D741,TARIFAS!A:K,3,FALSE) + IF(I741="Sí",VLOOKUP(D741,TARIFAS!A:K,5,FALSE),0),
         VLOOKUP(D741,TARIFAS!A:K,4,FALSE) + IF(I741="Sí",VLOOKUP(D741,TARIFAS!A:K,5,FALSE),0)
      ),
      IF(H741="Presencial",
         VLOOKUP(D741,TARIFAS!A:K,9,FALSE) + IF(I741="Sí",VLOOKUP(D741,TARIFAS!A:K,11,FALSE),0),
         VLOOKUP(D741,TARIFAS!A:K,10,FALSE) + IF(I741="Sí",VLOOKUP(D741,TARIFAS!A:K,11,FALSE),0)
      )
   )
)
</f>
        <v>0</v>
      </c>
      <c r="U741" s="45">
        <f>IF(R741="",0,MAX(0,R741 - TARIFAS!G$2) * TARIFAS!F$2)
</f>
        <v>0</v>
      </c>
      <c r="V741" s="45">
        <f>+T741*TARIFAS!$K$2</f>
        <v>0</v>
      </c>
      <c r="W741" s="45">
        <f t="shared" si="2"/>
        <v>0</v>
      </c>
      <c r="X741" s="45">
        <f t="shared" si="3"/>
        <v>0</v>
      </c>
      <c r="Y741" s="45">
        <f t="shared" si="4"/>
        <v>0</v>
      </c>
      <c r="Z741" s="42" t="str">
        <f>CONFERENCIAS!AB741</f>
        <v/>
      </c>
      <c r="AA741" s="42" t="str">
        <f>CONFERENCIAS!AC741</f>
        <v/>
      </c>
      <c r="AB741" s="47" t="str">
        <f t="shared" si="5"/>
        <v/>
      </c>
      <c r="AC741" s="9" t="str">
        <f t="shared" si="6"/>
        <v/>
      </c>
    </row>
    <row r="742">
      <c r="A742" s="42" t="str">
        <f>CONFERENCIAS!A742</f>
        <v/>
      </c>
      <c r="D742" s="42" t="str">
        <f>CONFERENCIAS!C742</f>
        <v/>
      </c>
      <c r="E742" s="42" t="str">
        <f>CONFERENCIAS!K742</f>
        <v/>
      </c>
      <c r="F742" s="49" t="str">
        <f>CONFERENCIAS!J742</f>
        <v/>
      </c>
      <c r="G742" s="42" t="str">
        <f>CONFERENCIAS!O742</f>
        <v/>
      </c>
      <c r="H742" s="42" t="str">
        <f>CONFERENCIAS!X742</f>
        <v/>
      </c>
      <c r="I742" s="42" t="str">
        <f>CONFERENCIAS!AA742</f>
        <v/>
      </c>
      <c r="J742" s="44" t="str">
        <f>CONFERENCIAS!P742</f>
        <v/>
      </c>
      <c r="K742" s="45" t="str">
        <f>CONFERENCIAS!R742</f>
        <v/>
      </c>
      <c r="L742" s="45">
        <f>IF(D742="",0,
 IF(E742=1,
   IF(H742="Presencial",
      VLOOKUP(D742,TARIFAS!A:K,3,FALSE) + IF(I742="Sí",VLOOKUP(D742,TARIFAS!A:K,5,FALSE),0),
      VLOOKUP(D742,TARIFAS!A:K,4,FALSE) + IF(I742="Sí",VLOOKUP(D742,TARIFAS!A:K,5,FALSE),0)
   ),
   IF(H742="Presencial",
      VLOOKUP(D742,TARIFAS!A:K,9,FALSE) + IF(I742="Sí",VLOOKUP(D742,TARIFAS!A:K,11,FALSE),0),
      VLOOKUP(D742,TARIFAS!A:K,10,FALSE) + IF(I742="Sí",VLOOKUP(D742,TARIFAS!A:K,11,FALSE),0)
   )
 )
)
</f>
        <v>0</v>
      </c>
      <c r="M742" s="45">
        <f>IF(J742="",0,MAX(0,J742 - TARIFAS!G$2) * TARIFAS!F$2)
</f>
        <v>0</v>
      </c>
      <c r="N742" s="45">
        <f>+L742*TARIFAS!$K$2</f>
        <v>0</v>
      </c>
      <c r="O742" s="45">
        <f t="shared" si="1"/>
        <v>0</v>
      </c>
      <c r="P742" s="45">
        <f>+M742+O742+K742+(+I742-(I742*TARIFAS!$K$2))</f>
        <v>0</v>
      </c>
      <c r="Q742" s="42" t="str">
        <f>CONFERENCIAS!T742</f>
        <v/>
      </c>
      <c r="R742" s="45" t="str">
        <f>CONFERENCIAS!U742</f>
        <v/>
      </c>
      <c r="S742" s="45" t="str">
        <f>CONFERENCIAS!W742</f>
        <v/>
      </c>
      <c r="T742" s="48">
        <f>IF(Q742="",0,
   IF(E742=1,
      IF(H742="Presencial",
         VLOOKUP(D742,TARIFAS!A:K,3,FALSE) + IF(I742="Sí",VLOOKUP(D742,TARIFAS!A:K,5,FALSE),0),
         VLOOKUP(D742,TARIFAS!A:K,4,FALSE) + IF(I742="Sí",VLOOKUP(D742,TARIFAS!A:K,5,FALSE),0)
      ),
      IF(H742="Presencial",
         VLOOKUP(D742,TARIFAS!A:K,9,FALSE) + IF(I742="Sí",VLOOKUP(D742,TARIFAS!A:K,11,FALSE),0),
         VLOOKUP(D742,TARIFAS!A:K,10,FALSE) + IF(I742="Sí",VLOOKUP(D742,TARIFAS!A:K,11,FALSE),0)
      )
   )
)
</f>
        <v>0</v>
      </c>
      <c r="U742" s="45">
        <f>IF(R742="",0,MAX(0,R742 - TARIFAS!G$2) * TARIFAS!F$2)
</f>
        <v>0</v>
      </c>
      <c r="V742" s="45">
        <f>+T742*TARIFAS!$K$2</f>
        <v>0</v>
      </c>
      <c r="W742" s="45">
        <f t="shared" si="2"/>
        <v>0</v>
      </c>
      <c r="X742" s="45">
        <f t="shared" si="3"/>
        <v>0</v>
      </c>
      <c r="Y742" s="45">
        <f t="shared" si="4"/>
        <v>0</v>
      </c>
      <c r="Z742" s="42" t="str">
        <f>CONFERENCIAS!AB742</f>
        <v/>
      </c>
      <c r="AA742" s="42" t="str">
        <f>CONFERENCIAS!AC742</f>
        <v/>
      </c>
      <c r="AB742" s="47" t="str">
        <f t="shared" si="5"/>
        <v/>
      </c>
      <c r="AC742" s="9" t="str">
        <f t="shared" si="6"/>
        <v/>
      </c>
    </row>
    <row r="743">
      <c r="A743" s="42" t="str">
        <f>CONFERENCIAS!A743</f>
        <v/>
      </c>
      <c r="D743" s="42" t="str">
        <f>CONFERENCIAS!C743</f>
        <v/>
      </c>
      <c r="E743" s="42" t="str">
        <f>CONFERENCIAS!K743</f>
        <v/>
      </c>
      <c r="F743" s="49" t="str">
        <f>CONFERENCIAS!J743</f>
        <v/>
      </c>
      <c r="G743" s="42" t="str">
        <f>CONFERENCIAS!O743</f>
        <v/>
      </c>
      <c r="H743" s="42" t="str">
        <f>CONFERENCIAS!X743</f>
        <v/>
      </c>
      <c r="I743" s="42" t="str">
        <f>CONFERENCIAS!AA743</f>
        <v/>
      </c>
      <c r="J743" s="44" t="str">
        <f>CONFERENCIAS!P743</f>
        <v/>
      </c>
      <c r="K743" s="45" t="str">
        <f>CONFERENCIAS!R743</f>
        <v/>
      </c>
      <c r="L743" s="45">
        <f>IF(D743="",0,
 IF(E743=1,
   IF(H743="Presencial",
      VLOOKUP(D743,TARIFAS!A:K,3,FALSE) + IF(I743="Sí",VLOOKUP(D743,TARIFAS!A:K,5,FALSE),0),
      VLOOKUP(D743,TARIFAS!A:K,4,FALSE) + IF(I743="Sí",VLOOKUP(D743,TARIFAS!A:K,5,FALSE),0)
   ),
   IF(H743="Presencial",
      VLOOKUP(D743,TARIFAS!A:K,9,FALSE) + IF(I743="Sí",VLOOKUP(D743,TARIFAS!A:K,11,FALSE),0),
      VLOOKUP(D743,TARIFAS!A:K,10,FALSE) + IF(I743="Sí",VLOOKUP(D743,TARIFAS!A:K,11,FALSE),0)
   )
 )
)
</f>
        <v>0</v>
      </c>
      <c r="M743" s="45">
        <f>IF(J743="",0,MAX(0,J743 - TARIFAS!G$2) * TARIFAS!F$2)
</f>
        <v>0</v>
      </c>
      <c r="N743" s="45">
        <f>+L743*TARIFAS!$K$2</f>
        <v>0</v>
      </c>
      <c r="O743" s="45">
        <f t="shared" si="1"/>
        <v>0</v>
      </c>
      <c r="P743" s="45">
        <f>+M743+O743+K743+(+I743-(I743*TARIFAS!$K$2))</f>
        <v>0</v>
      </c>
      <c r="Q743" s="42" t="str">
        <f>CONFERENCIAS!T743</f>
        <v/>
      </c>
      <c r="R743" s="45" t="str">
        <f>CONFERENCIAS!U743</f>
        <v/>
      </c>
      <c r="S743" s="45" t="str">
        <f>CONFERENCIAS!W743</f>
        <v/>
      </c>
      <c r="T743" s="48">
        <f>IF(Q743="",0,
   IF(E743=1,
      IF(H743="Presencial",
         VLOOKUP(D743,TARIFAS!A:K,3,FALSE) + IF(I743="Sí",VLOOKUP(D743,TARIFAS!A:K,5,FALSE),0),
         VLOOKUP(D743,TARIFAS!A:K,4,FALSE) + IF(I743="Sí",VLOOKUP(D743,TARIFAS!A:K,5,FALSE),0)
      ),
      IF(H743="Presencial",
         VLOOKUP(D743,TARIFAS!A:K,9,FALSE) + IF(I743="Sí",VLOOKUP(D743,TARIFAS!A:K,11,FALSE),0),
         VLOOKUP(D743,TARIFAS!A:K,10,FALSE) + IF(I743="Sí",VLOOKUP(D743,TARIFAS!A:K,11,FALSE),0)
      )
   )
)
</f>
        <v>0</v>
      </c>
      <c r="U743" s="45">
        <f>IF(R743="",0,MAX(0,R743 - TARIFAS!G$2) * TARIFAS!F$2)
</f>
        <v>0</v>
      </c>
      <c r="V743" s="45">
        <f>+T743*TARIFAS!$K$2</f>
        <v>0</v>
      </c>
      <c r="W743" s="45">
        <f t="shared" si="2"/>
        <v>0</v>
      </c>
      <c r="X743" s="45">
        <f t="shared" si="3"/>
        <v>0</v>
      </c>
      <c r="Y743" s="45">
        <f t="shared" si="4"/>
        <v>0</v>
      </c>
      <c r="Z743" s="42" t="str">
        <f>CONFERENCIAS!AB743</f>
        <v/>
      </c>
      <c r="AA743" s="42" t="str">
        <f>CONFERENCIAS!AC743</f>
        <v/>
      </c>
      <c r="AB743" s="47" t="str">
        <f t="shared" si="5"/>
        <v/>
      </c>
      <c r="AC743" s="9" t="str">
        <f t="shared" si="6"/>
        <v/>
      </c>
    </row>
    <row r="744">
      <c r="A744" s="42" t="str">
        <f>CONFERENCIAS!A744</f>
        <v/>
      </c>
      <c r="D744" s="42" t="str">
        <f>CONFERENCIAS!C744</f>
        <v/>
      </c>
      <c r="E744" s="42" t="str">
        <f>CONFERENCIAS!K744</f>
        <v/>
      </c>
      <c r="F744" s="49" t="str">
        <f>CONFERENCIAS!J744</f>
        <v/>
      </c>
      <c r="G744" s="42" t="str">
        <f>CONFERENCIAS!O744</f>
        <v/>
      </c>
      <c r="H744" s="42" t="str">
        <f>CONFERENCIAS!X744</f>
        <v/>
      </c>
      <c r="I744" s="42" t="str">
        <f>CONFERENCIAS!AA744</f>
        <v/>
      </c>
      <c r="J744" s="44" t="str">
        <f>CONFERENCIAS!P744</f>
        <v/>
      </c>
      <c r="K744" s="45" t="str">
        <f>CONFERENCIAS!R744</f>
        <v/>
      </c>
      <c r="L744" s="45">
        <f>IF(D744="",0,
 IF(E744=1,
   IF(H744="Presencial",
      VLOOKUP(D744,TARIFAS!A:K,3,FALSE) + IF(I744="Sí",VLOOKUP(D744,TARIFAS!A:K,5,FALSE),0),
      VLOOKUP(D744,TARIFAS!A:K,4,FALSE) + IF(I744="Sí",VLOOKUP(D744,TARIFAS!A:K,5,FALSE),0)
   ),
   IF(H744="Presencial",
      VLOOKUP(D744,TARIFAS!A:K,9,FALSE) + IF(I744="Sí",VLOOKUP(D744,TARIFAS!A:K,11,FALSE),0),
      VLOOKUP(D744,TARIFAS!A:K,10,FALSE) + IF(I744="Sí",VLOOKUP(D744,TARIFAS!A:K,11,FALSE),0)
   )
 )
)
</f>
        <v>0</v>
      </c>
      <c r="M744" s="45">
        <f>IF(J744="",0,MAX(0,J744 - TARIFAS!G$2) * TARIFAS!F$2)
</f>
        <v>0</v>
      </c>
      <c r="N744" s="45">
        <f>+L744*TARIFAS!$K$2</f>
        <v>0</v>
      </c>
      <c r="O744" s="45">
        <f t="shared" si="1"/>
        <v>0</v>
      </c>
      <c r="P744" s="45">
        <f>+M744+O744+K744+(+I744-(I744*TARIFAS!$K$2))</f>
        <v>0</v>
      </c>
      <c r="Q744" s="42" t="str">
        <f>CONFERENCIAS!T744</f>
        <v/>
      </c>
      <c r="R744" s="45" t="str">
        <f>CONFERENCIAS!U744</f>
        <v/>
      </c>
      <c r="S744" s="45" t="str">
        <f>CONFERENCIAS!W744</f>
        <v/>
      </c>
      <c r="T744" s="48">
        <f>IF(Q744="",0,
   IF(E744=1,
      IF(H744="Presencial",
         VLOOKUP(D744,TARIFAS!A:K,3,FALSE) + IF(I744="Sí",VLOOKUP(D744,TARIFAS!A:K,5,FALSE),0),
         VLOOKUP(D744,TARIFAS!A:K,4,FALSE) + IF(I744="Sí",VLOOKUP(D744,TARIFAS!A:K,5,FALSE),0)
      ),
      IF(H744="Presencial",
         VLOOKUP(D744,TARIFAS!A:K,9,FALSE) + IF(I744="Sí",VLOOKUP(D744,TARIFAS!A:K,11,FALSE),0),
         VLOOKUP(D744,TARIFAS!A:K,10,FALSE) + IF(I744="Sí",VLOOKUP(D744,TARIFAS!A:K,11,FALSE),0)
      )
   )
)
</f>
        <v>0</v>
      </c>
      <c r="U744" s="45">
        <f>IF(R744="",0,MAX(0,R744 - TARIFAS!G$2) * TARIFAS!F$2)
</f>
        <v>0</v>
      </c>
      <c r="V744" s="45">
        <f>+T744*TARIFAS!$K$2</f>
        <v>0</v>
      </c>
      <c r="W744" s="45">
        <f t="shared" si="2"/>
        <v>0</v>
      </c>
      <c r="X744" s="45">
        <f t="shared" si="3"/>
        <v>0</v>
      </c>
      <c r="Y744" s="45">
        <f t="shared" si="4"/>
        <v>0</v>
      </c>
      <c r="Z744" s="42" t="str">
        <f>CONFERENCIAS!AB744</f>
        <v/>
      </c>
      <c r="AA744" s="42" t="str">
        <f>CONFERENCIAS!AC744</f>
        <v/>
      </c>
      <c r="AB744" s="47" t="str">
        <f t="shared" si="5"/>
        <v/>
      </c>
      <c r="AC744" s="9" t="str">
        <f t="shared" si="6"/>
        <v/>
      </c>
    </row>
    <row r="745">
      <c r="A745" s="42" t="str">
        <f>CONFERENCIAS!A745</f>
        <v/>
      </c>
      <c r="D745" s="42" t="str">
        <f>CONFERENCIAS!C745</f>
        <v/>
      </c>
      <c r="E745" s="42" t="str">
        <f>CONFERENCIAS!K745</f>
        <v/>
      </c>
      <c r="F745" s="49" t="str">
        <f>CONFERENCIAS!J745</f>
        <v/>
      </c>
      <c r="G745" s="42" t="str">
        <f>CONFERENCIAS!O745</f>
        <v/>
      </c>
      <c r="H745" s="42" t="str">
        <f>CONFERENCIAS!X745</f>
        <v/>
      </c>
      <c r="I745" s="42" t="str">
        <f>CONFERENCIAS!AA745</f>
        <v/>
      </c>
      <c r="J745" s="44" t="str">
        <f>CONFERENCIAS!P745</f>
        <v/>
      </c>
      <c r="K745" s="45" t="str">
        <f>CONFERENCIAS!R745</f>
        <v/>
      </c>
      <c r="L745" s="45">
        <f>IF(D745="",0,
 IF(E745=1,
   IF(H745="Presencial",
      VLOOKUP(D745,TARIFAS!A:K,3,FALSE) + IF(I745="Sí",VLOOKUP(D745,TARIFAS!A:K,5,FALSE),0),
      VLOOKUP(D745,TARIFAS!A:K,4,FALSE) + IF(I745="Sí",VLOOKUP(D745,TARIFAS!A:K,5,FALSE),0)
   ),
   IF(H745="Presencial",
      VLOOKUP(D745,TARIFAS!A:K,9,FALSE) + IF(I745="Sí",VLOOKUP(D745,TARIFAS!A:K,11,FALSE),0),
      VLOOKUP(D745,TARIFAS!A:K,10,FALSE) + IF(I745="Sí",VLOOKUP(D745,TARIFAS!A:K,11,FALSE),0)
   )
 )
)
</f>
        <v>0</v>
      </c>
      <c r="M745" s="45">
        <f>IF(J745="",0,MAX(0,J745 - TARIFAS!G$2) * TARIFAS!F$2)
</f>
        <v>0</v>
      </c>
      <c r="N745" s="45">
        <f>+L745*TARIFAS!$K$2</f>
        <v>0</v>
      </c>
      <c r="O745" s="45">
        <f t="shared" si="1"/>
        <v>0</v>
      </c>
      <c r="P745" s="45">
        <f>+M745+O745+K745+(+I745-(I745*TARIFAS!$K$2))</f>
        <v>0</v>
      </c>
      <c r="Q745" s="42" t="str">
        <f>CONFERENCIAS!T745</f>
        <v/>
      </c>
      <c r="R745" s="45" t="str">
        <f>CONFERENCIAS!U745</f>
        <v/>
      </c>
      <c r="S745" s="45" t="str">
        <f>CONFERENCIAS!W745</f>
        <v/>
      </c>
      <c r="T745" s="48">
        <f>IF(Q745="",0,
   IF(E745=1,
      IF(H745="Presencial",
         VLOOKUP(D745,TARIFAS!A:K,3,FALSE) + IF(I745="Sí",VLOOKUP(D745,TARIFAS!A:K,5,FALSE),0),
         VLOOKUP(D745,TARIFAS!A:K,4,FALSE) + IF(I745="Sí",VLOOKUP(D745,TARIFAS!A:K,5,FALSE),0)
      ),
      IF(H745="Presencial",
         VLOOKUP(D745,TARIFAS!A:K,9,FALSE) + IF(I745="Sí",VLOOKUP(D745,TARIFAS!A:K,11,FALSE),0),
         VLOOKUP(D745,TARIFAS!A:K,10,FALSE) + IF(I745="Sí",VLOOKUP(D745,TARIFAS!A:K,11,FALSE),0)
      )
   )
)
</f>
        <v>0</v>
      </c>
      <c r="U745" s="45">
        <f>IF(R745="",0,MAX(0,R745 - TARIFAS!G$2) * TARIFAS!F$2)
</f>
        <v>0</v>
      </c>
      <c r="V745" s="45">
        <f>+T745*TARIFAS!$K$2</f>
        <v>0</v>
      </c>
      <c r="W745" s="45">
        <f t="shared" si="2"/>
        <v>0</v>
      </c>
      <c r="X745" s="45">
        <f t="shared" si="3"/>
        <v>0</v>
      </c>
      <c r="Y745" s="45">
        <f t="shared" si="4"/>
        <v>0</v>
      </c>
      <c r="Z745" s="42" t="str">
        <f>CONFERENCIAS!AB745</f>
        <v/>
      </c>
      <c r="AA745" s="42" t="str">
        <f>CONFERENCIAS!AC745</f>
        <v/>
      </c>
      <c r="AB745" s="47" t="str">
        <f t="shared" si="5"/>
        <v/>
      </c>
      <c r="AC745" s="9" t="str">
        <f t="shared" si="6"/>
        <v/>
      </c>
    </row>
    <row r="746">
      <c r="A746" s="42" t="str">
        <f>CONFERENCIAS!A746</f>
        <v/>
      </c>
      <c r="D746" s="42" t="str">
        <f>CONFERENCIAS!C746</f>
        <v/>
      </c>
      <c r="E746" s="42" t="str">
        <f>CONFERENCIAS!K746</f>
        <v/>
      </c>
      <c r="F746" s="49" t="str">
        <f>CONFERENCIAS!J746</f>
        <v/>
      </c>
      <c r="G746" s="42" t="str">
        <f>CONFERENCIAS!O746</f>
        <v/>
      </c>
      <c r="H746" s="42" t="str">
        <f>CONFERENCIAS!X746</f>
        <v/>
      </c>
      <c r="I746" s="42" t="str">
        <f>CONFERENCIAS!AA746</f>
        <v/>
      </c>
      <c r="J746" s="44" t="str">
        <f>CONFERENCIAS!P746</f>
        <v/>
      </c>
      <c r="K746" s="45" t="str">
        <f>CONFERENCIAS!R746</f>
        <v/>
      </c>
      <c r="L746" s="45">
        <f>IF(D746="",0,
 IF(E746=1,
   IF(H746="Presencial",
      VLOOKUP(D746,TARIFAS!A:K,3,FALSE) + IF(I746="Sí",VLOOKUP(D746,TARIFAS!A:K,5,FALSE),0),
      VLOOKUP(D746,TARIFAS!A:K,4,FALSE) + IF(I746="Sí",VLOOKUP(D746,TARIFAS!A:K,5,FALSE),0)
   ),
   IF(H746="Presencial",
      VLOOKUP(D746,TARIFAS!A:K,9,FALSE) + IF(I746="Sí",VLOOKUP(D746,TARIFAS!A:K,11,FALSE),0),
      VLOOKUP(D746,TARIFAS!A:K,10,FALSE) + IF(I746="Sí",VLOOKUP(D746,TARIFAS!A:K,11,FALSE),0)
   )
 )
)
</f>
        <v>0</v>
      </c>
      <c r="M746" s="45">
        <f>IF(J746="",0,MAX(0,J746 - TARIFAS!G$2) * TARIFAS!F$2)
</f>
        <v>0</v>
      </c>
      <c r="N746" s="45">
        <f>+L746*TARIFAS!$K$2</f>
        <v>0</v>
      </c>
      <c r="O746" s="45">
        <f t="shared" si="1"/>
        <v>0</v>
      </c>
      <c r="P746" s="45">
        <f>+M746+O746+K746+(+I746-(I746*TARIFAS!$K$2))</f>
        <v>0</v>
      </c>
      <c r="Q746" s="42" t="str">
        <f>CONFERENCIAS!T746</f>
        <v/>
      </c>
      <c r="R746" s="45" t="str">
        <f>CONFERENCIAS!U746</f>
        <v/>
      </c>
      <c r="S746" s="45" t="str">
        <f>CONFERENCIAS!W746</f>
        <v/>
      </c>
      <c r="T746" s="48">
        <f>IF(Q746="",0,
   IF(E746=1,
      IF(H746="Presencial",
         VLOOKUP(D746,TARIFAS!A:K,3,FALSE) + IF(I746="Sí",VLOOKUP(D746,TARIFAS!A:K,5,FALSE),0),
         VLOOKUP(D746,TARIFAS!A:K,4,FALSE) + IF(I746="Sí",VLOOKUP(D746,TARIFAS!A:K,5,FALSE),0)
      ),
      IF(H746="Presencial",
         VLOOKUP(D746,TARIFAS!A:K,9,FALSE) + IF(I746="Sí",VLOOKUP(D746,TARIFAS!A:K,11,FALSE),0),
         VLOOKUP(D746,TARIFAS!A:K,10,FALSE) + IF(I746="Sí",VLOOKUP(D746,TARIFAS!A:K,11,FALSE),0)
      )
   )
)
</f>
        <v>0</v>
      </c>
      <c r="U746" s="45">
        <f>IF(R746="",0,MAX(0,R746 - TARIFAS!G$2) * TARIFAS!F$2)
</f>
        <v>0</v>
      </c>
      <c r="V746" s="45">
        <f>+T746*TARIFAS!$K$2</f>
        <v>0</v>
      </c>
      <c r="W746" s="45">
        <f t="shared" si="2"/>
        <v>0</v>
      </c>
      <c r="X746" s="45">
        <f t="shared" si="3"/>
        <v>0</v>
      </c>
      <c r="Y746" s="45">
        <f t="shared" si="4"/>
        <v>0</v>
      </c>
      <c r="Z746" s="42" t="str">
        <f>CONFERENCIAS!AB746</f>
        <v/>
      </c>
      <c r="AA746" s="42" t="str">
        <f>CONFERENCIAS!AC746</f>
        <v/>
      </c>
      <c r="AB746" s="47" t="str">
        <f t="shared" si="5"/>
        <v/>
      </c>
      <c r="AC746" s="9" t="str">
        <f t="shared" si="6"/>
        <v/>
      </c>
    </row>
    <row r="747">
      <c r="A747" s="42" t="str">
        <f>CONFERENCIAS!A747</f>
        <v/>
      </c>
      <c r="D747" s="42" t="str">
        <f>CONFERENCIAS!C747</f>
        <v/>
      </c>
      <c r="E747" s="42" t="str">
        <f>CONFERENCIAS!K747</f>
        <v/>
      </c>
      <c r="F747" s="49" t="str">
        <f>CONFERENCIAS!J747</f>
        <v/>
      </c>
      <c r="G747" s="42" t="str">
        <f>CONFERENCIAS!O747</f>
        <v/>
      </c>
      <c r="H747" s="42" t="str">
        <f>CONFERENCIAS!X747</f>
        <v/>
      </c>
      <c r="I747" s="42" t="str">
        <f>CONFERENCIAS!AA747</f>
        <v/>
      </c>
      <c r="J747" s="44" t="str">
        <f>CONFERENCIAS!P747</f>
        <v/>
      </c>
      <c r="K747" s="45" t="str">
        <f>CONFERENCIAS!R747</f>
        <v/>
      </c>
      <c r="L747" s="45">
        <f>IF(D747="",0,
 IF(E747=1,
   IF(H747="Presencial",
      VLOOKUP(D747,TARIFAS!A:K,3,FALSE) + IF(I747="Sí",VLOOKUP(D747,TARIFAS!A:K,5,FALSE),0),
      VLOOKUP(D747,TARIFAS!A:K,4,FALSE) + IF(I747="Sí",VLOOKUP(D747,TARIFAS!A:K,5,FALSE),0)
   ),
   IF(H747="Presencial",
      VLOOKUP(D747,TARIFAS!A:K,9,FALSE) + IF(I747="Sí",VLOOKUP(D747,TARIFAS!A:K,11,FALSE),0),
      VLOOKUP(D747,TARIFAS!A:K,10,FALSE) + IF(I747="Sí",VLOOKUP(D747,TARIFAS!A:K,11,FALSE),0)
   )
 )
)
</f>
        <v>0</v>
      </c>
      <c r="M747" s="45">
        <f>IF(J747="",0,MAX(0,J747 - TARIFAS!G$2) * TARIFAS!F$2)
</f>
        <v>0</v>
      </c>
      <c r="N747" s="45">
        <f>+L747*TARIFAS!$K$2</f>
        <v>0</v>
      </c>
      <c r="O747" s="45">
        <f t="shared" si="1"/>
        <v>0</v>
      </c>
      <c r="P747" s="45">
        <f>+M747+O747+K747+(+I747-(I747*TARIFAS!$K$2))</f>
        <v>0</v>
      </c>
      <c r="Q747" s="42" t="str">
        <f>CONFERENCIAS!T747</f>
        <v/>
      </c>
      <c r="R747" s="45" t="str">
        <f>CONFERENCIAS!U747</f>
        <v/>
      </c>
      <c r="S747" s="45" t="str">
        <f>CONFERENCIAS!W747</f>
        <v/>
      </c>
      <c r="T747" s="48">
        <f>IF(Q747="",0,
   IF(E747=1,
      IF(H747="Presencial",
         VLOOKUP(D747,TARIFAS!A:K,3,FALSE) + IF(I747="Sí",VLOOKUP(D747,TARIFAS!A:K,5,FALSE),0),
         VLOOKUP(D747,TARIFAS!A:K,4,FALSE) + IF(I747="Sí",VLOOKUP(D747,TARIFAS!A:K,5,FALSE),0)
      ),
      IF(H747="Presencial",
         VLOOKUP(D747,TARIFAS!A:K,9,FALSE) + IF(I747="Sí",VLOOKUP(D747,TARIFAS!A:K,11,FALSE),0),
         VLOOKUP(D747,TARIFAS!A:K,10,FALSE) + IF(I747="Sí",VLOOKUP(D747,TARIFAS!A:K,11,FALSE),0)
      )
   )
)
</f>
        <v>0</v>
      </c>
      <c r="U747" s="45">
        <f>IF(R747="",0,MAX(0,R747 - TARIFAS!G$2) * TARIFAS!F$2)
</f>
        <v>0</v>
      </c>
      <c r="V747" s="45">
        <f>+T747*TARIFAS!$K$2</f>
        <v>0</v>
      </c>
      <c r="W747" s="45">
        <f t="shared" si="2"/>
        <v>0</v>
      </c>
      <c r="X747" s="45">
        <f t="shared" si="3"/>
        <v>0</v>
      </c>
      <c r="Y747" s="45">
        <f t="shared" si="4"/>
        <v>0</v>
      </c>
      <c r="Z747" s="42" t="str">
        <f>CONFERENCIAS!AB747</f>
        <v/>
      </c>
      <c r="AA747" s="42" t="str">
        <f>CONFERENCIAS!AC747</f>
        <v/>
      </c>
      <c r="AB747" s="47" t="str">
        <f t="shared" si="5"/>
        <v/>
      </c>
      <c r="AC747" s="9" t="str">
        <f t="shared" si="6"/>
        <v/>
      </c>
    </row>
    <row r="748">
      <c r="A748" s="42" t="str">
        <f>CONFERENCIAS!A748</f>
        <v/>
      </c>
      <c r="D748" s="42" t="str">
        <f>CONFERENCIAS!C748</f>
        <v/>
      </c>
      <c r="E748" s="42" t="str">
        <f>CONFERENCIAS!K748</f>
        <v/>
      </c>
      <c r="F748" s="49" t="str">
        <f>CONFERENCIAS!J748</f>
        <v/>
      </c>
      <c r="G748" s="42" t="str">
        <f>CONFERENCIAS!O748</f>
        <v/>
      </c>
      <c r="H748" s="42" t="str">
        <f>CONFERENCIAS!X748</f>
        <v/>
      </c>
      <c r="I748" s="42" t="str">
        <f>CONFERENCIAS!AA748</f>
        <v/>
      </c>
      <c r="J748" s="44" t="str">
        <f>CONFERENCIAS!P748</f>
        <v/>
      </c>
      <c r="K748" s="45" t="str">
        <f>CONFERENCIAS!R748</f>
        <v/>
      </c>
      <c r="L748" s="45">
        <f>IF(D748="",0,
 IF(E748=1,
   IF(H748="Presencial",
      VLOOKUP(D748,TARIFAS!A:K,3,FALSE) + IF(I748="Sí",VLOOKUP(D748,TARIFAS!A:K,5,FALSE),0),
      VLOOKUP(D748,TARIFAS!A:K,4,FALSE) + IF(I748="Sí",VLOOKUP(D748,TARIFAS!A:K,5,FALSE),0)
   ),
   IF(H748="Presencial",
      VLOOKUP(D748,TARIFAS!A:K,9,FALSE) + IF(I748="Sí",VLOOKUP(D748,TARIFAS!A:K,11,FALSE),0),
      VLOOKUP(D748,TARIFAS!A:K,10,FALSE) + IF(I748="Sí",VLOOKUP(D748,TARIFAS!A:K,11,FALSE),0)
   )
 )
)
</f>
        <v>0</v>
      </c>
      <c r="M748" s="45">
        <f>IF(J748="",0,MAX(0,J748 - TARIFAS!G$2) * TARIFAS!F$2)
</f>
        <v>0</v>
      </c>
      <c r="N748" s="45">
        <f>+L748*TARIFAS!$K$2</f>
        <v>0</v>
      </c>
      <c r="O748" s="45">
        <f t="shared" si="1"/>
        <v>0</v>
      </c>
      <c r="P748" s="45">
        <f>+M748+O748+K748+(+I748-(I748*TARIFAS!$K$2))</f>
        <v>0</v>
      </c>
      <c r="Q748" s="42" t="str">
        <f>CONFERENCIAS!T748</f>
        <v/>
      </c>
      <c r="R748" s="45" t="str">
        <f>CONFERENCIAS!U748</f>
        <v/>
      </c>
      <c r="S748" s="45" t="str">
        <f>CONFERENCIAS!W748</f>
        <v/>
      </c>
      <c r="T748" s="48">
        <f>IF(Q748="",0,
   IF(E748=1,
      IF(H748="Presencial",
         VLOOKUP(D748,TARIFAS!A:K,3,FALSE) + IF(I748="Sí",VLOOKUP(D748,TARIFAS!A:K,5,FALSE),0),
         VLOOKUP(D748,TARIFAS!A:K,4,FALSE) + IF(I748="Sí",VLOOKUP(D748,TARIFAS!A:K,5,FALSE),0)
      ),
      IF(H748="Presencial",
         VLOOKUP(D748,TARIFAS!A:K,9,FALSE) + IF(I748="Sí",VLOOKUP(D748,TARIFAS!A:K,11,FALSE),0),
         VLOOKUP(D748,TARIFAS!A:K,10,FALSE) + IF(I748="Sí",VLOOKUP(D748,TARIFAS!A:K,11,FALSE),0)
      )
   )
)
</f>
        <v>0</v>
      </c>
      <c r="U748" s="45">
        <f>IF(R748="",0,MAX(0,R748 - TARIFAS!G$2) * TARIFAS!F$2)
</f>
        <v>0</v>
      </c>
      <c r="V748" s="45">
        <f>+T748*TARIFAS!$K$2</f>
        <v>0</v>
      </c>
      <c r="W748" s="45">
        <f t="shared" si="2"/>
        <v>0</v>
      </c>
      <c r="X748" s="45">
        <f t="shared" si="3"/>
        <v>0</v>
      </c>
      <c r="Y748" s="45">
        <f t="shared" si="4"/>
        <v>0</v>
      </c>
      <c r="Z748" s="42" t="str">
        <f>CONFERENCIAS!AB748</f>
        <v/>
      </c>
      <c r="AA748" s="42" t="str">
        <f>CONFERENCIAS!AC748</f>
        <v/>
      </c>
      <c r="AB748" s="47" t="str">
        <f t="shared" si="5"/>
        <v/>
      </c>
      <c r="AC748" s="9" t="str">
        <f t="shared" si="6"/>
        <v/>
      </c>
    </row>
    <row r="749">
      <c r="A749" s="42" t="str">
        <f>CONFERENCIAS!A749</f>
        <v/>
      </c>
      <c r="D749" s="42" t="str">
        <f>CONFERENCIAS!C749</f>
        <v/>
      </c>
      <c r="E749" s="42" t="str">
        <f>CONFERENCIAS!K749</f>
        <v/>
      </c>
      <c r="F749" s="49" t="str">
        <f>CONFERENCIAS!J749</f>
        <v/>
      </c>
      <c r="G749" s="42" t="str">
        <f>CONFERENCIAS!O749</f>
        <v/>
      </c>
      <c r="H749" s="42" t="str">
        <f>CONFERENCIAS!X749</f>
        <v/>
      </c>
      <c r="I749" s="42" t="str">
        <f>CONFERENCIAS!AA749</f>
        <v/>
      </c>
      <c r="J749" s="44" t="str">
        <f>CONFERENCIAS!P749</f>
        <v/>
      </c>
      <c r="K749" s="45" t="str">
        <f>CONFERENCIAS!R749</f>
        <v/>
      </c>
      <c r="L749" s="45">
        <f>IF(D749="",0,
 IF(E749=1,
   IF(H749="Presencial",
      VLOOKUP(D749,TARIFAS!A:K,3,FALSE) + IF(I749="Sí",VLOOKUP(D749,TARIFAS!A:K,5,FALSE),0),
      VLOOKUP(D749,TARIFAS!A:K,4,FALSE) + IF(I749="Sí",VLOOKUP(D749,TARIFAS!A:K,5,FALSE),0)
   ),
   IF(H749="Presencial",
      VLOOKUP(D749,TARIFAS!A:K,9,FALSE) + IF(I749="Sí",VLOOKUP(D749,TARIFAS!A:K,11,FALSE),0),
      VLOOKUP(D749,TARIFAS!A:K,10,FALSE) + IF(I749="Sí",VLOOKUP(D749,TARIFAS!A:K,11,FALSE),0)
   )
 )
)
</f>
        <v>0</v>
      </c>
      <c r="M749" s="45">
        <f>IF(J749="",0,MAX(0,J749 - TARIFAS!G$2) * TARIFAS!F$2)
</f>
        <v>0</v>
      </c>
      <c r="N749" s="45">
        <f>+L749*TARIFAS!$K$2</f>
        <v>0</v>
      </c>
      <c r="O749" s="45">
        <f t="shared" si="1"/>
        <v>0</v>
      </c>
      <c r="P749" s="45">
        <f>+M749+O749+K749+(+I749-(I749*TARIFAS!$K$2))</f>
        <v>0</v>
      </c>
      <c r="Q749" s="42" t="str">
        <f>CONFERENCIAS!T749</f>
        <v/>
      </c>
      <c r="R749" s="45" t="str">
        <f>CONFERENCIAS!U749</f>
        <v/>
      </c>
      <c r="S749" s="45" t="str">
        <f>CONFERENCIAS!W749</f>
        <v/>
      </c>
      <c r="T749" s="48">
        <f>IF(Q749="",0,
   IF(E749=1,
      IF(H749="Presencial",
         VLOOKUP(D749,TARIFAS!A:K,3,FALSE) + IF(I749="Sí",VLOOKUP(D749,TARIFAS!A:K,5,FALSE),0),
         VLOOKUP(D749,TARIFAS!A:K,4,FALSE) + IF(I749="Sí",VLOOKUP(D749,TARIFAS!A:K,5,FALSE),0)
      ),
      IF(H749="Presencial",
         VLOOKUP(D749,TARIFAS!A:K,9,FALSE) + IF(I749="Sí",VLOOKUP(D749,TARIFAS!A:K,11,FALSE),0),
         VLOOKUP(D749,TARIFAS!A:K,10,FALSE) + IF(I749="Sí",VLOOKUP(D749,TARIFAS!A:K,11,FALSE),0)
      )
   )
)
</f>
        <v>0</v>
      </c>
      <c r="U749" s="45">
        <f>IF(R749="",0,MAX(0,R749 - TARIFAS!G$2) * TARIFAS!F$2)
</f>
        <v>0</v>
      </c>
      <c r="V749" s="45">
        <f>+T749*TARIFAS!$K$2</f>
        <v>0</v>
      </c>
      <c r="W749" s="45">
        <f t="shared" si="2"/>
        <v>0</v>
      </c>
      <c r="X749" s="45">
        <f t="shared" si="3"/>
        <v>0</v>
      </c>
      <c r="Y749" s="45">
        <f t="shared" si="4"/>
        <v>0</v>
      </c>
      <c r="Z749" s="42" t="str">
        <f>CONFERENCIAS!AB749</f>
        <v/>
      </c>
      <c r="AA749" s="42" t="str">
        <f>CONFERENCIAS!AC749</f>
        <v/>
      </c>
      <c r="AB749" s="47" t="str">
        <f t="shared" si="5"/>
        <v/>
      </c>
      <c r="AC749" s="9" t="str">
        <f t="shared" si="6"/>
        <v/>
      </c>
    </row>
    <row r="750">
      <c r="A750" s="42" t="str">
        <f>CONFERENCIAS!A750</f>
        <v/>
      </c>
      <c r="D750" s="42" t="str">
        <f>CONFERENCIAS!C750</f>
        <v/>
      </c>
      <c r="E750" s="42" t="str">
        <f>CONFERENCIAS!K750</f>
        <v/>
      </c>
      <c r="F750" s="49" t="str">
        <f>CONFERENCIAS!J750</f>
        <v/>
      </c>
      <c r="G750" s="42" t="str">
        <f>CONFERENCIAS!O750</f>
        <v/>
      </c>
      <c r="H750" s="42" t="str">
        <f>CONFERENCIAS!X750</f>
        <v/>
      </c>
      <c r="I750" s="42" t="str">
        <f>CONFERENCIAS!AA750</f>
        <v/>
      </c>
      <c r="J750" s="44" t="str">
        <f>CONFERENCIAS!P750</f>
        <v/>
      </c>
      <c r="K750" s="45" t="str">
        <f>CONFERENCIAS!R750</f>
        <v/>
      </c>
      <c r="L750" s="45">
        <f>IF(D750="",0,
 IF(E750=1,
   IF(H750="Presencial",
      VLOOKUP(D750,TARIFAS!A:K,3,FALSE) + IF(I750="Sí",VLOOKUP(D750,TARIFAS!A:K,5,FALSE),0),
      VLOOKUP(D750,TARIFAS!A:K,4,FALSE) + IF(I750="Sí",VLOOKUP(D750,TARIFAS!A:K,5,FALSE),0)
   ),
   IF(H750="Presencial",
      VLOOKUP(D750,TARIFAS!A:K,9,FALSE) + IF(I750="Sí",VLOOKUP(D750,TARIFAS!A:K,11,FALSE),0),
      VLOOKUP(D750,TARIFAS!A:K,10,FALSE) + IF(I750="Sí",VLOOKUP(D750,TARIFAS!A:K,11,FALSE),0)
   )
 )
)
</f>
        <v>0</v>
      </c>
      <c r="M750" s="45">
        <f>IF(J750="",0,MAX(0,J750 - TARIFAS!G$2) * TARIFAS!F$2)
</f>
        <v>0</v>
      </c>
      <c r="N750" s="45">
        <f>+L750*TARIFAS!$K$2</f>
        <v>0</v>
      </c>
      <c r="O750" s="45">
        <f t="shared" si="1"/>
        <v>0</v>
      </c>
      <c r="P750" s="45">
        <f>+M750+O750+K750+(+I750-(I750*TARIFAS!$K$2))</f>
        <v>0</v>
      </c>
      <c r="Q750" s="42" t="str">
        <f>CONFERENCIAS!T750</f>
        <v/>
      </c>
      <c r="R750" s="45" t="str">
        <f>CONFERENCIAS!U750</f>
        <v/>
      </c>
      <c r="S750" s="45" t="str">
        <f>CONFERENCIAS!W750</f>
        <v/>
      </c>
      <c r="T750" s="48">
        <f>IF(Q750="",0,
   IF(E750=1,
      IF(H750="Presencial",
         VLOOKUP(D750,TARIFAS!A:K,3,FALSE) + IF(I750="Sí",VLOOKUP(D750,TARIFAS!A:K,5,FALSE),0),
         VLOOKUP(D750,TARIFAS!A:K,4,FALSE) + IF(I750="Sí",VLOOKUP(D750,TARIFAS!A:K,5,FALSE),0)
      ),
      IF(H750="Presencial",
         VLOOKUP(D750,TARIFAS!A:K,9,FALSE) + IF(I750="Sí",VLOOKUP(D750,TARIFAS!A:K,11,FALSE),0),
         VLOOKUP(D750,TARIFAS!A:K,10,FALSE) + IF(I750="Sí",VLOOKUP(D750,TARIFAS!A:K,11,FALSE),0)
      )
   )
)
</f>
        <v>0</v>
      </c>
      <c r="U750" s="45">
        <f>IF(R750="",0,MAX(0,R750 - TARIFAS!G$2) * TARIFAS!F$2)
</f>
        <v>0</v>
      </c>
      <c r="V750" s="45">
        <f>+T750*TARIFAS!$K$2</f>
        <v>0</v>
      </c>
      <c r="W750" s="45">
        <f t="shared" si="2"/>
        <v>0</v>
      </c>
      <c r="X750" s="45">
        <f t="shared" si="3"/>
        <v>0</v>
      </c>
      <c r="Y750" s="45">
        <f t="shared" si="4"/>
        <v>0</v>
      </c>
      <c r="Z750" s="42" t="str">
        <f>CONFERENCIAS!AB750</f>
        <v/>
      </c>
      <c r="AA750" s="42" t="str">
        <f>CONFERENCIAS!AC750</f>
        <v/>
      </c>
      <c r="AB750" s="47" t="str">
        <f t="shared" si="5"/>
        <v/>
      </c>
      <c r="AC750" s="9" t="str">
        <f t="shared" si="6"/>
        <v/>
      </c>
    </row>
    <row r="751">
      <c r="A751" s="42" t="str">
        <f>CONFERENCIAS!A751</f>
        <v/>
      </c>
      <c r="D751" s="42" t="str">
        <f>CONFERENCIAS!C751</f>
        <v/>
      </c>
      <c r="E751" s="42" t="str">
        <f>CONFERENCIAS!K751</f>
        <v/>
      </c>
      <c r="F751" s="49" t="str">
        <f>CONFERENCIAS!J751</f>
        <v/>
      </c>
      <c r="G751" s="42" t="str">
        <f>CONFERENCIAS!O751</f>
        <v/>
      </c>
      <c r="H751" s="42" t="str">
        <f>CONFERENCIAS!X751</f>
        <v/>
      </c>
      <c r="I751" s="42" t="str">
        <f>CONFERENCIAS!AA751</f>
        <v/>
      </c>
      <c r="J751" s="44" t="str">
        <f>CONFERENCIAS!P751</f>
        <v/>
      </c>
      <c r="K751" s="45" t="str">
        <f>CONFERENCIAS!R751</f>
        <v/>
      </c>
      <c r="L751" s="45">
        <f>IF(D751="",0,
 IF(E751=1,
   IF(H751="Presencial",
      VLOOKUP(D751,TARIFAS!A:K,3,FALSE) + IF(I751="Sí",VLOOKUP(D751,TARIFAS!A:K,5,FALSE),0),
      VLOOKUP(D751,TARIFAS!A:K,4,FALSE) + IF(I751="Sí",VLOOKUP(D751,TARIFAS!A:K,5,FALSE),0)
   ),
   IF(H751="Presencial",
      VLOOKUP(D751,TARIFAS!A:K,9,FALSE) + IF(I751="Sí",VLOOKUP(D751,TARIFAS!A:K,11,FALSE),0),
      VLOOKUP(D751,TARIFAS!A:K,10,FALSE) + IF(I751="Sí",VLOOKUP(D751,TARIFAS!A:K,11,FALSE),0)
   )
 )
)
</f>
        <v>0</v>
      </c>
      <c r="M751" s="45">
        <f>IF(J751="",0,MAX(0,J751 - TARIFAS!G$2) * TARIFAS!F$2)
</f>
        <v>0</v>
      </c>
      <c r="N751" s="45">
        <f>+L751*TARIFAS!$K$2</f>
        <v>0</v>
      </c>
      <c r="O751" s="45">
        <f t="shared" si="1"/>
        <v>0</v>
      </c>
      <c r="P751" s="45">
        <f>+M751+O751+K751+(+I751-(I751*TARIFAS!$K$2))</f>
        <v>0</v>
      </c>
      <c r="Q751" s="42" t="str">
        <f>CONFERENCIAS!T751</f>
        <v/>
      </c>
      <c r="R751" s="45" t="str">
        <f>CONFERENCIAS!U751</f>
        <v/>
      </c>
      <c r="S751" s="45" t="str">
        <f>CONFERENCIAS!W751</f>
        <v/>
      </c>
      <c r="T751" s="48">
        <f>IF(Q751="",0,
   IF(E751=1,
      IF(H751="Presencial",
         VLOOKUP(D751,TARIFAS!A:K,3,FALSE) + IF(I751="Sí",VLOOKUP(D751,TARIFAS!A:K,5,FALSE),0),
         VLOOKUP(D751,TARIFAS!A:K,4,FALSE) + IF(I751="Sí",VLOOKUP(D751,TARIFAS!A:K,5,FALSE),0)
      ),
      IF(H751="Presencial",
         VLOOKUP(D751,TARIFAS!A:K,9,FALSE) + IF(I751="Sí",VLOOKUP(D751,TARIFAS!A:K,11,FALSE),0),
         VLOOKUP(D751,TARIFAS!A:K,10,FALSE) + IF(I751="Sí",VLOOKUP(D751,TARIFAS!A:K,11,FALSE),0)
      )
   )
)
</f>
        <v>0</v>
      </c>
      <c r="U751" s="45">
        <f>IF(R751="",0,MAX(0,R751 - TARIFAS!G$2) * TARIFAS!F$2)
</f>
        <v>0</v>
      </c>
      <c r="V751" s="45">
        <f>+T751*TARIFAS!$K$2</f>
        <v>0</v>
      </c>
      <c r="W751" s="45">
        <f t="shared" si="2"/>
        <v>0</v>
      </c>
      <c r="X751" s="45">
        <f t="shared" si="3"/>
        <v>0</v>
      </c>
      <c r="Y751" s="45">
        <f t="shared" si="4"/>
        <v>0</v>
      </c>
      <c r="Z751" s="42" t="str">
        <f>CONFERENCIAS!AB751</f>
        <v/>
      </c>
      <c r="AA751" s="42" t="str">
        <f>CONFERENCIAS!AC751</f>
        <v/>
      </c>
      <c r="AB751" s="47" t="str">
        <f t="shared" si="5"/>
        <v/>
      </c>
      <c r="AC751" s="9" t="str">
        <f t="shared" si="6"/>
        <v/>
      </c>
    </row>
    <row r="752">
      <c r="A752" s="42" t="str">
        <f>CONFERENCIAS!A752</f>
        <v/>
      </c>
      <c r="D752" s="42" t="str">
        <f>CONFERENCIAS!C752</f>
        <v/>
      </c>
      <c r="E752" s="42" t="str">
        <f>CONFERENCIAS!K752</f>
        <v/>
      </c>
      <c r="F752" s="49" t="str">
        <f>CONFERENCIAS!J752</f>
        <v/>
      </c>
      <c r="G752" s="42" t="str">
        <f>CONFERENCIAS!O752</f>
        <v/>
      </c>
      <c r="H752" s="42" t="str">
        <f>CONFERENCIAS!X752</f>
        <v/>
      </c>
      <c r="I752" s="42" t="str">
        <f>CONFERENCIAS!AA752</f>
        <v/>
      </c>
      <c r="J752" s="44" t="str">
        <f>CONFERENCIAS!P752</f>
        <v/>
      </c>
      <c r="K752" s="45" t="str">
        <f>CONFERENCIAS!R752</f>
        <v/>
      </c>
      <c r="L752" s="45">
        <f>IF(D752="",0,
 IF(E752=1,
   IF(H752="Presencial",
      VLOOKUP(D752,TARIFAS!A:K,3,FALSE) + IF(I752="Sí",VLOOKUP(D752,TARIFAS!A:K,5,FALSE),0),
      VLOOKUP(D752,TARIFAS!A:K,4,FALSE) + IF(I752="Sí",VLOOKUP(D752,TARIFAS!A:K,5,FALSE),0)
   ),
   IF(H752="Presencial",
      VLOOKUP(D752,TARIFAS!A:K,9,FALSE) + IF(I752="Sí",VLOOKUP(D752,TARIFAS!A:K,11,FALSE),0),
      VLOOKUP(D752,TARIFAS!A:K,10,FALSE) + IF(I752="Sí",VLOOKUP(D752,TARIFAS!A:K,11,FALSE),0)
   )
 )
)
</f>
        <v>0</v>
      </c>
      <c r="M752" s="45">
        <f>IF(J752="",0,MAX(0,J752 - TARIFAS!G$2) * TARIFAS!F$2)
</f>
        <v>0</v>
      </c>
      <c r="N752" s="45">
        <f>+L752*TARIFAS!$K$2</f>
        <v>0</v>
      </c>
      <c r="O752" s="45">
        <f t="shared" si="1"/>
        <v>0</v>
      </c>
      <c r="P752" s="45">
        <f>+M752+O752+K752+(+I752-(I752*TARIFAS!$K$2))</f>
        <v>0</v>
      </c>
      <c r="Q752" s="42" t="str">
        <f>CONFERENCIAS!T752</f>
        <v/>
      </c>
      <c r="R752" s="45" t="str">
        <f>CONFERENCIAS!U752</f>
        <v/>
      </c>
      <c r="S752" s="45" t="str">
        <f>CONFERENCIAS!W752</f>
        <v/>
      </c>
      <c r="T752" s="48">
        <f>IF(Q752="",0,
   IF(E752=1,
      IF(H752="Presencial",
         VLOOKUP(D752,TARIFAS!A:K,3,FALSE) + IF(I752="Sí",VLOOKUP(D752,TARIFAS!A:K,5,FALSE),0),
         VLOOKUP(D752,TARIFAS!A:K,4,FALSE) + IF(I752="Sí",VLOOKUP(D752,TARIFAS!A:K,5,FALSE),0)
      ),
      IF(H752="Presencial",
         VLOOKUP(D752,TARIFAS!A:K,9,FALSE) + IF(I752="Sí",VLOOKUP(D752,TARIFAS!A:K,11,FALSE),0),
         VLOOKUP(D752,TARIFAS!A:K,10,FALSE) + IF(I752="Sí",VLOOKUP(D752,TARIFAS!A:K,11,FALSE),0)
      )
   )
)
</f>
        <v>0</v>
      </c>
      <c r="U752" s="45">
        <f>IF(R752="",0,MAX(0,R752 - TARIFAS!G$2) * TARIFAS!F$2)
</f>
        <v>0</v>
      </c>
      <c r="V752" s="45">
        <f>+T752*TARIFAS!$K$2</f>
        <v>0</v>
      </c>
      <c r="W752" s="45">
        <f t="shared" si="2"/>
        <v>0</v>
      </c>
      <c r="X752" s="45">
        <f t="shared" si="3"/>
        <v>0</v>
      </c>
      <c r="Y752" s="45">
        <f t="shared" si="4"/>
        <v>0</v>
      </c>
      <c r="Z752" s="42" t="str">
        <f>CONFERENCIAS!AB752</f>
        <v/>
      </c>
      <c r="AA752" s="42" t="str">
        <f>CONFERENCIAS!AC752</f>
        <v/>
      </c>
      <c r="AB752" s="47" t="str">
        <f t="shared" si="5"/>
        <v/>
      </c>
      <c r="AC752" s="9" t="str">
        <f t="shared" si="6"/>
        <v/>
      </c>
    </row>
    <row r="753">
      <c r="A753" s="42" t="str">
        <f>CONFERENCIAS!A753</f>
        <v/>
      </c>
      <c r="D753" s="42" t="str">
        <f>CONFERENCIAS!C753</f>
        <v/>
      </c>
      <c r="E753" s="42" t="str">
        <f>CONFERENCIAS!K753</f>
        <v/>
      </c>
      <c r="F753" s="49" t="str">
        <f>CONFERENCIAS!J753</f>
        <v/>
      </c>
      <c r="G753" s="42" t="str">
        <f>CONFERENCIAS!O753</f>
        <v/>
      </c>
      <c r="H753" s="42" t="str">
        <f>CONFERENCIAS!X753</f>
        <v/>
      </c>
      <c r="I753" s="42" t="str">
        <f>CONFERENCIAS!AA753</f>
        <v/>
      </c>
      <c r="J753" s="44" t="str">
        <f>CONFERENCIAS!P753</f>
        <v/>
      </c>
      <c r="K753" s="45" t="str">
        <f>CONFERENCIAS!R753</f>
        <v/>
      </c>
      <c r="L753" s="45">
        <f>IF(D753="",0,
 IF(E753=1,
   IF(H753="Presencial",
      VLOOKUP(D753,TARIFAS!A:K,3,FALSE) + IF(I753="Sí",VLOOKUP(D753,TARIFAS!A:K,5,FALSE),0),
      VLOOKUP(D753,TARIFAS!A:K,4,FALSE) + IF(I753="Sí",VLOOKUP(D753,TARIFAS!A:K,5,FALSE),0)
   ),
   IF(H753="Presencial",
      VLOOKUP(D753,TARIFAS!A:K,9,FALSE) + IF(I753="Sí",VLOOKUP(D753,TARIFAS!A:K,11,FALSE),0),
      VLOOKUP(D753,TARIFAS!A:K,10,FALSE) + IF(I753="Sí",VLOOKUP(D753,TARIFAS!A:K,11,FALSE),0)
   )
 )
)
</f>
        <v>0</v>
      </c>
      <c r="M753" s="45">
        <f>IF(J753="",0,MAX(0,J753 - TARIFAS!G$2) * TARIFAS!F$2)
</f>
        <v>0</v>
      </c>
      <c r="N753" s="45">
        <f>+L753*TARIFAS!$K$2</f>
        <v>0</v>
      </c>
      <c r="O753" s="45">
        <f t="shared" si="1"/>
        <v>0</v>
      </c>
      <c r="P753" s="45">
        <f>+M753+O753+K753+(+I753-(I753*TARIFAS!$K$2))</f>
        <v>0</v>
      </c>
      <c r="Q753" s="42" t="str">
        <f>CONFERENCIAS!T753</f>
        <v/>
      </c>
      <c r="R753" s="45" t="str">
        <f>CONFERENCIAS!U753</f>
        <v/>
      </c>
      <c r="S753" s="45" t="str">
        <f>CONFERENCIAS!W753</f>
        <v/>
      </c>
      <c r="T753" s="48">
        <f>IF(Q753="",0,
   IF(E753=1,
      IF(H753="Presencial",
         VLOOKUP(D753,TARIFAS!A:K,3,FALSE) + IF(I753="Sí",VLOOKUP(D753,TARIFAS!A:K,5,FALSE),0),
         VLOOKUP(D753,TARIFAS!A:K,4,FALSE) + IF(I753="Sí",VLOOKUP(D753,TARIFAS!A:K,5,FALSE),0)
      ),
      IF(H753="Presencial",
         VLOOKUP(D753,TARIFAS!A:K,9,FALSE) + IF(I753="Sí",VLOOKUP(D753,TARIFAS!A:K,11,FALSE),0),
         VLOOKUP(D753,TARIFAS!A:K,10,FALSE) + IF(I753="Sí",VLOOKUP(D753,TARIFAS!A:K,11,FALSE),0)
      )
   )
)
</f>
        <v>0</v>
      </c>
      <c r="U753" s="45">
        <f>IF(R753="",0,MAX(0,R753 - TARIFAS!G$2) * TARIFAS!F$2)
</f>
        <v>0</v>
      </c>
      <c r="V753" s="45">
        <f>+T753*TARIFAS!$K$2</f>
        <v>0</v>
      </c>
      <c r="W753" s="45">
        <f t="shared" si="2"/>
        <v>0</v>
      </c>
      <c r="X753" s="45">
        <f t="shared" si="3"/>
        <v>0</v>
      </c>
      <c r="Y753" s="45">
        <f t="shared" si="4"/>
        <v>0</v>
      </c>
      <c r="Z753" s="42" t="str">
        <f>CONFERENCIAS!AB753</f>
        <v/>
      </c>
      <c r="AA753" s="42" t="str">
        <f>CONFERENCIAS!AC753</f>
        <v/>
      </c>
      <c r="AB753" s="47" t="str">
        <f t="shared" si="5"/>
        <v/>
      </c>
      <c r="AC753" s="9" t="str">
        <f t="shared" si="6"/>
        <v/>
      </c>
    </row>
    <row r="754">
      <c r="A754" s="42" t="str">
        <f>CONFERENCIAS!A754</f>
        <v/>
      </c>
      <c r="D754" s="42" t="str">
        <f>CONFERENCIAS!C754</f>
        <v/>
      </c>
      <c r="E754" s="42" t="str">
        <f>CONFERENCIAS!K754</f>
        <v/>
      </c>
      <c r="F754" s="49" t="str">
        <f>CONFERENCIAS!J754</f>
        <v/>
      </c>
      <c r="G754" s="42" t="str">
        <f>CONFERENCIAS!O754</f>
        <v/>
      </c>
      <c r="H754" s="42" t="str">
        <f>CONFERENCIAS!X754</f>
        <v/>
      </c>
      <c r="I754" s="42" t="str">
        <f>CONFERENCIAS!AA754</f>
        <v/>
      </c>
      <c r="J754" s="44" t="str">
        <f>CONFERENCIAS!P754</f>
        <v/>
      </c>
      <c r="K754" s="45" t="str">
        <f>CONFERENCIAS!R754</f>
        <v/>
      </c>
      <c r="L754" s="45">
        <f>IF(D754="",0,
 IF(E754=1,
   IF(H754="Presencial",
      VLOOKUP(D754,TARIFAS!A:K,3,FALSE) + IF(I754="Sí",VLOOKUP(D754,TARIFAS!A:K,5,FALSE),0),
      VLOOKUP(D754,TARIFAS!A:K,4,FALSE) + IF(I754="Sí",VLOOKUP(D754,TARIFAS!A:K,5,FALSE),0)
   ),
   IF(H754="Presencial",
      VLOOKUP(D754,TARIFAS!A:K,9,FALSE) + IF(I754="Sí",VLOOKUP(D754,TARIFAS!A:K,11,FALSE),0),
      VLOOKUP(D754,TARIFAS!A:K,10,FALSE) + IF(I754="Sí",VLOOKUP(D754,TARIFAS!A:K,11,FALSE),0)
   )
 )
)
</f>
        <v>0</v>
      </c>
      <c r="M754" s="45">
        <f>IF(J754="",0,MAX(0,J754 - TARIFAS!G$2) * TARIFAS!F$2)
</f>
        <v>0</v>
      </c>
      <c r="N754" s="45">
        <f>+L754*TARIFAS!$K$2</f>
        <v>0</v>
      </c>
      <c r="O754" s="45">
        <f t="shared" si="1"/>
        <v>0</v>
      </c>
      <c r="P754" s="45">
        <f>+M754+O754+K754+(+I754-(I754*TARIFAS!$K$2))</f>
        <v>0</v>
      </c>
      <c r="Q754" s="42" t="str">
        <f>CONFERENCIAS!T754</f>
        <v/>
      </c>
      <c r="R754" s="45" t="str">
        <f>CONFERENCIAS!U754</f>
        <v/>
      </c>
      <c r="S754" s="45" t="str">
        <f>CONFERENCIAS!W754</f>
        <v/>
      </c>
      <c r="T754" s="48">
        <f>IF(Q754="",0,
   IF(E754=1,
      IF(H754="Presencial",
         VLOOKUP(D754,TARIFAS!A:K,3,FALSE) + IF(I754="Sí",VLOOKUP(D754,TARIFAS!A:K,5,FALSE),0),
         VLOOKUP(D754,TARIFAS!A:K,4,FALSE) + IF(I754="Sí",VLOOKUP(D754,TARIFAS!A:K,5,FALSE),0)
      ),
      IF(H754="Presencial",
         VLOOKUP(D754,TARIFAS!A:K,9,FALSE) + IF(I754="Sí",VLOOKUP(D754,TARIFAS!A:K,11,FALSE),0),
         VLOOKUP(D754,TARIFAS!A:K,10,FALSE) + IF(I754="Sí",VLOOKUP(D754,TARIFAS!A:K,11,FALSE),0)
      )
   )
)
</f>
        <v>0</v>
      </c>
      <c r="U754" s="45">
        <f>IF(R754="",0,MAX(0,R754 - TARIFAS!G$2) * TARIFAS!F$2)
</f>
        <v>0</v>
      </c>
      <c r="V754" s="45">
        <f>+T754*TARIFAS!$K$2</f>
        <v>0</v>
      </c>
      <c r="W754" s="45">
        <f t="shared" si="2"/>
        <v>0</v>
      </c>
      <c r="X754" s="45">
        <f t="shared" si="3"/>
        <v>0</v>
      </c>
      <c r="Y754" s="45">
        <f t="shared" si="4"/>
        <v>0</v>
      </c>
      <c r="Z754" s="42" t="str">
        <f>CONFERENCIAS!AB754</f>
        <v/>
      </c>
      <c r="AA754" s="42" t="str">
        <f>CONFERENCIAS!AC754</f>
        <v/>
      </c>
      <c r="AB754" s="47" t="str">
        <f t="shared" si="5"/>
        <v/>
      </c>
      <c r="AC754" s="9" t="str">
        <f t="shared" si="6"/>
        <v/>
      </c>
    </row>
    <row r="755">
      <c r="A755" s="42" t="str">
        <f>CONFERENCIAS!A755</f>
        <v/>
      </c>
      <c r="D755" s="42" t="str">
        <f>CONFERENCIAS!C755</f>
        <v/>
      </c>
      <c r="E755" s="42" t="str">
        <f>CONFERENCIAS!K755</f>
        <v/>
      </c>
      <c r="F755" s="49" t="str">
        <f>CONFERENCIAS!J755</f>
        <v/>
      </c>
      <c r="G755" s="42" t="str">
        <f>CONFERENCIAS!O755</f>
        <v/>
      </c>
      <c r="H755" s="42" t="str">
        <f>CONFERENCIAS!X755</f>
        <v/>
      </c>
      <c r="I755" s="42" t="str">
        <f>CONFERENCIAS!AA755</f>
        <v/>
      </c>
      <c r="J755" s="44" t="str">
        <f>CONFERENCIAS!P755</f>
        <v/>
      </c>
      <c r="K755" s="45" t="str">
        <f>CONFERENCIAS!R755</f>
        <v/>
      </c>
      <c r="L755" s="45">
        <f>IF(D755="",0,
 IF(E755=1,
   IF(H755="Presencial",
      VLOOKUP(D755,TARIFAS!A:K,3,FALSE) + IF(I755="Sí",VLOOKUP(D755,TARIFAS!A:K,5,FALSE),0),
      VLOOKUP(D755,TARIFAS!A:K,4,FALSE) + IF(I755="Sí",VLOOKUP(D755,TARIFAS!A:K,5,FALSE),0)
   ),
   IF(H755="Presencial",
      VLOOKUP(D755,TARIFAS!A:K,9,FALSE) + IF(I755="Sí",VLOOKUP(D755,TARIFAS!A:K,11,FALSE),0),
      VLOOKUP(D755,TARIFAS!A:K,10,FALSE) + IF(I755="Sí",VLOOKUP(D755,TARIFAS!A:K,11,FALSE),0)
   )
 )
)
</f>
        <v>0</v>
      </c>
      <c r="M755" s="45">
        <f>IF(J755="",0,MAX(0,J755 - TARIFAS!G$2) * TARIFAS!F$2)
</f>
        <v>0</v>
      </c>
      <c r="N755" s="45">
        <f>+L755*TARIFAS!$K$2</f>
        <v>0</v>
      </c>
      <c r="O755" s="45">
        <f t="shared" si="1"/>
        <v>0</v>
      </c>
      <c r="P755" s="45">
        <f>+M755+O755+K755+(+I755-(I755*TARIFAS!$K$2))</f>
        <v>0</v>
      </c>
      <c r="Q755" s="42" t="str">
        <f>CONFERENCIAS!T755</f>
        <v/>
      </c>
      <c r="R755" s="45" t="str">
        <f>CONFERENCIAS!U755</f>
        <v/>
      </c>
      <c r="S755" s="45" t="str">
        <f>CONFERENCIAS!W755</f>
        <v/>
      </c>
      <c r="T755" s="48">
        <f>IF(Q755="",0,
   IF(E755=1,
      IF(H755="Presencial",
         VLOOKUP(D755,TARIFAS!A:K,3,FALSE) + IF(I755="Sí",VLOOKUP(D755,TARIFAS!A:K,5,FALSE),0),
         VLOOKUP(D755,TARIFAS!A:K,4,FALSE) + IF(I755="Sí",VLOOKUP(D755,TARIFAS!A:K,5,FALSE),0)
      ),
      IF(H755="Presencial",
         VLOOKUP(D755,TARIFAS!A:K,9,FALSE) + IF(I755="Sí",VLOOKUP(D755,TARIFAS!A:K,11,FALSE),0),
         VLOOKUP(D755,TARIFAS!A:K,10,FALSE) + IF(I755="Sí",VLOOKUP(D755,TARIFAS!A:K,11,FALSE),0)
      )
   )
)
</f>
        <v>0</v>
      </c>
      <c r="U755" s="45">
        <f>IF(R755="",0,MAX(0,R755 - TARIFAS!G$2) * TARIFAS!F$2)
</f>
        <v>0</v>
      </c>
      <c r="V755" s="45">
        <f>+T755*TARIFAS!$K$2</f>
        <v>0</v>
      </c>
      <c r="W755" s="45">
        <f t="shared" si="2"/>
        <v>0</v>
      </c>
      <c r="X755" s="45">
        <f t="shared" si="3"/>
        <v>0</v>
      </c>
      <c r="Y755" s="45">
        <f t="shared" si="4"/>
        <v>0</v>
      </c>
      <c r="Z755" s="42" t="str">
        <f>CONFERENCIAS!AB755</f>
        <v/>
      </c>
      <c r="AA755" s="42" t="str">
        <f>CONFERENCIAS!AC755</f>
        <v/>
      </c>
      <c r="AB755" s="47" t="str">
        <f t="shared" si="5"/>
        <v/>
      </c>
      <c r="AC755" s="9" t="str">
        <f t="shared" si="6"/>
        <v/>
      </c>
    </row>
    <row r="756">
      <c r="A756" s="42" t="str">
        <f>CONFERENCIAS!A756</f>
        <v/>
      </c>
      <c r="D756" s="42" t="str">
        <f>CONFERENCIAS!C756</f>
        <v/>
      </c>
      <c r="E756" s="42" t="str">
        <f>CONFERENCIAS!K756</f>
        <v/>
      </c>
      <c r="F756" s="49" t="str">
        <f>CONFERENCIAS!J756</f>
        <v/>
      </c>
      <c r="G756" s="42" t="str">
        <f>CONFERENCIAS!O756</f>
        <v/>
      </c>
      <c r="H756" s="42" t="str">
        <f>CONFERENCIAS!X756</f>
        <v/>
      </c>
      <c r="I756" s="42" t="str">
        <f>CONFERENCIAS!AA756</f>
        <v/>
      </c>
      <c r="J756" s="44" t="str">
        <f>CONFERENCIAS!P756</f>
        <v/>
      </c>
      <c r="K756" s="45" t="str">
        <f>CONFERENCIAS!R756</f>
        <v/>
      </c>
      <c r="L756" s="45">
        <f>IF(D756="",0,
 IF(E756=1,
   IF(H756="Presencial",
      VLOOKUP(D756,TARIFAS!A:K,3,FALSE) + IF(I756="Sí",VLOOKUP(D756,TARIFAS!A:K,5,FALSE),0),
      VLOOKUP(D756,TARIFAS!A:K,4,FALSE) + IF(I756="Sí",VLOOKUP(D756,TARIFAS!A:K,5,FALSE),0)
   ),
   IF(H756="Presencial",
      VLOOKUP(D756,TARIFAS!A:K,9,FALSE) + IF(I756="Sí",VLOOKUP(D756,TARIFAS!A:K,11,FALSE),0),
      VLOOKUP(D756,TARIFAS!A:K,10,FALSE) + IF(I756="Sí",VLOOKUP(D756,TARIFAS!A:K,11,FALSE),0)
   )
 )
)
</f>
        <v>0</v>
      </c>
      <c r="M756" s="45">
        <f>IF(J756="",0,MAX(0,J756 - TARIFAS!G$2) * TARIFAS!F$2)
</f>
        <v>0</v>
      </c>
      <c r="N756" s="45">
        <f>+L756*TARIFAS!$K$2</f>
        <v>0</v>
      </c>
      <c r="O756" s="45">
        <f t="shared" si="1"/>
        <v>0</v>
      </c>
      <c r="P756" s="45">
        <f>+M756+O756+K756+(+I756-(I756*TARIFAS!$K$2))</f>
        <v>0</v>
      </c>
      <c r="Q756" s="42" t="str">
        <f>CONFERENCIAS!T756</f>
        <v/>
      </c>
      <c r="R756" s="45" t="str">
        <f>CONFERENCIAS!U756</f>
        <v/>
      </c>
      <c r="S756" s="45" t="str">
        <f>CONFERENCIAS!W756</f>
        <v/>
      </c>
      <c r="T756" s="48">
        <f>IF(Q756="",0,
   IF(E756=1,
      IF(H756="Presencial",
         VLOOKUP(D756,TARIFAS!A:K,3,FALSE) + IF(I756="Sí",VLOOKUP(D756,TARIFAS!A:K,5,FALSE),0),
         VLOOKUP(D756,TARIFAS!A:K,4,FALSE) + IF(I756="Sí",VLOOKUP(D756,TARIFAS!A:K,5,FALSE),0)
      ),
      IF(H756="Presencial",
         VLOOKUP(D756,TARIFAS!A:K,9,FALSE) + IF(I756="Sí",VLOOKUP(D756,TARIFAS!A:K,11,FALSE),0),
         VLOOKUP(D756,TARIFAS!A:K,10,FALSE) + IF(I756="Sí",VLOOKUP(D756,TARIFAS!A:K,11,FALSE),0)
      )
   )
)
</f>
        <v>0</v>
      </c>
      <c r="U756" s="45">
        <f>IF(R756="",0,MAX(0,R756 - TARIFAS!G$2) * TARIFAS!F$2)
</f>
        <v>0</v>
      </c>
      <c r="V756" s="45">
        <f>+T756*TARIFAS!$K$2</f>
        <v>0</v>
      </c>
      <c r="W756" s="45">
        <f t="shared" si="2"/>
        <v>0</v>
      </c>
      <c r="X756" s="45">
        <f t="shared" si="3"/>
        <v>0</v>
      </c>
      <c r="Y756" s="45">
        <f t="shared" si="4"/>
        <v>0</v>
      </c>
      <c r="Z756" s="42" t="str">
        <f>CONFERENCIAS!AB756</f>
        <v/>
      </c>
      <c r="AA756" s="42" t="str">
        <f>CONFERENCIAS!AC756</f>
        <v/>
      </c>
      <c r="AB756" s="47" t="str">
        <f t="shared" si="5"/>
        <v/>
      </c>
      <c r="AC756" s="9" t="str">
        <f t="shared" si="6"/>
        <v/>
      </c>
    </row>
    <row r="757">
      <c r="A757" s="42" t="str">
        <f>CONFERENCIAS!A757</f>
        <v/>
      </c>
      <c r="D757" s="42" t="str">
        <f>CONFERENCIAS!C757</f>
        <v/>
      </c>
      <c r="E757" s="42" t="str">
        <f>CONFERENCIAS!K757</f>
        <v/>
      </c>
      <c r="F757" s="49" t="str">
        <f>CONFERENCIAS!J757</f>
        <v/>
      </c>
      <c r="G757" s="42" t="str">
        <f>CONFERENCIAS!O757</f>
        <v/>
      </c>
      <c r="H757" s="42" t="str">
        <f>CONFERENCIAS!X757</f>
        <v/>
      </c>
      <c r="I757" s="42" t="str">
        <f>CONFERENCIAS!AA757</f>
        <v/>
      </c>
      <c r="J757" s="44" t="str">
        <f>CONFERENCIAS!P757</f>
        <v/>
      </c>
      <c r="K757" s="45" t="str">
        <f>CONFERENCIAS!R757</f>
        <v/>
      </c>
      <c r="L757" s="45">
        <f>IF(D757="",0,
 IF(E757=1,
   IF(H757="Presencial",
      VLOOKUP(D757,TARIFAS!A:K,3,FALSE) + IF(I757="Sí",VLOOKUP(D757,TARIFAS!A:K,5,FALSE),0),
      VLOOKUP(D757,TARIFAS!A:K,4,FALSE) + IF(I757="Sí",VLOOKUP(D757,TARIFAS!A:K,5,FALSE),0)
   ),
   IF(H757="Presencial",
      VLOOKUP(D757,TARIFAS!A:K,9,FALSE) + IF(I757="Sí",VLOOKUP(D757,TARIFAS!A:K,11,FALSE),0),
      VLOOKUP(D757,TARIFAS!A:K,10,FALSE) + IF(I757="Sí",VLOOKUP(D757,TARIFAS!A:K,11,FALSE),0)
   )
 )
)
</f>
        <v>0</v>
      </c>
      <c r="M757" s="45">
        <f>IF(J757="",0,MAX(0,J757 - TARIFAS!G$2) * TARIFAS!F$2)
</f>
        <v>0</v>
      </c>
      <c r="N757" s="45">
        <f>+L757*TARIFAS!$K$2</f>
        <v>0</v>
      </c>
      <c r="O757" s="45">
        <f t="shared" si="1"/>
        <v>0</v>
      </c>
      <c r="P757" s="45">
        <f>+M757+O757+K757+(+I757-(I757*TARIFAS!$K$2))</f>
        <v>0</v>
      </c>
      <c r="Q757" s="42" t="str">
        <f>CONFERENCIAS!T757</f>
        <v/>
      </c>
      <c r="R757" s="45" t="str">
        <f>CONFERENCIAS!U757</f>
        <v/>
      </c>
      <c r="S757" s="45" t="str">
        <f>CONFERENCIAS!W757</f>
        <v/>
      </c>
      <c r="T757" s="48">
        <f>IF(Q757="",0,
   IF(E757=1,
      IF(H757="Presencial",
         VLOOKUP(D757,TARIFAS!A:K,3,FALSE) + IF(I757="Sí",VLOOKUP(D757,TARIFAS!A:K,5,FALSE),0),
         VLOOKUP(D757,TARIFAS!A:K,4,FALSE) + IF(I757="Sí",VLOOKUP(D757,TARIFAS!A:K,5,FALSE),0)
      ),
      IF(H757="Presencial",
         VLOOKUP(D757,TARIFAS!A:K,9,FALSE) + IF(I757="Sí",VLOOKUP(D757,TARIFAS!A:K,11,FALSE),0),
         VLOOKUP(D757,TARIFAS!A:K,10,FALSE) + IF(I757="Sí",VLOOKUP(D757,TARIFAS!A:K,11,FALSE),0)
      )
   )
)
</f>
        <v>0</v>
      </c>
      <c r="U757" s="45">
        <f>IF(R757="",0,MAX(0,R757 - TARIFAS!G$2) * TARIFAS!F$2)
</f>
        <v>0</v>
      </c>
      <c r="V757" s="45">
        <f>+T757*TARIFAS!$K$2</f>
        <v>0</v>
      </c>
      <c r="W757" s="45">
        <f t="shared" si="2"/>
        <v>0</v>
      </c>
      <c r="X757" s="45">
        <f t="shared" si="3"/>
        <v>0</v>
      </c>
      <c r="Y757" s="45">
        <f t="shared" si="4"/>
        <v>0</v>
      </c>
      <c r="Z757" s="42" t="str">
        <f>CONFERENCIAS!AB757</f>
        <v/>
      </c>
      <c r="AA757" s="42" t="str">
        <f>CONFERENCIAS!AC757</f>
        <v/>
      </c>
      <c r="AB757" s="47" t="str">
        <f t="shared" si="5"/>
        <v/>
      </c>
      <c r="AC757" s="9" t="str">
        <f t="shared" si="6"/>
        <v/>
      </c>
    </row>
    <row r="758">
      <c r="A758" s="42" t="str">
        <f>CONFERENCIAS!A758</f>
        <v/>
      </c>
      <c r="D758" s="42" t="str">
        <f>CONFERENCIAS!C758</f>
        <v/>
      </c>
      <c r="E758" s="42" t="str">
        <f>CONFERENCIAS!K758</f>
        <v/>
      </c>
      <c r="F758" s="49" t="str">
        <f>CONFERENCIAS!J758</f>
        <v/>
      </c>
      <c r="G758" s="42" t="str">
        <f>CONFERENCIAS!O758</f>
        <v/>
      </c>
      <c r="H758" s="42" t="str">
        <f>CONFERENCIAS!X758</f>
        <v/>
      </c>
      <c r="I758" s="42" t="str">
        <f>CONFERENCIAS!AA758</f>
        <v/>
      </c>
      <c r="J758" s="44" t="str">
        <f>CONFERENCIAS!P758</f>
        <v/>
      </c>
      <c r="K758" s="45" t="str">
        <f>CONFERENCIAS!R758</f>
        <v/>
      </c>
      <c r="L758" s="45">
        <f>IF(D758="",0,
 IF(E758=1,
   IF(H758="Presencial",
      VLOOKUP(D758,TARIFAS!A:K,3,FALSE) + IF(I758="Sí",VLOOKUP(D758,TARIFAS!A:K,5,FALSE),0),
      VLOOKUP(D758,TARIFAS!A:K,4,FALSE) + IF(I758="Sí",VLOOKUP(D758,TARIFAS!A:K,5,FALSE),0)
   ),
   IF(H758="Presencial",
      VLOOKUP(D758,TARIFAS!A:K,9,FALSE) + IF(I758="Sí",VLOOKUP(D758,TARIFAS!A:K,11,FALSE),0),
      VLOOKUP(D758,TARIFAS!A:K,10,FALSE) + IF(I758="Sí",VLOOKUP(D758,TARIFAS!A:K,11,FALSE),0)
   )
 )
)
</f>
        <v>0</v>
      </c>
      <c r="M758" s="45">
        <f>IF(J758="",0,MAX(0,J758 - TARIFAS!G$2) * TARIFAS!F$2)
</f>
        <v>0</v>
      </c>
      <c r="N758" s="45">
        <f>+L758*TARIFAS!$K$2</f>
        <v>0</v>
      </c>
      <c r="O758" s="45">
        <f t="shared" si="1"/>
        <v>0</v>
      </c>
      <c r="P758" s="45">
        <f>+M758+O758+K758+(+I758-(I758*TARIFAS!$K$2))</f>
        <v>0</v>
      </c>
      <c r="Q758" s="42" t="str">
        <f>CONFERENCIAS!T758</f>
        <v/>
      </c>
      <c r="R758" s="45" t="str">
        <f>CONFERENCIAS!U758</f>
        <v/>
      </c>
      <c r="S758" s="45" t="str">
        <f>CONFERENCIAS!W758</f>
        <v/>
      </c>
      <c r="T758" s="48">
        <f>IF(Q758="",0,
   IF(E758=1,
      IF(H758="Presencial",
         VLOOKUP(D758,TARIFAS!A:K,3,FALSE) + IF(I758="Sí",VLOOKUP(D758,TARIFAS!A:K,5,FALSE),0),
         VLOOKUP(D758,TARIFAS!A:K,4,FALSE) + IF(I758="Sí",VLOOKUP(D758,TARIFAS!A:K,5,FALSE),0)
      ),
      IF(H758="Presencial",
         VLOOKUP(D758,TARIFAS!A:K,9,FALSE) + IF(I758="Sí",VLOOKUP(D758,TARIFAS!A:K,11,FALSE),0),
         VLOOKUP(D758,TARIFAS!A:K,10,FALSE) + IF(I758="Sí",VLOOKUP(D758,TARIFAS!A:K,11,FALSE),0)
      )
   )
)
</f>
        <v>0</v>
      </c>
      <c r="U758" s="45">
        <f>IF(R758="",0,MAX(0,R758 - TARIFAS!G$2) * TARIFAS!F$2)
</f>
        <v>0</v>
      </c>
      <c r="V758" s="45">
        <f>+T758*TARIFAS!$K$2</f>
        <v>0</v>
      </c>
      <c r="W758" s="45">
        <f t="shared" si="2"/>
        <v>0</v>
      </c>
      <c r="X758" s="45">
        <f t="shared" si="3"/>
        <v>0</v>
      </c>
      <c r="Y758" s="45">
        <f t="shared" si="4"/>
        <v>0</v>
      </c>
      <c r="Z758" s="42" t="str">
        <f>CONFERENCIAS!AB758</f>
        <v/>
      </c>
      <c r="AA758" s="42" t="str">
        <f>CONFERENCIAS!AC758</f>
        <v/>
      </c>
      <c r="AB758" s="47" t="str">
        <f t="shared" si="5"/>
        <v/>
      </c>
      <c r="AC758" s="9" t="str">
        <f t="shared" si="6"/>
        <v/>
      </c>
    </row>
    <row r="759">
      <c r="A759" s="42" t="str">
        <f>CONFERENCIAS!A759</f>
        <v/>
      </c>
      <c r="D759" s="42" t="str">
        <f>CONFERENCIAS!C759</f>
        <v/>
      </c>
      <c r="E759" s="42" t="str">
        <f>CONFERENCIAS!K759</f>
        <v/>
      </c>
      <c r="F759" s="49" t="str">
        <f>CONFERENCIAS!J759</f>
        <v/>
      </c>
      <c r="G759" s="42" t="str">
        <f>CONFERENCIAS!O759</f>
        <v/>
      </c>
      <c r="H759" s="42" t="str">
        <f>CONFERENCIAS!X759</f>
        <v/>
      </c>
      <c r="I759" s="42" t="str">
        <f>CONFERENCIAS!AA759</f>
        <v/>
      </c>
      <c r="J759" s="44" t="str">
        <f>CONFERENCIAS!P759</f>
        <v/>
      </c>
      <c r="K759" s="45" t="str">
        <f>CONFERENCIAS!R759</f>
        <v/>
      </c>
      <c r="L759" s="45">
        <f>IF(D759="",0,
 IF(E759=1,
   IF(H759="Presencial",
      VLOOKUP(D759,TARIFAS!A:K,3,FALSE) + IF(I759="Sí",VLOOKUP(D759,TARIFAS!A:K,5,FALSE),0),
      VLOOKUP(D759,TARIFAS!A:K,4,FALSE) + IF(I759="Sí",VLOOKUP(D759,TARIFAS!A:K,5,FALSE),0)
   ),
   IF(H759="Presencial",
      VLOOKUP(D759,TARIFAS!A:K,9,FALSE) + IF(I759="Sí",VLOOKUP(D759,TARIFAS!A:K,11,FALSE),0),
      VLOOKUP(D759,TARIFAS!A:K,10,FALSE) + IF(I759="Sí",VLOOKUP(D759,TARIFAS!A:K,11,FALSE),0)
   )
 )
)
</f>
        <v>0</v>
      </c>
      <c r="M759" s="45">
        <f>IF(J759="",0,MAX(0,J759 - TARIFAS!G$2) * TARIFAS!F$2)
</f>
        <v>0</v>
      </c>
      <c r="N759" s="45">
        <f>+L759*TARIFAS!$K$2</f>
        <v>0</v>
      </c>
      <c r="O759" s="45">
        <f t="shared" si="1"/>
        <v>0</v>
      </c>
      <c r="P759" s="45">
        <f>+M759+O759+K759+(+I759-(I759*TARIFAS!$K$2))</f>
        <v>0</v>
      </c>
      <c r="Q759" s="42" t="str">
        <f>CONFERENCIAS!T759</f>
        <v/>
      </c>
      <c r="R759" s="45" t="str">
        <f>CONFERENCIAS!U759</f>
        <v/>
      </c>
      <c r="S759" s="45" t="str">
        <f>CONFERENCIAS!W759</f>
        <v/>
      </c>
      <c r="T759" s="48">
        <f>IF(Q759="",0,
   IF(E759=1,
      IF(H759="Presencial",
         VLOOKUP(D759,TARIFAS!A:K,3,FALSE) + IF(I759="Sí",VLOOKUP(D759,TARIFAS!A:K,5,FALSE),0),
         VLOOKUP(D759,TARIFAS!A:K,4,FALSE) + IF(I759="Sí",VLOOKUP(D759,TARIFAS!A:K,5,FALSE),0)
      ),
      IF(H759="Presencial",
         VLOOKUP(D759,TARIFAS!A:K,9,FALSE) + IF(I759="Sí",VLOOKUP(D759,TARIFAS!A:K,11,FALSE),0),
         VLOOKUP(D759,TARIFAS!A:K,10,FALSE) + IF(I759="Sí",VLOOKUP(D759,TARIFAS!A:K,11,FALSE),0)
      )
   )
)
</f>
        <v>0</v>
      </c>
      <c r="U759" s="45">
        <f>IF(R759="",0,MAX(0,R759 - TARIFAS!G$2) * TARIFAS!F$2)
</f>
        <v>0</v>
      </c>
      <c r="V759" s="45">
        <f>+T759*TARIFAS!$K$2</f>
        <v>0</v>
      </c>
      <c r="W759" s="45">
        <f t="shared" si="2"/>
        <v>0</v>
      </c>
      <c r="X759" s="45">
        <f t="shared" si="3"/>
        <v>0</v>
      </c>
      <c r="Y759" s="45">
        <f t="shared" si="4"/>
        <v>0</v>
      </c>
      <c r="Z759" s="42" t="str">
        <f>CONFERENCIAS!AB759</f>
        <v/>
      </c>
      <c r="AA759" s="42" t="str">
        <f>CONFERENCIAS!AC759</f>
        <v/>
      </c>
      <c r="AB759" s="47" t="str">
        <f t="shared" si="5"/>
        <v/>
      </c>
      <c r="AC759" s="9" t="str">
        <f t="shared" si="6"/>
        <v/>
      </c>
    </row>
    <row r="760">
      <c r="A760" s="42" t="str">
        <f>CONFERENCIAS!A760</f>
        <v/>
      </c>
      <c r="D760" s="42" t="str">
        <f>CONFERENCIAS!C760</f>
        <v/>
      </c>
      <c r="E760" s="42" t="str">
        <f>CONFERENCIAS!K760</f>
        <v/>
      </c>
      <c r="F760" s="49" t="str">
        <f>CONFERENCIAS!J760</f>
        <v/>
      </c>
      <c r="G760" s="42" t="str">
        <f>CONFERENCIAS!O760</f>
        <v/>
      </c>
      <c r="H760" s="42" t="str">
        <f>CONFERENCIAS!X760</f>
        <v/>
      </c>
      <c r="I760" s="42" t="str">
        <f>CONFERENCIAS!AA760</f>
        <v/>
      </c>
      <c r="J760" s="44" t="str">
        <f>CONFERENCIAS!P760</f>
        <v/>
      </c>
      <c r="K760" s="45" t="str">
        <f>CONFERENCIAS!R760</f>
        <v/>
      </c>
      <c r="L760" s="45">
        <f>IF(D760="",0,
 IF(E760=1,
   IF(H760="Presencial",
      VLOOKUP(D760,TARIFAS!A:K,3,FALSE) + IF(I760="Sí",VLOOKUP(D760,TARIFAS!A:K,5,FALSE),0),
      VLOOKUP(D760,TARIFAS!A:K,4,FALSE) + IF(I760="Sí",VLOOKUP(D760,TARIFAS!A:K,5,FALSE),0)
   ),
   IF(H760="Presencial",
      VLOOKUP(D760,TARIFAS!A:K,9,FALSE) + IF(I760="Sí",VLOOKUP(D760,TARIFAS!A:K,11,FALSE),0),
      VLOOKUP(D760,TARIFAS!A:K,10,FALSE) + IF(I760="Sí",VLOOKUP(D760,TARIFAS!A:K,11,FALSE),0)
   )
 )
)
</f>
        <v>0</v>
      </c>
      <c r="M760" s="45">
        <f>IF(J760="",0,MAX(0,J760 - TARIFAS!G$2) * TARIFAS!F$2)
</f>
        <v>0</v>
      </c>
      <c r="N760" s="45">
        <f>+L760*TARIFAS!$K$2</f>
        <v>0</v>
      </c>
      <c r="O760" s="45">
        <f t="shared" si="1"/>
        <v>0</v>
      </c>
      <c r="P760" s="45">
        <f>+M760+O760+K760+(+I760-(I760*TARIFAS!$K$2))</f>
        <v>0</v>
      </c>
      <c r="Q760" s="42" t="str">
        <f>CONFERENCIAS!T760</f>
        <v/>
      </c>
      <c r="R760" s="45" t="str">
        <f>CONFERENCIAS!U760</f>
        <v/>
      </c>
      <c r="S760" s="45" t="str">
        <f>CONFERENCIAS!W760</f>
        <v/>
      </c>
      <c r="T760" s="48">
        <f>IF(Q760="",0,
   IF(E760=1,
      IF(H760="Presencial",
         VLOOKUP(D760,TARIFAS!A:K,3,FALSE) + IF(I760="Sí",VLOOKUP(D760,TARIFAS!A:K,5,FALSE),0),
         VLOOKUP(D760,TARIFAS!A:K,4,FALSE) + IF(I760="Sí",VLOOKUP(D760,TARIFAS!A:K,5,FALSE),0)
      ),
      IF(H760="Presencial",
         VLOOKUP(D760,TARIFAS!A:K,9,FALSE) + IF(I760="Sí",VLOOKUP(D760,TARIFAS!A:K,11,FALSE),0),
         VLOOKUP(D760,TARIFAS!A:K,10,FALSE) + IF(I760="Sí",VLOOKUP(D760,TARIFAS!A:K,11,FALSE),0)
      )
   )
)
</f>
        <v>0</v>
      </c>
      <c r="U760" s="45">
        <f>IF(R760="",0,MAX(0,R760 - TARIFAS!G$2) * TARIFAS!F$2)
</f>
        <v>0</v>
      </c>
      <c r="V760" s="45">
        <f>+T760*TARIFAS!$K$2</f>
        <v>0</v>
      </c>
      <c r="W760" s="45">
        <f t="shared" si="2"/>
        <v>0</v>
      </c>
      <c r="X760" s="45">
        <f t="shared" si="3"/>
        <v>0</v>
      </c>
      <c r="Y760" s="45">
        <f t="shared" si="4"/>
        <v>0</v>
      </c>
      <c r="Z760" s="42" t="str">
        <f>CONFERENCIAS!AB760</f>
        <v/>
      </c>
      <c r="AA760" s="42" t="str">
        <f>CONFERENCIAS!AC760</f>
        <v/>
      </c>
      <c r="AB760" s="47" t="str">
        <f t="shared" si="5"/>
        <v/>
      </c>
      <c r="AC760" s="9" t="str">
        <f t="shared" si="6"/>
        <v/>
      </c>
    </row>
    <row r="761">
      <c r="A761" s="42" t="str">
        <f>CONFERENCIAS!A761</f>
        <v/>
      </c>
      <c r="D761" s="42" t="str">
        <f>CONFERENCIAS!C761</f>
        <v/>
      </c>
      <c r="E761" s="42" t="str">
        <f>CONFERENCIAS!K761</f>
        <v/>
      </c>
      <c r="F761" s="49" t="str">
        <f>CONFERENCIAS!J761</f>
        <v/>
      </c>
      <c r="G761" s="42" t="str">
        <f>CONFERENCIAS!O761</f>
        <v/>
      </c>
      <c r="H761" s="42" t="str">
        <f>CONFERENCIAS!X761</f>
        <v/>
      </c>
      <c r="I761" s="42" t="str">
        <f>CONFERENCIAS!AA761</f>
        <v/>
      </c>
      <c r="J761" s="44" t="str">
        <f>CONFERENCIAS!P761</f>
        <v/>
      </c>
      <c r="K761" s="45" t="str">
        <f>CONFERENCIAS!R761</f>
        <v/>
      </c>
      <c r="L761" s="45">
        <f>IF(D761="",0,
 IF(E761=1,
   IF(H761="Presencial",
      VLOOKUP(D761,TARIFAS!A:K,3,FALSE) + IF(I761="Sí",VLOOKUP(D761,TARIFAS!A:K,5,FALSE),0),
      VLOOKUP(D761,TARIFAS!A:K,4,FALSE) + IF(I761="Sí",VLOOKUP(D761,TARIFAS!A:K,5,FALSE),0)
   ),
   IF(H761="Presencial",
      VLOOKUP(D761,TARIFAS!A:K,9,FALSE) + IF(I761="Sí",VLOOKUP(D761,TARIFAS!A:K,11,FALSE),0),
      VLOOKUP(D761,TARIFAS!A:K,10,FALSE) + IF(I761="Sí",VLOOKUP(D761,TARIFAS!A:K,11,FALSE),0)
   )
 )
)
</f>
        <v>0</v>
      </c>
      <c r="M761" s="45">
        <f>IF(J761="",0,MAX(0,J761 - TARIFAS!G$2) * TARIFAS!F$2)
</f>
        <v>0</v>
      </c>
      <c r="N761" s="45">
        <f>+L761*TARIFAS!$K$2</f>
        <v>0</v>
      </c>
      <c r="O761" s="45">
        <f t="shared" si="1"/>
        <v>0</v>
      </c>
      <c r="P761" s="45">
        <f>+M761+O761+K761+(+I761-(I761*TARIFAS!$K$2))</f>
        <v>0</v>
      </c>
      <c r="Q761" s="42" t="str">
        <f>CONFERENCIAS!T761</f>
        <v/>
      </c>
      <c r="R761" s="45" t="str">
        <f>CONFERENCIAS!U761</f>
        <v/>
      </c>
      <c r="S761" s="45" t="str">
        <f>CONFERENCIAS!W761</f>
        <v/>
      </c>
      <c r="T761" s="48">
        <f>IF(Q761="",0,
   IF(E761=1,
      IF(H761="Presencial",
         VLOOKUP(D761,TARIFAS!A:K,3,FALSE) + IF(I761="Sí",VLOOKUP(D761,TARIFAS!A:K,5,FALSE),0),
         VLOOKUP(D761,TARIFAS!A:K,4,FALSE) + IF(I761="Sí",VLOOKUP(D761,TARIFAS!A:K,5,FALSE),0)
      ),
      IF(H761="Presencial",
         VLOOKUP(D761,TARIFAS!A:K,9,FALSE) + IF(I761="Sí",VLOOKUP(D761,TARIFAS!A:K,11,FALSE),0),
         VLOOKUP(D761,TARIFAS!A:K,10,FALSE) + IF(I761="Sí",VLOOKUP(D761,TARIFAS!A:K,11,FALSE),0)
      )
   )
)
</f>
        <v>0</v>
      </c>
      <c r="U761" s="45">
        <f>IF(R761="",0,MAX(0,R761 - TARIFAS!G$2) * TARIFAS!F$2)
</f>
        <v>0</v>
      </c>
      <c r="V761" s="45">
        <f>+T761*TARIFAS!$K$2</f>
        <v>0</v>
      </c>
      <c r="W761" s="45">
        <f t="shared" si="2"/>
        <v>0</v>
      </c>
      <c r="X761" s="45">
        <f t="shared" si="3"/>
        <v>0</v>
      </c>
      <c r="Y761" s="45">
        <f t="shared" si="4"/>
        <v>0</v>
      </c>
      <c r="Z761" s="42" t="str">
        <f>CONFERENCIAS!AB761</f>
        <v/>
      </c>
      <c r="AA761" s="42" t="str">
        <f>CONFERENCIAS!AC761</f>
        <v/>
      </c>
      <c r="AB761" s="47" t="str">
        <f t="shared" si="5"/>
        <v/>
      </c>
      <c r="AC761" s="9" t="str">
        <f t="shared" si="6"/>
        <v/>
      </c>
    </row>
    <row r="762">
      <c r="A762" s="42" t="str">
        <f>CONFERENCIAS!A762</f>
        <v/>
      </c>
      <c r="D762" s="42" t="str">
        <f>CONFERENCIAS!C762</f>
        <v/>
      </c>
      <c r="E762" s="42" t="str">
        <f>CONFERENCIAS!K762</f>
        <v/>
      </c>
      <c r="F762" s="49" t="str">
        <f>CONFERENCIAS!J762</f>
        <v/>
      </c>
      <c r="G762" s="42" t="str">
        <f>CONFERENCIAS!O762</f>
        <v/>
      </c>
      <c r="H762" s="42" t="str">
        <f>CONFERENCIAS!X762</f>
        <v/>
      </c>
      <c r="I762" s="42" t="str">
        <f>CONFERENCIAS!AA762</f>
        <v/>
      </c>
      <c r="J762" s="44" t="str">
        <f>CONFERENCIAS!P762</f>
        <v/>
      </c>
      <c r="K762" s="45" t="str">
        <f>CONFERENCIAS!R762</f>
        <v/>
      </c>
      <c r="L762" s="45">
        <f>IF(D762="",0,
 IF(E762=1,
   IF(H762="Presencial",
      VLOOKUP(D762,TARIFAS!A:K,3,FALSE) + IF(I762="Sí",VLOOKUP(D762,TARIFAS!A:K,5,FALSE),0),
      VLOOKUP(D762,TARIFAS!A:K,4,FALSE) + IF(I762="Sí",VLOOKUP(D762,TARIFAS!A:K,5,FALSE),0)
   ),
   IF(H762="Presencial",
      VLOOKUP(D762,TARIFAS!A:K,9,FALSE) + IF(I762="Sí",VLOOKUP(D762,TARIFAS!A:K,11,FALSE),0),
      VLOOKUP(D762,TARIFAS!A:K,10,FALSE) + IF(I762="Sí",VLOOKUP(D762,TARIFAS!A:K,11,FALSE),0)
   )
 )
)
</f>
        <v>0</v>
      </c>
      <c r="M762" s="45">
        <f>IF(J762="",0,MAX(0,J762 - TARIFAS!G$2) * TARIFAS!F$2)
</f>
        <v>0</v>
      </c>
      <c r="N762" s="45">
        <f>+L762*TARIFAS!$K$2</f>
        <v>0</v>
      </c>
      <c r="O762" s="45">
        <f t="shared" si="1"/>
        <v>0</v>
      </c>
      <c r="P762" s="45">
        <f>+M762+O762+K762+(+I762-(I762*TARIFAS!$K$2))</f>
        <v>0</v>
      </c>
      <c r="Q762" s="42" t="str">
        <f>CONFERENCIAS!T762</f>
        <v/>
      </c>
      <c r="R762" s="45" t="str">
        <f>CONFERENCIAS!U762</f>
        <v/>
      </c>
      <c r="S762" s="45" t="str">
        <f>CONFERENCIAS!W762</f>
        <v/>
      </c>
      <c r="T762" s="48">
        <f>IF(Q762="",0,
   IF(E762=1,
      IF(H762="Presencial",
         VLOOKUP(D762,TARIFAS!A:K,3,FALSE) + IF(I762="Sí",VLOOKUP(D762,TARIFAS!A:K,5,FALSE),0),
         VLOOKUP(D762,TARIFAS!A:K,4,FALSE) + IF(I762="Sí",VLOOKUP(D762,TARIFAS!A:K,5,FALSE),0)
      ),
      IF(H762="Presencial",
         VLOOKUP(D762,TARIFAS!A:K,9,FALSE) + IF(I762="Sí",VLOOKUP(D762,TARIFAS!A:K,11,FALSE),0),
         VLOOKUP(D762,TARIFAS!A:K,10,FALSE) + IF(I762="Sí",VLOOKUP(D762,TARIFAS!A:K,11,FALSE),0)
      )
   )
)
</f>
        <v>0</v>
      </c>
      <c r="U762" s="45">
        <f>IF(R762="",0,MAX(0,R762 - TARIFAS!G$2) * TARIFAS!F$2)
</f>
        <v>0</v>
      </c>
      <c r="V762" s="45">
        <f>+T762*TARIFAS!$K$2</f>
        <v>0</v>
      </c>
      <c r="W762" s="45">
        <f t="shared" si="2"/>
        <v>0</v>
      </c>
      <c r="X762" s="45">
        <f t="shared" si="3"/>
        <v>0</v>
      </c>
      <c r="Y762" s="45">
        <f t="shared" si="4"/>
        <v>0</v>
      </c>
      <c r="Z762" s="42" t="str">
        <f>CONFERENCIAS!AB762</f>
        <v/>
      </c>
      <c r="AA762" s="42" t="str">
        <f>CONFERENCIAS!AC762</f>
        <v/>
      </c>
      <c r="AB762" s="47" t="str">
        <f t="shared" si="5"/>
        <v/>
      </c>
      <c r="AC762" s="9" t="str">
        <f t="shared" si="6"/>
        <v/>
      </c>
    </row>
    <row r="763">
      <c r="A763" s="42" t="str">
        <f>CONFERENCIAS!A763</f>
        <v/>
      </c>
      <c r="D763" s="42" t="str">
        <f>CONFERENCIAS!C763</f>
        <v/>
      </c>
      <c r="E763" s="42" t="str">
        <f>CONFERENCIAS!K763</f>
        <v/>
      </c>
      <c r="F763" s="49" t="str">
        <f>CONFERENCIAS!J763</f>
        <v/>
      </c>
      <c r="G763" s="42" t="str">
        <f>CONFERENCIAS!O763</f>
        <v/>
      </c>
      <c r="H763" s="42" t="str">
        <f>CONFERENCIAS!X763</f>
        <v/>
      </c>
      <c r="I763" s="42" t="str">
        <f>CONFERENCIAS!AA763</f>
        <v/>
      </c>
      <c r="J763" s="44" t="str">
        <f>CONFERENCIAS!P763</f>
        <v/>
      </c>
      <c r="K763" s="45" t="str">
        <f>CONFERENCIAS!R763</f>
        <v/>
      </c>
      <c r="L763" s="45">
        <f>IF(D763="",0,
 IF(E763=1,
   IF(H763="Presencial",
      VLOOKUP(D763,TARIFAS!A:K,3,FALSE) + IF(I763="Sí",VLOOKUP(D763,TARIFAS!A:K,5,FALSE),0),
      VLOOKUP(D763,TARIFAS!A:K,4,FALSE) + IF(I763="Sí",VLOOKUP(D763,TARIFAS!A:K,5,FALSE),0)
   ),
   IF(H763="Presencial",
      VLOOKUP(D763,TARIFAS!A:K,9,FALSE) + IF(I763="Sí",VLOOKUP(D763,TARIFAS!A:K,11,FALSE),0),
      VLOOKUP(D763,TARIFAS!A:K,10,FALSE) + IF(I763="Sí",VLOOKUP(D763,TARIFAS!A:K,11,FALSE),0)
   )
 )
)
</f>
        <v>0</v>
      </c>
      <c r="M763" s="45">
        <f>IF(J763="",0,MAX(0,J763 - TARIFAS!G$2) * TARIFAS!F$2)
</f>
        <v>0</v>
      </c>
      <c r="N763" s="45">
        <f>+L763*TARIFAS!$K$2</f>
        <v>0</v>
      </c>
      <c r="O763" s="45">
        <f t="shared" si="1"/>
        <v>0</v>
      </c>
      <c r="P763" s="45">
        <f>+M763+O763+K763+(+I763-(I763*TARIFAS!$K$2))</f>
        <v>0</v>
      </c>
      <c r="Q763" s="42" t="str">
        <f>CONFERENCIAS!T763</f>
        <v/>
      </c>
      <c r="R763" s="45" t="str">
        <f>CONFERENCIAS!U763</f>
        <v/>
      </c>
      <c r="S763" s="45" t="str">
        <f>CONFERENCIAS!W763</f>
        <v/>
      </c>
      <c r="T763" s="48">
        <f>IF(Q763="",0,
   IF(E763=1,
      IF(H763="Presencial",
         VLOOKUP(D763,TARIFAS!A:K,3,FALSE) + IF(I763="Sí",VLOOKUP(D763,TARIFAS!A:K,5,FALSE),0),
         VLOOKUP(D763,TARIFAS!A:K,4,FALSE) + IF(I763="Sí",VLOOKUP(D763,TARIFAS!A:K,5,FALSE),0)
      ),
      IF(H763="Presencial",
         VLOOKUP(D763,TARIFAS!A:K,9,FALSE) + IF(I763="Sí",VLOOKUP(D763,TARIFAS!A:K,11,FALSE),0),
         VLOOKUP(D763,TARIFAS!A:K,10,FALSE) + IF(I763="Sí",VLOOKUP(D763,TARIFAS!A:K,11,FALSE),0)
      )
   )
)
</f>
        <v>0</v>
      </c>
      <c r="U763" s="45">
        <f>IF(R763="",0,MAX(0,R763 - TARIFAS!G$2) * TARIFAS!F$2)
</f>
        <v>0</v>
      </c>
      <c r="V763" s="45">
        <f>+T763*TARIFAS!$K$2</f>
        <v>0</v>
      </c>
      <c r="W763" s="45">
        <f t="shared" si="2"/>
        <v>0</v>
      </c>
      <c r="X763" s="45">
        <f t="shared" si="3"/>
        <v>0</v>
      </c>
      <c r="Y763" s="45">
        <f t="shared" si="4"/>
        <v>0</v>
      </c>
      <c r="Z763" s="42" t="str">
        <f>CONFERENCIAS!AB763</f>
        <v/>
      </c>
      <c r="AA763" s="42" t="str">
        <f>CONFERENCIAS!AC763</f>
        <v/>
      </c>
      <c r="AB763" s="47" t="str">
        <f t="shared" si="5"/>
        <v/>
      </c>
      <c r="AC763" s="9" t="str">
        <f t="shared" si="6"/>
        <v/>
      </c>
    </row>
    <row r="764">
      <c r="A764" s="42" t="str">
        <f>CONFERENCIAS!A764</f>
        <v/>
      </c>
      <c r="D764" s="42" t="str">
        <f>CONFERENCIAS!C764</f>
        <v/>
      </c>
      <c r="E764" s="42" t="str">
        <f>CONFERENCIAS!K764</f>
        <v/>
      </c>
      <c r="F764" s="49" t="str">
        <f>CONFERENCIAS!J764</f>
        <v/>
      </c>
      <c r="G764" s="42" t="str">
        <f>CONFERENCIAS!O764</f>
        <v/>
      </c>
      <c r="H764" s="42" t="str">
        <f>CONFERENCIAS!X764</f>
        <v/>
      </c>
      <c r="I764" s="42" t="str">
        <f>CONFERENCIAS!AA764</f>
        <v/>
      </c>
      <c r="J764" s="44" t="str">
        <f>CONFERENCIAS!P764</f>
        <v/>
      </c>
      <c r="K764" s="45" t="str">
        <f>CONFERENCIAS!R764</f>
        <v/>
      </c>
      <c r="L764" s="45">
        <f>IF(D764="",0,
 IF(E764=1,
   IF(H764="Presencial",
      VLOOKUP(D764,TARIFAS!A:K,3,FALSE) + IF(I764="Sí",VLOOKUP(D764,TARIFAS!A:K,5,FALSE),0),
      VLOOKUP(D764,TARIFAS!A:K,4,FALSE) + IF(I764="Sí",VLOOKUP(D764,TARIFAS!A:K,5,FALSE),0)
   ),
   IF(H764="Presencial",
      VLOOKUP(D764,TARIFAS!A:K,9,FALSE) + IF(I764="Sí",VLOOKUP(D764,TARIFAS!A:K,11,FALSE),0),
      VLOOKUP(D764,TARIFAS!A:K,10,FALSE) + IF(I764="Sí",VLOOKUP(D764,TARIFAS!A:K,11,FALSE),0)
   )
 )
)
</f>
        <v>0</v>
      </c>
      <c r="M764" s="45">
        <f>IF(J764="",0,MAX(0,J764 - TARIFAS!G$2) * TARIFAS!F$2)
</f>
        <v>0</v>
      </c>
      <c r="N764" s="45">
        <f>+L764*TARIFAS!$K$2</f>
        <v>0</v>
      </c>
      <c r="O764" s="45">
        <f t="shared" si="1"/>
        <v>0</v>
      </c>
      <c r="P764" s="45">
        <f>+M764+O764+K764+(+I764-(I764*TARIFAS!$K$2))</f>
        <v>0</v>
      </c>
      <c r="Q764" s="42" t="str">
        <f>CONFERENCIAS!T764</f>
        <v/>
      </c>
      <c r="R764" s="45" t="str">
        <f>CONFERENCIAS!U764</f>
        <v/>
      </c>
      <c r="S764" s="45" t="str">
        <f>CONFERENCIAS!W764</f>
        <v/>
      </c>
      <c r="T764" s="48">
        <f>IF(Q764="",0,
   IF(E764=1,
      IF(H764="Presencial",
         VLOOKUP(D764,TARIFAS!A:K,3,FALSE) + IF(I764="Sí",VLOOKUP(D764,TARIFAS!A:K,5,FALSE),0),
         VLOOKUP(D764,TARIFAS!A:K,4,FALSE) + IF(I764="Sí",VLOOKUP(D764,TARIFAS!A:K,5,FALSE),0)
      ),
      IF(H764="Presencial",
         VLOOKUP(D764,TARIFAS!A:K,9,FALSE) + IF(I764="Sí",VLOOKUP(D764,TARIFAS!A:K,11,FALSE),0),
         VLOOKUP(D764,TARIFAS!A:K,10,FALSE) + IF(I764="Sí",VLOOKUP(D764,TARIFAS!A:K,11,FALSE),0)
      )
   )
)
</f>
        <v>0</v>
      </c>
      <c r="U764" s="45">
        <f>IF(R764="",0,MAX(0,R764 - TARIFAS!G$2) * TARIFAS!F$2)
</f>
        <v>0</v>
      </c>
      <c r="V764" s="45">
        <f>+T764*TARIFAS!$K$2</f>
        <v>0</v>
      </c>
      <c r="W764" s="45">
        <f t="shared" si="2"/>
        <v>0</v>
      </c>
      <c r="X764" s="45">
        <f t="shared" si="3"/>
        <v>0</v>
      </c>
      <c r="Y764" s="45">
        <f t="shared" si="4"/>
        <v>0</v>
      </c>
      <c r="Z764" s="42" t="str">
        <f>CONFERENCIAS!AB764</f>
        <v/>
      </c>
      <c r="AA764" s="42" t="str">
        <f>CONFERENCIAS!AC764</f>
        <v/>
      </c>
      <c r="AB764" s="47" t="str">
        <f t="shared" si="5"/>
        <v/>
      </c>
      <c r="AC764" s="9" t="str">
        <f t="shared" si="6"/>
        <v/>
      </c>
    </row>
    <row r="765">
      <c r="A765" s="42" t="str">
        <f>CONFERENCIAS!A765</f>
        <v/>
      </c>
      <c r="D765" s="42" t="str">
        <f>CONFERENCIAS!C765</f>
        <v/>
      </c>
      <c r="E765" s="42" t="str">
        <f>CONFERENCIAS!K765</f>
        <v/>
      </c>
      <c r="F765" s="49" t="str">
        <f>CONFERENCIAS!J765</f>
        <v/>
      </c>
      <c r="G765" s="42" t="str">
        <f>CONFERENCIAS!O765</f>
        <v/>
      </c>
      <c r="H765" s="42" t="str">
        <f>CONFERENCIAS!X765</f>
        <v/>
      </c>
      <c r="I765" s="42" t="str">
        <f>CONFERENCIAS!AA765</f>
        <v/>
      </c>
      <c r="J765" s="44" t="str">
        <f>CONFERENCIAS!P765</f>
        <v/>
      </c>
      <c r="K765" s="45" t="str">
        <f>CONFERENCIAS!R765</f>
        <v/>
      </c>
      <c r="L765" s="45">
        <f>IF(D765="",0,
 IF(E765=1,
   IF(H765="Presencial",
      VLOOKUP(D765,TARIFAS!A:K,3,FALSE) + IF(I765="Sí",VLOOKUP(D765,TARIFAS!A:K,5,FALSE),0),
      VLOOKUP(D765,TARIFAS!A:K,4,FALSE) + IF(I765="Sí",VLOOKUP(D765,TARIFAS!A:K,5,FALSE),0)
   ),
   IF(H765="Presencial",
      VLOOKUP(D765,TARIFAS!A:K,9,FALSE) + IF(I765="Sí",VLOOKUP(D765,TARIFAS!A:K,11,FALSE),0),
      VLOOKUP(D765,TARIFAS!A:K,10,FALSE) + IF(I765="Sí",VLOOKUP(D765,TARIFAS!A:K,11,FALSE),0)
   )
 )
)
</f>
        <v>0</v>
      </c>
      <c r="M765" s="45">
        <f>IF(J765="",0,MAX(0,J765 - TARIFAS!G$2) * TARIFAS!F$2)
</f>
        <v>0</v>
      </c>
      <c r="N765" s="45">
        <f>+L765*TARIFAS!$K$2</f>
        <v>0</v>
      </c>
      <c r="O765" s="45">
        <f t="shared" si="1"/>
        <v>0</v>
      </c>
      <c r="P765" s="45">
        <f>+M765+O765+K765+(+I765-(I765*TARIFAS!$K$2))</f>
        <v>0</v>
      </c>
      <c r="Q765" s="42" t="str">
        <f>CONFERENCIAS!T765</f>
        <v/>
      </c>
      <c r="R765" s="45" t="str">
        <f>CONFERENCIAS!U765</f>
        <v/>
      </c>
      <c r="S765" s="45" t="str">
        <f>CONFERENCIAS!W765</f>
        <v/>
      </c>
      <c r="T765" s="48">
        <f>IF(Q765="",0,
   IF(E765=1,
      IF(H765="Presencial",
         VLOOKUP(D765,TARIFAS!A:K,3,FALSE) + IF(I765="Sí",VLOOKUP(D765,TARIFAS!A:K,5,FALSE),0),
         VLOOKUP(D765,TARIFAS!A:K,4,FALSE) + IF(I765="Sí",VLOOKUP(D765,TARIFAS!A:K,5,FALSE),0)
      ),
      IF(H765="Presencial",
         VLOOKUP(D765,TARIFAS!A:K,9,FALSE) + IF(I765="Sí",VLOOKUP(D765,TARIFAS!A:K,11,FALSE),0),
         VLOOKUP(D765,TARIFAS!A:K,10,FALSE) + IF(I765="Sí",VLOOKUP(D765,TARIFAS!A:K,11,FALSE),0)
      )
   )
)
</f>
        <v>0</v>
      </c>
      <c r="U765" s="45">
        <f>IF(R765="",0,MAX(0,R765 - TARIFAS!G$2) * TARIFAS!F$2)
</f>
        <v>0</v>
      </c>
      <c r="V765" s="45">
        <f>+T765*TARIFAS!$K$2</f>
        <v>0</v>
      </c>
      <c r="W765" s="45">
        <f t="shared" si="2"/>
        <v>0</v>
      </c>
      <c r="X765" s="45">
        <f t="shared" si="3"/>
        <v>0</v>
      </c>
      <c r="Y765" s="45">
        <f t="shared" si="4"/>
        <v>0</v>
      </c>
      <c r="Z765" s="42" t="str">
        <f>CONFERENCIAS!AB765</f>
        <v/>
      </c>
      <c r="AA765" s="42" t="str">
        <f>CONFERENCIAS!AC765</f>
        <v/>
      </c>
      <c r="AB765" s="47" t="str">
        <f t="shared" si="5"/>
        <v/>
      </c>
      <c r="AC765" s="9" t="str">
        <f t="shared" si="6"/>
        <v/>
      </c>
    </row>
    <row r="766">
      <c r="A766" s="42" t="str">
        <f>CONFERENCIAS!A766</f>
        <v/>
      </c>
      <c r="D766" s="42" t="str">
        <f>CONFERENCIAS!C766</f>
        <v/>
      </c>
      <c r="E766" s="42" t="str">
        <f>CONFERENCIAS!K766</f>
        <v/>
      </c>
      <c r="F766" s="49" t="str">
        <f>CONFERENCIAS!J766</f>
        <v/>
      </c>
      <c r="G766" s="42" t="str">
        <f>CONFERENCIAS!O766</f>
        <v/>
      </c>
      <c r="H766" s="42" t="str">
        <f>CONFERENCIAS!X766</f>
        <v/>
      </c>
      <c r="I766" s="42" t="str">
        <f>CONFERENCIAS!AA766</f>
        <v/>
      </c>
      <c r="J766" s="44" t="str">
        <f>CONFERENCIAS!P766</f>
        <v/>
      </c>
      <c r="K766" s="45" t="str">
        <f>CONFERENCIAS!R766</f>
        <v/>
      </c>
      <c r="L766" s="45">
        <f>IF(D766="",0,
 IF(E766=1,
   IF(H766="Presencial",
      VLOOKUP(D766,TARIFAS!A:K,3,FALSE) + IF(I766="Sí",VLOOKUP(D766,TARIFAS!A:K,5,FALSE),0),
      VLOOKUP(D766,TARIFAS!A:K,4,FALSE) + IF(I766="Sí",VLOOKUP(D766,TARIFAS!A:K,5,FALSE),0)
   ),
   IF(H766="Presencial",
      VLOOKUP(D766,TARIFAS!A:K,9,FALSE) + IF(I766="Sí",VLOOKUP(D766,TARIFAS!A:K,11,FALSE),0),
      VLOOKUP(D766,TARIFAS!A:K,10,FALSE) + IF(I766="Sí",VLOOKUP(D766,TARIFAS!A:K,11,FALSE),0)
   )
 )
)
</f>
        <v>0</v>
      </c>
      <c r="M766" s="45">
        <f>IF(J766="",0,MAX(0,J766 - TARIFAS!G$2) * TARIFAS!F$2)
</f>
        <v>0</v>
      </c>
      <c r="N766" s="45">
        <f>+L766*TARIFAS!$K$2</f>
        <v>0</v>
      </c>
      <c r="O766" s="45">
        <f t="shared" si="1"/>
        <v>0</v>
      </c>
      <c r="P766" s="45">
        <f>+M766+O766+K766+(+I766-(I766*TARIFAS!$K$2))</f>
        <v>0</v>
      </c>
      <c r="Q766" s="42" t="str">
        <f>CONFERENCIAS!T766</f>
        <v/>
      </c>
      <c r="R766" s="45" t="str">
        <f>CONFERENCIAS!U766</f>
        <v/>
      </c>
      <c r="S766" s="45" t="str">
        <f>CONFERENCIAS!W766</f>
        <v/>
      </c>
      <c r="T766" s="48">
        <f>IF(Q766="",0,
   IF(E766=1,
      IF(H766="Presencial",
         VLOOKUP(D766,TARIFAS!A:K,3,FALSE) + IF(I766="Sí",VLOOKUP(D766,TARIFAS!A:K,5,FALSE),0),
         VLOOKUP(D766,TARIFAS!A:K,4,FALSE) + IF(I766="Sí",VLOOKUP(D766,TARIFAS!A:K,5,FALSE),0)
      ),
      IF(H766="Presencial",
         VLOOKUP(D766,TARIFAS!A:K,9,FALSE) + IF(I766="Sí",VLOOKUP(D766,TARIFAS!A:K,11,FALSE),0),
         VLOOKUP(D766,TARIFAS!A:K,10,FALSE) + IF(I766="Sí",VLOOKUP(D766,TARIFAS!A:K,11,FALSE),0)
      )
   )
)
</f>
        <v>0</v>
      </c>
      <c r="U766" s="45">
        <f>IF(R766="",0,MAX(0,R766 - TARIFAS!G$2) * TARIFAS!F$2)
</f>
        <v>0</v>
      </c>
      <c r="V766" s="45">
        <f>+T766*TARIFAS!$K$2</f>
        <v>0</v>
      </c>
      <c r="W766" s="45">
        <f t="shared" si="2"/>
        <v>0</v>
      </c>
      <c r="X766" s="45">
        <f t="shared" si="3"/>
        <v>0</v>
      </c>
      <c r="Y766" s="45">
        <f t="shared" si="4"/>
        <v>0</v>
      </c>
      <c r="Z766" s="42" t="str">
        <f>CONFERENCIAS!AB766</f>
        <v/>
      </c>
      <c r="AA766" s="42" t="str">
        <f>CONFERENCIAS!AC766</f>
        <v/>
      </c>
      <c r="AB766" s="47" t="str">
        <f t="shared" si="5"/>
        <v/>
      </c>
      <c r="AC766" s="9" t="str">
        <f t="shared" si="6"/>
        <v/>
      </c>
    </row>
    <row r="767">
      <c r="A767" s="42" t="str">
        <f>CONFERENCIAS!A767</f>
        <v/>
      </c>
      <c r="D767" s="42" t="str">
        <f>CONFERENCIAS!C767</f>
        <v/>
      </c>
      <c r="E767" s="42" t="str">
        <f>CONFERENCIAS!K767</f>
        <v/>
      </c>
      <c r="F767" s="49" t="str">
        <f>CONFERENCIAS!J767</f>
        <v/>
      </c>
      <c r="G767" s="42" t="str">
        <f>CONFERENCIAS!O767</f>
        <v/>
      </c>
      <c r="H767" s="42" t="str">
        <f>CONFERENCIAS!X767</f>
        <v/>
      </c>
      <c r="I767" s="42" t="str">
        <f>CONFERENCIAS!AA767</f>
        <v/>
      </c>
      <c r="J767" s="44" t="str">
        <f>CONFERENCIAS!P767</f>
        <v/>
      </c>
      <c r="K767" s="45" t="str">
        <f>CONFERENCIAS!R767</f>
        <v/>
      </c>
      <c r="L767" s="45">
        <f>IF(D767="",0,
 IF(E767=1,
   IF(H767="Presencial",
      VLOOKUP(D767,TARIFAS!A:K,3,FALSE) + IF(I767="Sí",VLOOKUP(D767,TARIFAS!A:K,5,FALSE),0),
      VLOOKUP(D767,TARIFAS!A:K,4,FALSE) + IF(I767="Sí",VLOOKUP(D767,TARIFAS!A:K,5,FALSE),0)
   ),
   IF(H767="Presencial",
      VLOOKUP(D767,TARIFAS!A:K,9,FALSE) + IF(I767="Sí",VLOOKUP(D767,TARIFAS!A:K,11,FALSE),0),
      VLOOKUP(D767,TARIFAS!A:K,10,FALSE) + IF(I767="Sí",VLOOKUP(D767,TARIFAS!A:K,11,FALSE),0)
   )
 )
)
</f>
        <v>0</v>
      </c>
      <c r="M767" s="45">
        <f>IF(J767="",0,MAX(0,J767 - TARIFAS!G$2) * TARIFAS!F$2)
</f>
        <v>0</v>
      </c>
      <c r="N767" s="45">
        <f>+L767*TARIFAS!$K$2</f>
        <v>0</v>
      </c>
      <c r="O767" s="45">
        <f t="shared" si="1"/>
        <v>0</v>
      </c>
      <c r="P767" s="45">
        <f>+M767+O767+K767+(+I767-(I767*TARIFAS!$K$2))</f>
        <v>0</v>
      </c>
      <c r="Q767" s="42" t="str">
        <f>CONFERENCIAS!T767</f>
        <v/>
      </c>
      <c r="R767" s="45" t="str">
        <f>CONFERENCIAS!U767</f>
        <v/>
      </c>
      <c r="S767" s="45" t="str">
        <f>CONFERENCIAS!W767</f>
        <v/>
      </c>
      <c r="T767" s="48">
        <f>IF(Q767="",0,
   IF(E767=1,
      IF(H767="Presencial",
         VLOOKUP(D767,TARIFAS!A:K,3,FALSE) + IF(I767="Sí",VLOOKUP(D767,TARIFAS!A:K,5,FALSE),0),
         VLOOKUP(D767,TARIFAS!A:K,4,FALSE) + IF(I767="Sí",VLOOKUP(D767,TARIFAS!A:K,5,FALSE),0)
      ),
      IF(H767="Presencial",
         VLOOKUP(D767,TARIFAS!A:K,9,FALSE) + IF(I767="Sí",VLOOKUP(D767,TARIFAS!A:K,11,FALSE),0),
         VLOOKUP(D767,TARIFAS!A:K,10,FALSE) + IF(I767="Sí",VLOOKUP(D767,TARIFAS!A:K,11,FALSE),0)
      )
   )
)
</f>
        <v>0</v>
      </c>
      <c r="U767" s="45">
        <f>IF(R767="",0,MAX(0,R767 - TARIFAS!G$2) * TARIFAS!F$2)
</f>
        <v>0</v>
      </c>
      <c r="V767" s="45">
        <f>+T767*TARIFAS!$K$2</f>
        <v>0</v>
      </c>
      <c r="W767" s="45">
        <f t="shared" si="2"/>
        <v>0</v>
      </c>
      <c r="X767" s="45">
        <f t="shared" si="3"/>
        <v>0</v>
      </c>
      <c r="Y767" s="45">
        <f t="shared" si="4"/>
        <v>0</v>
      </c>
      <c r="Z767" s="42" t="str">
        <f>CONFERENCIAS!AB767</f>
        <v/>
      </c>
      <c r="AA767" s="42" t="str">
        <f>CONFERENCIAS!AC767</f>
        <v/>
      </c>
      <c r="AB767" s="47" t="str">
        <f t="shared" si="5"/>
        <v/>
      </c>
      <c r="AC767" s="9" t="str">
        <f t="shared" si="6"/>
        <v/>
      </c>
    </row>
    <row r="768">
      <c r="A768" s="42" t="str">
        <f>CONFERENCIAS!A768</f>
        <v/>
      </c>
      <c r="D768" s="42" t="str">
        <f>CONFERENCIAS!C768</f>
        <v/>
      </c>
      <c r="E768" s="42" t="str">
        <f>CONFERENCIAS!K768</f>
        <v/>
      </c>
      <c r="F768" s="49" t="str">
        <f>CONFERENCIAS!J768</f>
        <v/>
      </c>
      <c r="G768" s="42" t="str">
        <f>CONFERENCIAS!O768</f>
        <v/>
      </c>
      <c r="H768" s="42" t="str">
        <f>CONFERENCIAS!X768</f>
        <v/>
      </c>
      <c r="I768" s="42" t="str">
        <f>CONFERENCIAS!AA768</f>
        <v/>
      </c>
      <c r="J768" s="44" t="str">
        <f>CONFERENCIAS!P768</f>
        <v/>
      </c>
      <c r="K768" s="45" t="str">
        <f>CONFERENCIAS!R768</f>
        <v/>
      </c>
      <c r="L768" s="45">
        <f>IF(D768="",0,
 IF(E768=1,
   IF(H768="Presencial",
      VLOOKUP(D768,TARIFAS!A:K,3,FALSE) + IF(I768="Sí",VLOOKUP(D768,TARIFAS!A:K,5,FALSE),0),
      VLOOKUP(D768,TARIFAS!A:K,4,FALSE) + IF(I768="Sí",VLOOKUP(D768,TARIFAS!A:K,5,FALSE),0)
   ),
   IF(H768="Presencial",
      VLOOKUP(D768,TARIFAS!A:K,9,FALSE) + IF(I768="Sí",VLOOKUP(D768,TARIFAS!A:K,11,FALSE),0),
      VLOOKUP(D768,TARIFAS!A:K,10,FALSE) + IF(I768="Sí",VLOOKUP(D768,TARIFAS!A:K,11,FALSE),0)
   )
 )
)
</f>
        <v>0</v>
      </c>
      <c r="M768" s="45">
        <f>IF(J768="",0,MAX(0,J768 - TARIFAS!G$2) * TARIFAS!F$2)
</f>
        <v>0</v>
      </c>
      <c r="N768" s="45">
        <f>+L768*TARIFAS!$K$2</f>
        <v>0</v>
      </c>
      <c r="O768" s="45">
        <f t="shared" si="1"/>
        <v>0</v>
      </c>
      <c r="P768" s="45">
        <f>+M768+O768+K768+(+I768-(I768*TARIFAS!$K$2))</f>
        <v>0</v>
      </c>
      <c r="Q768" s="42" t="str">
        <f>CONFERENCIAS!T768</f>
        <v/>
      </c>
      <c r="R768" s="45" t="str">
        <f>CONFERENCIAS!U768</f>
        <v/>
      </c>
      <c r="S768" s="45" t="str">
        <f>CONFERENCIAS!W768</f>
        <v/>
      </c>
      <c r="T768" s="48">
        <f>IF(Q768="",0,
   IF(E768=1,
      IF(H768="Presencial",
         VLOOKUP(D768,TARIFAS!A:K,3,FALSE) + IF(I768="Sí",VLOOKUP(D768,TARIFAS!A:K,5,FALSE),0),
         VLOOKUP(D768,TARIFAS!A:K,4,FALSE) + IF(I768="Sí",VLOOKUP(D768,TARIFAS!A:K,5,FALSE),0)
      ),
      IF(H768="Presencial",
         VLOOKUP(D768,TARIFAS!A:K,9,FALSE) + IF(I768="Sí",VLOOKUP(D768,TARIFAS!A:K,11,FALSE),0),
         VLOOKUP(D768,TARIFAS!A:K,10,FALSE) + IF(I768="Sí",VLOOKUP(D768,TARIFAS!A:K,11,FALSE),0)
      )
   )
)
</f>
        <v>0</v>
      </c>
      <c r="U768" s="45">
        <f>IF(R768="",0,MAX(0,R768 - TARIFAS!G$2) * TARIFAS!F$2)
</f>
        <v>0</v>
      </c>
      <c r="V768" s="45">
        <f>+T768*TARIFAS!$K$2</f>
        <v>0</v>
      </c>
      <c r="W768" s="45">
        <f t="shared" si="2"/>
        <v>0</v>
      </c>
      <c r="X768" s="45">
        <f t="shared" si="3"/>
        <v>0</v>
      </c>
      <c r="Y768" s="45">
        <f t="shared" si="4"/>
        <v>0</v>
      </c>
      <c r="Z768" s="42" t="str">
        <f>CONFERENCIAS!AB768</f>
        <v/>
      </c>
      <c r="AA768" s="42" t="str">
        <f>CONFERENCIAS!AC768</f>
        <v/>
      </c>
      <c r="AB768" s="47" t="str">
        <f t="shared" si="5"/>
        <v/>
      </c>
      <c r="AC768" s="9" t="str">
        <f t="shared" si="6"/>
        <v/>
      </c>
    </row>
    <row r="769">
      <c r="A769" s="42" t="str">
        <f>CONFERENCIAS!A769</f>
        <v/>
      </c>
      <c r="D769" s="42" t="str">
        <f>CONFERENCIAS!C769</f>
        <v/>
      </c>
      <c r="E769" s="42" t="str">
        <f>CONFERENCIAS!K769</f>
        <v/>
      </c>
      <c r="F769" s="49" t="str">
        <f>CONFERENCIAS!J769</f>
        <v/>
      </c>
      <c r="G769" s="42" t="str">
        <f>CONFERENCIAS!O769</f>
        <v/>
      </c>
      <c r="H769" s="42" t="str">
        <f>CONFERENCIAS!X769</f>
        <v/>
      </c>
      <c r="I769" s="42" t="str">
        <f>CONFERENCIAS!AA769</f>
        <v/>
      </c>
      <c r="J769" s="44" t="str">
        <f>CONFERENCIAS!P769</f>
        <v/>
      </c>
      <c r="K769" s="45" t="str">
        <f>CONFERENCIAS!R769</f>
        <v/>
      </c>
      <c r="L769" s="45">
        <f>IF(D769="",0,
 IF(E769=1,
   IF(H769="Presencial",
      VLOOKUP(D769,TARIFAS!A:K,3,FALSE) + IF(I769="Sí",VLOOKUP(D769,TARIFAS!A:K,5,FALSE),0),
      VLOOKUP(D769,TARIFAS!A:K,4,FALSE) + IF(I769="Sí",VLOOKUP(D769,TARIFAS!A:K,5,FALSE),0)
   ),
   IF(H769="Presencial",
      VLOOKUP(D769,TARIFAS!A:K,9,FALSE) + IF(I769="Sí",VLOOKUP(D769,TARIFAS!A:K,11,FALSE),0),
      VLOOKUP(D769,TARIFAS!A:K,10,FALSE) + IF(I769="Sí",VLOOKUP(D769,TARIFAS!A:K,11,FALSE),0)
   )
 )
)
</f>
        <v>0</v>
      </c>
      <c r="M769" s="45">
        <f>IF(J769="",0,MAX(0,J769 - TARIFAS!G$2) * TARIFAS!F$2)
</f>
        <v>0</v>
      </c>
      <c r="N769" s="45">
        <f>+L769*TARIFAS!$K$2</f>
        <v>0</v>
      </c>
      <c r="O769" s="45">
        <f t="shared" si="1"/>
        <v>0</v>
      </c>
      <c r="P769" s="45">
        <f>+M769+O769+K769+(+I769-(I769*TARIFAS!$K$2))</f>
        <v>0</v>
      </c>
      <c r="Q769" s="42" t="str">
        <f>CONFERENCIAS!T769</f>
        <v/>
      </c>
      <c r="R769" s="45" t="str">
        <f>CONFERENCIAS!U769</f>
        <v/>
      </c>
      <c r="S769" s="45" t="str">
        <f>CONFERENCIAS!W769</f>
        <v/>
      </c>
      <c r="T769" s="48">
        <f>IF(Q769="",0,
   IF(E769=1,
      IF(H769="Presencial",
         VLOOKUP(D769,TARIFAS!A:K,3,FALSE) + IF(I769="Sí",VLOOKUP(D769,TARIFAS!A:K,5,FALSE),0),
         VLOOKUP(D769,TARIFAS!A:K,4,FALSE) + IF(I769="Sí",VLOOKUP(D769,TARIFAS!A:K,5,FALSE),0)
      ),
      IF(H769="Presencial",
         VLOOKUP(D769,TARIFAS!A:K,9,FALSE) + IF(I769="Sí",VLOOKUP(D769,TARIFAS!A:K,11,FALSE),0),
         VLOOKUP(D769,TARIFAS!A:K,10,FALSE) + IF(I769="Sí",VLOOKUP(D769,TARIFAS!A:K,11,FALSE),0)
      )
   )
)
</f>
        <v>0</v>
      </c>
      <c r="U769" s="45">
        <f>IF(R769="",0,MAX(0,R769 - TARIFAS!G$2) * TARIFAS!F$2)
</f>
        <v>0</v>
      </c>
      <c r="V769" s="45">
        <f>+T769*TARIFAS!$K$2</f>
        <v>0</v>
      </c>
      <c r="W769" s="45">
        <f t="shared" si="2"/>
        <v>0</v>
      </c>
      <c r="X769" s="45">
        <f t="shared" si="3"/>
        <v>0</v>
      </c>
      <c r="Y769" s="45">
        <f t="shared" si="4"/>
        <v>0</v>
      </c>
      <c r="Z769" s="42" t="str">
        <f>CONFERENCIAS!AB769</f>
        <v/>
      </c>
      <c r="AA769" s="42" t="str">
        <f>CONFERENCIAS!AC769</f>
        <v/>
      </c>
      <c r="AB769" s="47" t="str">
        <f t="shared" si="5"/>
        <v/>
      </c>
      <c r="AC769" s="9" t="str">
        <f t="shared" si="6"/>
        <v/>
      </c>
    </row>
    <row r="770">
      <c r="A770" s="42" t="str">
        <f>CONFERENCIAS!A770</f>
        <v/>
      </c>
      <c r="D770" s="42" t="str">
        <f>CONFERENCIAS!C770</f>
        <v/>
      </c>
      <c r="E770" s="42" t="str">
        <f>CONFERENCIAS!K770</f>
        <v/>
      </c>
      <c r="F770" s="49" t="str">
        <f>CONFERENCIAS!J770</f>
        <v/>
      </c>
      <c r="G770" s="42" t="str">
        <f>CONFERENCIAS!O770</f>
        <v/>
      </c>
      <c r="H770" s="42" t="str">
        <f>CONFERENCIAS!X770</f>
        <v/>
      </c>
      <c r="I770" s="42" t="str">
        <f>CONFERENCIAS!AA770</f>
        <v/>
      </c>
      <c r="J770" s="44" t="str">
        <f>CONFERENCIAS!P770</f>
        <v/>
      </c>
      <c r="K770" s="45" t="str">
        <f>CONFERENCIAS!R770</f>
        <v/>
      </c>
      <c r="L770" s="45">
        <f>IF(D770="",0,
 IF(E770=1,
   IF(H770="Presencial",
      VLOOKUP(D770,TARIFAS!A:K,3,FALSE) + IF(I770="Sí",VLOOKUP(D770,TARIFAS!A:K,5,FALSE),0),
      VLOOKUP(D770,TARIFAS!A:K,4,FALSE) + IF(I770="Sí",VLOOKUP(D770,TARIFAS!A:K,5,FALSE),0)
   ),
   IF(H770="Presencial",
      VLOOKUP(D770,TARIFAS!A:K,9,FALSE) + IF(I770="Sí",VLOOKUP(D770,TARIFAS!A:K,11,FALSE),0),
      VLOOKUP(D770,TARIFAS!A:K,10,FALSE) + IF(I770="Sí",VLOOKUP(D770,TARIFAS!A:K,11,FALSE),0)
   )
 )
)
</f>
        <v>0</v>
      </c>
      <c r="M770" s="45">
        <f>IF(J770="",0,MAX(0,J770 - TARIFAS!G$2) * TARIFAS!F$2)
</f>
        <v>0</v>
      </c>
      <c r="N770" s="45">
        <f>+L770*TARIFAS!$K$2</f>
        <v>0</v>
      </c>
      <c r="O770" s="45">
        <f t="shared" si="1"/>
        <v>0</v>
      </c>
      <c r="P770" s="45">
        <f>+M770+O770+K770+(+I770-(I770*TARIFAS!$K$2))</f>
        <v>0</v>
      </c>
      <c r="Q770" s="42" t="str">
        <f>CONFERENCIAS!T770</f>
        <v/>
      </c>
      <c r="R770" s="45" t="str">
        <f>CONFERENCIAS!U770</f>
        <v/>
      </c>
      <c r="S770" s="45" t="str">
        <f>CONFERENCIAS!W770</f>
        <v/>
      </c>
      <c r="T770" s="48">
        <f>IF(Q770="",0,
   IF(E770=1,
      IF(H770="Presencial",
         VLOOKUP(D770,TARIFAS!A:K,3,FALSE) + IF(I770="Sí",VLOOKUP(D770,TARIFAS!A:K,5,FALSE),0),
         VLOOKUP(D770,TARIFAS!A:K,4,FALSE) + IF(I770="Sí",VLOOKUP(D770,TARIFAS!A:K,5,FALSE),0)
      ),
      IF(H770="Presencial",
         VLOOKUP(D770,TARIFAS!A:K,9,FALSE) + IF(I770="Sí",VLOOKUP(D770,TARIFAS!A:K,11,FALSE),0),
         VLOOKUP(D770,TARIFAS!A:K,10,FALSE) + IF(I770="Sí",VLOOKUP(D770,TARIFAS!A:K,11,FALSE),0)
      )
   )
)
</f>
        <v>0</v>
      </c>
      <c r="U770" s="45">
        <f>IF(R770="",0,MAX(0,R770 - TARIFAS!G$2) * TARIFAS!F$2)
</f>
        <v>0</v>
      </c>
      <c r="V770" s="45">
        <f>+T770*TARIFAS!$K$2</f>
        <v>0</v>
      </c>
      <c r="W770" s="45">
        <f t="shared" si="2"/>
        <v>0</v>
      </c>
      <c r="X770" s="45">
        <f t="shared" si="3"/>
        <v>0</v>
      </c>
      <c r="Y770" s="45">
        <f t="shared" si="4"/>
        <v>0</v>
      </c>
      <c r="Z770" s="42" t="str">
        <f>CONFERENCIAS!AB770</f>
        <v/>
      </c>
      <c r="AA770" s="42" t="str">
        <f>CONFERENCIAS!AC770</f>
        <v/>
      </c>
      <c r="AB770" s="47" t="str">
        <f t="shared" si="5"/>
        <v/>
      </c>
      <c r="AC770" s="9" t="str">
        <f t="shared" si="6"/>
        <v/>
      </c>
    </row>
    <row r="771">
      <c r="A771" s="42" t="str">
        <f>CONFERENCIAS!A771</f>
        <v/>
      </c>
      <c r="D771" s="42" t="str">
        <f>CONFERENCIAS!C771</f>
        <v/>
      </c>
      <c r="E771" s="42" t="str">
        <f>CONFERENCIAS!K771</f>
        <v/>
      </c>
      <c r="F771" s="49" t="str">
        <f>CONFERENCIAS!J771</f>
        <v/>
      </c>
      <c r="G771" s="42" t="str">
        <f>CONFERENCIAS!O771</f>
        <v/>
      </c>
      <c r="H771" s="42" t="str">
        <f>CONFERENCIAS!X771</f>
        <v/>
      </c>
      <c r="I771" s="42" t="str">
        <f>CONFERENCIAS!AA771</f>
        <v/>
      </c>
      <c r="J771" s="44" t="str">
        <f>CONFERENCIAS!P771</f>
        <v/>
      </c>
      <c r="K771" s="45" t="str">
        <f>CONFERENCIAS!R771</f>
        <v/>
      </c>
      <c r="L771" s="45">
        <f>IF(D771="",0,
 IF(E771=1,
   IF(H771="Presencial",
      VLOOKUP(D771,TARIFAS!A:K,3,FALSE) + IF(I771="Sí",VLOOKUP(D771,TARIFAS!A:K,5,FALSE),0),
      VLOOKUP(D771,TARIFAS!A:K,4,FALSE) + IF(I771="Sí",VLOOKUP(D771,TARIFAS!A:K,5,FALSE),0)
   ),
   IF(H771="Presencial",
      VLOOKUP(D771,TARIFAS!A:K,9,FALSE) + IF(I771="Sí",VLOOKUP(D771,TARIFAS!A:K,11,FALSE),0),
      VLOOKUP(D771,TARIFAS!A:K,10,FALSE) + IF(I771="Sí",VLOOKUP(D771,TARIFAS!A:K,11,FALSE),0)
   )
 )
)
</f>
        <v>0</v>
      </c>
      <c r="M771" s="45">
        <f>IF(J771="",0,MAX(0,J771 - TARIFAS!G$2) * TARIFAS!F$2)
</f>
        <v>0</v>
      </c>
      <c r="N771" s="45">
        <f>+L771*TARIFAS!$K$2</f>
        <v>0</v>
      </c>
      <c r="O771" s="45">
        <f t="shared" si="1"/>
        <v>0</v>
      </c>
      <c r="P771" s="45">
        <f>+M771+O771+K771+(+I771-(I771*TARIFAS!$K$2))</f>
        <v>0</v>
      </c>
      <c r="Q771" s="42" t="str">
        <f>CONFERENCIAS!T771</f>
        <v/>
      </c>
      <c r="R771" s="45" t="str">
        <f>CONFERENCIAS!U771</f>
        <v/>
      </c>
      <c r="S771" s="45" t="str">
        <f>CONFERENCIAS!W771</f>
        <v/>
      </c>
      <c r="T771" s="48">
        <f>IF(Q771="",0,
   IF(E771=1,
      IF(H771="Presencial",
         VLOOKUP(D771,TARIFAS!A:K,3,FALSE) + IF(I771="Sí",VLOOKUP(D771,TARIFAS!A:K,5,FALSE),0),
         VLOOKUP(D771,TARIFAS!A:K,4,FALSE) + IF(I771="Sí",VLOOKUP(D771,TARIFAS!A:K,5,FALSE),0)
      ),
      IF(H771="Presencial",
         VLOOKUP(D771,TARIFAS!A:K,9,FALSE) + IF(I771="Sí",VLOOKUP(D771,TARIFAS!A:K,11,FALSE),0),
         VLOOKUP(D771,TARIFAS!A:K,10,FALSE) + IF(I771="Sí",VLOOKUP(D771,TARIFAS!A:K,11,FALSE),0)
      )
   )
)
</f>
        <v>0</v>
      </c>
      <c r="U771" s="45">
        <f>IF(R771="",0,MAX(0,R771 - TARIFAS!G$2) * TARIFAS!F$2)
</f>
        <v>0</v>
      </c>
      <c r="V771" s="45">
        <f>+T771*TARIFAS!$K$2</f>
        <v>0</v>
      </c>
      <c r="W771" s="45">
        <f t="shared" si="2"/>
        <v>0</v>
      </c>
      <c r="X771" s="45">
        <f t="shared" si="3"/>
        <v>0</v>
      </c>
      <c r="Y771" s="45">
        <f t="shared" si="4"/>
        <v>0</v>
      </c>
      <c r="Z771" s="42" t="str">
        <f>CONFERENCIAS!AB771</f>
        <v/>
      </c>
      <c r="AA771" s="42" t="str">
        <f>CONFERENCIAS!AC771</f>
        <v/>
      </c>
      <c r="AB771" s="47" t="str">
        <f t="shared" si="5"/>
        <v/>
      </c>
      <c r="AC771" s="9" t="str">
        <f t="shared" si="6"/>
        <v/>
      </c>
    </row>
    <row r="772">
      <c r="A772" s="42" t="str">
        <f>CONFERENCIAS!A772</f>
        <v/>
      </c>
      <c r="D772" s="42" t="str">
        <f>CONFERENCIAS!C772</f>
        <v/>
      </c>
      <c r="E772" s="42" t="str">
        <f>CONFERENCIAS!K772</f>
        <v/>
      </c>
      <c r="F772" s="49" t="str">
        <f>CONFERENCIAS!J772</f>
        <v/>
      </c>
      <c r="G772" s="42" t="str">
        <f>CONFERENCIAS!O772</f>
        <v/>
      </c>
      <c r="H772" s="42" t="str">
        <f>CONFERENCIAS!X772</f>
        <v/>
      </c>
      <c r="I772" s="42" t="str">
        <f>CONFERENCIAS!AA772</f>
        <v/>
      </c>
      <c r="J772" s="44" t="str">
        <f>CONFERENCIAS!P772</f>
        <v/>
      </c>
      <c r="K772" s="45" t="str">
        <f>CONFERENCIAS!R772</f>
        <v/>
      </c>
      <c r="L772" s="45">
        <f>IF(D772="",0,
 IF(E772=1,
   IF(H772="Presencial",
      VLOOKUP(D772,TARIFAS!A:K,3,FALSE) + IF(I772="Sí",VLOOKUP(D772,TARIFAS!A:K,5,FALSE),0),
      VLOOKUP(D772,TARIFAS!A:K,4,FALSE) + IF(I772="Sí",VLOOKUP(D772,TARIFAS!A:K,5,FALSE),0)
   ),
   IF(H772="Presencial",
      VLOOKUP(D772,TARIFAS!A:K,9,FALSE) + IF(I772="Sí",VLOOKUP(D772,TARIFAS!A:K,11,FALSE),0),
      VLOOKUP(D772,TARIFAS!A:K,10,FALSE) + IF(I772="Sí",VLOOKUP(D772,TARIFAS!A:K,11,FALSE),0)
   )
 )
)
</f>
        <v>0</v>
      </c>
      <c r="M772" s="45">
        <f>IF(J772="",0,MAX(0,J772 - TARIFAS!G$2) * TARIFAS!F$2)
</f>
        <v>0</v>
      </c>
      <c r="N772" s="45">
        <f>+L772*TARIFAS!$K$2</f>
        <v>0</v>
      </c>
      <c r="O772" s="45">
        <f t="shared" si="1"/>
        <v>0</v>
      </c>
      <c r="P772" s="45">
        <f>+M772+O772+K772+(+I772-(I772*TARIFAS!$K$2))</f>
        <v>0</v>
      </c>
      <c r="Q772" s="42" t="str">
        <f>CONFERENCIAS!T772</f>
        <v/>
      </c>
      <c r="R772" s="45" t="str">
        <f>CONFERENCIAS!U772</f>
        <v/>
      </c>
      <c r="S772" s="45" t="str">
        <f>CONFERENCIAS!W772</f>
        <v/>
      </c>
      <c r="T772" s="48">
        <f>IF(Q772="",0,
   IF(E772=1,
      IF(H772="Presencial",
         VLOOKUP(D772,TARIFAS!A:K,3,FALSE) + IF(I772="Sí",VLOOKUP(D772,TARIFAS!A:K,5,FALSE),0),
         VLOOKUP(D772,TARIFAS!A:K,4,FALSE) + IF(I772="Sí",VLOOKUP(D772,TARIFAS!A:K,5,FALSE),0)
      ),
      IF(H772="Presencial",
         VLOOKUP(D772,TARIFAS!A:K,9,FALSE) + IF(I772="Sí",VLOOKUP(D772,TARIFAS!A:K,11,FALSE),0),
         VLOOKUP(D772,TARIFAS!A:K,10,FALSE) + IF(I772="Sí",VLOOKUP(D772,TARIFAS!A:K,11,FALSE),0)
      )
   )
)
</f>
        <v>0</v>
      </c>
      <c r="U772" s="45">
        <f>IF(R772="",0,MAX(0,R772 - TARIFAS!G$2) * TARIFAS!F$2)
</f>
        <v>0</v>
      </c>
      <c r="V772" s="45">
        <f>+T772*TARIFAS!$K$2</f>
        <v>0</v>
      </c>
      <c r="W772" s="45">
        <f t="shared" si="2"/>
        <v>0</v>
      </c>
      <c r="X772" s="45">
        <f t="shared" si="3"/>
        <v>0</v>
      </c>
      <c r="Y772" s="45">
        <f t="shared" si="4"/>
        <v>0</v>
      </c>
      <c r="Z772" s="42" t="str">
        <f>CONFERENCIAS!AB772</f>
        <v/>
      </c>
      <c r="AA772" s="42" t="str">
        <f>CONFERENCIAS!AC772</f>
        <v/>
      </c>
      <c r="AB772" s="47" t="str">
        <f t="shared" si="5"/>
        <v/>
      </c>
      <c r="AC772" s="9" t="str">
        <f t="shared" si="6"/>
        <v/>
      </c>
    </row>
    <row r="773">
      <c r="A773" s="42" t="str">
        <f>CONFERENCIAS!A773</f>
        <v/>
      </c>
      <c r="D773" s="42" t="str">
        <f>CONFERENCIAS!C773</f>
        <v/>
      </c>
      <c r="E773" s="42" t="str">
        <f>CONFERENCIAS!K773</f>
        <v/>
      </c>
      <c r="F773" s="49" t="str">
        <f>CONFERENCIAS!J773</f>
        <v/>
      </c>
      <c r="G773" s="42" t="str">
        <f>CONFERENCIAS!O773</f>
        <v/>
      </c>
      <c r="H773" s="42" t="str">
        <f>CONFERENCIAS!X773</f>
        <v/>
      </c>
      <c r="I773" s="42" t="str">
        <f>CONFERENCIAS!AA773</f>
        <v/>
      </c>
      <c r="J773" s="44" t="str">
        <f>CONFERENCIAS!P773</f>
        <v/>
      </c>
      <c r="K773" s="45" t="str">
        <f>CONFERENCIAS!R773</f>
        <v/>
      </c>
      <c r="L773" s="45">
        <f>IF(D773="",0,
 IF(E773=1,
   IF(H773="Presencial",
      VLOOKUP(D773,TARIFAS!A:K,3,FALSE) + IF(I773="Sí",VLOOKUP(D773,TARIFAS!A:K,5,FALSE),0),
      VLOOKUP(D773,TARIFAS!A:K,4,FALSE) + IF(I773="Sí",VLOOKUP(D773,TARIFAS!A:K,5,FALSE),0)
   ),
   IF(H773="Presencial",
      VLOOKUP(D773,TARIFAS!A:K,9,FALSE) + IF(I773="Sí",VLOOKUP(D773,TARIFAS!A:K,11,FALSE),0),
      VLOOKUP(D773,TARIFAS!A:K,10,FALSE) + IF(I773="Sí",VLOOKUP(D773,TARIFAS!A:K,11,FALSE),0)
   )
 )
)
</f>
        <v>0</v>
      </c>
      <c r="M773" s="45">
        <f>IF(J773="",0,MAX(0,J773 - TARIFAS!G$2) * TARIFAS!F$2)
</f>
        <v>0</v>
      </c>
      <c r="N773" s="45">
        <f>+L773*TARIFAS!$K$2</f>
        <v>0</v>
      </c>
      <c r="O773" s="45">
        <f t="shared" si="1"/>
        <v>0</v>
      </c>
      <c r="P773" s="45">
        <f>+M773+O773+K773+(+I773-(I773*TARIFAS!$K$2))</f>
        <v>0</v>
      </c>
      <c r="Q773" s="42" t="str">
        <f>CONFERENCIAS!T773</f>
        <v/>
      </c>
      <c r="R773" s="45" t="str">
        <f>CONFERENCIAS!U773</f>
        <v/>
      </c>
      <c r="S773" s="45" t="str">
        <f>CONFERENCIAS!W773</f>
        <v/>
      </c>
      <c r="T773" s="48">
        <f>IF(Q773="",0,
   IF(E773=1,
      IF(H773="Presencial",
         VLOOKUP(D773,TARIFAS!A:K,3,FALSE) + IF(I773="Sí",VLOOKUP(D773,TARIFAS!A:K,5,FALSE),0),
         VLOOKUP(D773,TARIFAS!A:K,4,FALSE) + IF(I773="Sí",VLOOKUP(D773,TARIFAS!A:K,5,FALSE),0)
      ),
      IF(H773="Presencial",
         VLOOKUP(D773,TARIFAS!A:K,9,FALSE) + IF(I773="Sí",VLOOKUP(D773,TARIFAS!A:K,11,FALSE),0),
         VLOOKUP(D773,TARIFAS!A:K,10,FALSE) + IF(I773="Sí",VLOOKUP(D773,TARIFAS!A:K,11,FALSE),0)
      )
   )
)
</f>
        <v>0</v>
      </c>
      <c r="U773" s="45">
        <f>IF(R773="",0,MAX(0,R773 - TARIFAS!G$2) * TARIFAS!F$2)
</f>
        <v>0</v>
      </c>
      <c r="V773" s="45">
        <f>+T773*TARIFAS!$K$2</f>
        <v>0</v>
      </c>
      <c r="W773" s="45">
        <f t="shared" si="2"/>
        <v>0</v>
      </c>
      <c r="X773" s="45">
        <f t="shared" si="3"/>
        <v>0</v>
      </c>
      <c r="Y773" s="45">
        <f t="shared" si="4"/>
        <v>0</v>
      </c>
      <c r="Z773" s="42" t="str">
        <f>CONFERENCIAS!AB773</f>
        <v/>
      </c>
      <c r="AA773" s="42" t="str">
        <f>CONFERENCIAS!AC773</f>
        <v/>
      </c>
      <c r="AB773" s="47" t="str">
        <f t="shared" si="5"/>
        <v/>
      </c>
      <c r="AC773" s="9" t="str">
        <f t="shared" si="6"/>
        <v/>
      </c>
    </row>
    <row r="774">
      <c r="A774" s="42" t="str">
        <f>CONFERENCIAS!A774</f>
        <v/>
      </c>
      <c r="D774" s="42" t="str">
        <f>CONFERENCIAS!C774</f>
        <v/>
      </c>
      <c r="E774" s="42" t="str">
        <f>CONFERENCIAS!K774</f>
        <v/>
      </c>
      <c r="F774" s="49" t="str">
        <f>CONFERENCIAS!J774</f>
        <v/>
      </c>
      <c r="G774" s="42" t="str">
        <f>CONFERENCIAS!O774</f>
        <v/>
      </c>
      <c r="H774" s="42" t="str">
        <f>CONFERENCIAS!X774</f>
        <v/>
      </c>
      <c r="I774" s="42" t="str">
        <f>CONFERENCIAS!AA774</f>
        <v/>
      </c>
      <c r="J774" s="44" t="str">
        <f>CONFERENCIAS!P774</f>
        <v/>
      </c>
      <c r="K774" s="45" t="str">
        <f>CONFERENCIAS!R774</f>
        <v/>
      </c>
      <c r="L774" s="45">
        <f>IF(D774="",0,
 IF(E774=1,
   IF(H774="Presencial",
      VLOOKUP(D774,TARIFAS!A:K,3,FALSE) + IF(I774="Sí",VLOOKUP(D774,TARIFAS!A:K,5,FALSE),0),
      VLOOKUP(D774,TARIFAS!A:K,4,FALSE) + IF(I774="Sí",VLOOKUP(D774,TARIFAS!A:K,5,FALSE),0)
   ),
   IF(H774="Presencial",
      VLOOKUP(D774,TARIFAS!A:K,9,FALSE) + IF(I774="Sí",VLOOKUP(D774,TARIFAS!A:K,11,FALSE),0),
      VLOOKUP(D774,TARIFAS!A:K,10,FALSE) + IF(I774="Sí",VLOOKUP(D774,TARIFAS!A:K,11,FALSE),0)
   )
 )
)
</f>
        <v>0</v>
      </c>
      <c r="M774" s="45">
        <f>IF(J774="",0,MAX(0,J774 - TARIFAS!G$2) * TARIFAS!F$2)
</f>
        <v>0</v>
      </c>
      <c r="N774" s="45">
        <f>+L774*TARIFAS!$K$2</f>
        <v>0</v>
      </c>
      <c r="O774" s="45">
        <f t="shared" si="1"/>
        <v>0</v>
      </c>
      <c r="P774" s="45">
        <f>+M774+O774+K774+(+I774-(I774*TARIFAS!$K$2))</f>
        <v>0</v>
      </c>
      <c r="Q774" s="42" t="str">
        <f>CONFERENCIAS!T774</f>
        <v/>
      </c>
      <c r="R774" s="45" t="str">
        <f>CONFERENCIAS!U774</f>
        <v/>
      </c>
      <c r="S774" s="45" t="str">
        <f>CONFERENCIAS!W774</f>
        <v/>
      </c>
      <c r="T774" s="48">
        <f>IF(Q774="",0,
   IF(E774=1,
      IF(H774="Presencial",
         VLOOKUP(D774,TARIFAS!A:K,3,FALSE) + IF(I774="Sí",VLOOKUP(D774,TARIFAS!A:K,5,FALSE),0),
         VLOOKUP(D774,TARIFAS!A:K,4,FALSE) + IF(I774="Sí",VLOOKUP(D774,TARIFAS!A:K,5,FALSE),0)
      ),
      IF(H774="Presencial",
         VLOOKUP(D774,TARIFAS!A:K,9,FALSE) + IF(I774="Sí",VLOOKUP(D774,TARIFAS!A:K,11,FALSE),0),
         VLOOKUP(D774,TARIFAS!A:K,10,FALSE) + IF(I774="Sí",VLOOKUP(D774,TARIFAS!A:K,11,FALSE),0)
      )
   )
)
</f>
        <v>0</v>
      </c>
      <c r="U774" s="45">
        <f>IF(R774="",0,MAX(0,R774 - TARIFAS!G$2) * TARIFAS!F$2)
</f>
        <v>0</v>
      </c>
      <c r="V774" s="45">
        <f>+T774*TARIFAS!$K$2</f>
        <v>0</v>
      </c>
      <c r="W774" s="45">
        <f t="shared" si="2"/>
        <v>0</v>
      </c>
      <c r="X774" s="45">
        <f t="shared" si="3"/>
        <v>0</v>
      </c>
      <c r="Y774" s="45">
        <f t="shared" si="4"/>
        <v>0</v>
      </c>
      <c r="Z774" s="42" t="str">
        <f>CONFERENCIAS!AB774</f>
        <v/>
      </c>
      <c r="AA774" s="42" t="str">
        <f>CONFERENCIAS!AC774</f>
        <v/>
      </c>
      <c r="AB774" s="47" t="str">
        <f t="shared" si="5"/>
        <v/>
      </c>
      <c r="AC774" s="9" t="str">
        <f t="shared" si="6"/>
        <v/>
      </c>
    </row>
    <row r="775">
      <c r="A775" s="42" t="str">
        <f>CONFERENCIAS!A775</f>
        <v/>
      </c>
      <c r="D775" s="42" t="str">
        <f>CONFERENCIAS!C775</f>
        <v/>
      </c>
      <c r="E775" s="42" t="str">
        <f>CONFERENCIAS!K775</f>
        <v/>
      </c>
      <c r="F775" s="49" t="str">
        <f>CONFERENCIAS!J775</f>
        <v/>
      </c>
      <c r="G775" s="42" t="str">
        <f>CONFERENCIAS!O775</f>
        <v/>
      </c>
      <c r="H775" s="42" t="str">
        <f>CONFERENCIAS!X775</f>
        <v/>
      </c>
      <c r="I775" s="42" t="str">
        <f>CONFERENCIAS!AA775</f>
        <v/>
      </c>
      <c r="J775" s="44" t="str">
        <f>CONFERENCIAS!P775</f>
        <v/>
      </c>
      <c r="K775" s="45" t="str">
        <f>CONFERENCIAS!R775</f>
        <v/>
      </c>
      <c r="L775" s="45">
        <f>IF(D775="",0,
 IF(E775=1,
   IF(H775="Presencial",
      VLOOKUP(D775,TARIFAS!A:K,3,FALSE) + IF(I775="Sí",VLOOKUP(D775,TARIFAS!A:K,5,FALSE),0),
      VLOOKUP(D775,TARIFAS!A:K,4,FALSE) + IF(I775="Sí",VLOOKUP(D775,TARIFAS!A:K,5,FALSE),0)
   ),
   IF(H775="Presencial",
      VLOOKUP(D775,TARIFAS!A:K,9,FALSE) + IF(I775="Sí",VLOOKUP(D775,TARIFAS!A:K,11,FALSE),0),
      VLOOKUP(D775,TARIFAS!A:K,10,FALSE) + IF(I775="Sí",VLOOKUP(D775,TARIFAS!A:K,11,FALSE),0)
   )
 )
)
</f>
        <v>0</v>
      </c>
      <c r="M775" s="45">
        <f>IF(J775="",0,MAX(0,J775 - TARIFAS!G$2) * TARIFAS!F$2)
</f>
        <v>0</v>
      </c>
      <c r="N775" s="45">
        <f>+L775*TARIFAS!$K$2</f>
        <v>0</v>
      </c>
      <c r="O775" s="45">
        <f t="shared" si="1"/>
        <v>0</v>
      </c>
      <c r="P775" s="45">
        <f>+M775+O775+K775+(+I775-(I775*TARIFAS!$K$2))</f>
        <v>0</v>
      </c>
      <c r="Q775" s="42" t="str">
        <f>CONFERENCIAS!T775</f>
        <v/>
      </c>
      <c r="R775" s="45" t="str">
        <f>CONFERENCIAS!U775</f>
        <v/>
      </c>
      <c r="S775" s="45" t="str">
        <f>CONFERENCIAS!W775</f>
        <v/>
      </c>
      <c r="T775" s="48">
        <f>IF(Q775="",0,
   IF(E775=1,
      IF(H775="Presencial",
         VLOOKUP(D775,TARIFAS!A:K,3,FALSE) + IF(I775="Sí",VLOOKUP(D775,TARIFAS!A:K,5,FALSE),0),
         VLOOKUP(D775,TARIFAS!A:K,4,FALSE) + IF(I775="Sí",VLOOKUP(D775,TARIFAS!A:K,5,FALSE),0)
      ),
      IF(H775="Presencial",
         VLOOKUP(D775,TARIFAS!A:K,9,FALSE) + IF(I775="Sí",VLOOKUP(D775,TARIFAS!A:K,11,FALSE),0),
         VLOOKUP(D775,TARIFAS!A:K,10,FALSE) + IF(I775="Sí",VLOOKUP(D775,TARIFAS!A:K,11,FALSE),0)
      )
   )
)
</f>
        <v>0</v>
      </c>
      <c r="U775" s="45">
        <f>IF(R775="",0,MAX(0,R775 - TARIFAS!G$2) * TARIFAS!F$2)
</f>
        <v>0</v>
      </c>
      <c r="V775" s="45">
        <f>+T775*TARIFAS!$K$2</f>
        <v>0</v>
      </c>
      <c r="W775" s="45">
        <f t="shared" si="2"/>
        <v>0</v>
      </c>
      <c r="X775" s="45">
        <f t="shared" si="3"/>
        <v>0</v>
      </c>
      <c r="Y775" s="45">
        <f t="shared" si="4"/>
        <v>0</v>
      </c>
      <c r="Z775" s="42" t="str">
        <f>CONFERENCIAS!AB775</f>
        <v/>
      </c>
      <c r="AA775" s="42" t="str">
        <f>CONFERENCIAS!AC775</f>
        <v/>
      </c>
      <c r="AB775" s="47" t="str">
        <f t="shared" si="5"/>
        <v/>
      </c>
      <c r="AC775" s="9" t="str">
        <f t="shared" si="6"/>
        <v/>
      </c>
    </row>
    <row r="776">
      <c r="A776" s="42" t="str">
        <f>CONFERENCIAS!A776</f>
        <v/>
      </c>
      <c r="D776" s="42" t="str">
        <f>CONFERENCIAS!C776</f>
        <v/>
      </c>
      <c r="E776" s="42" t="str">
        <f>CONFERENCIAS!K776</f>
        <v/>
      </c>
      <c r="F776" s="49" t="str">
        <f>CONFERENCIAS!J776</f>
        <v/>
      </c>
      <c r="G776" s="42" t="str">
        <f>CONFERENCIAS!O776</f>
        <v/>
      </c>
      <c r="H776" s="42" t="str">
        <f>CONFERENCIAS!X776</f>
        <v/>
      </c>
      <c r="I776" s="42" t="str">
        <f>CONFERENCIAS!AA776</f>
        <v/>
      </c>
      <c r="J776" s="44" t="str">
        <f>CONFERENCIAS!P776</f>
        <v/>
      </c>
      <c r="K776" s="45" t="str">
        <f>CONFERENCIAS!R776</f>
        <v/>
      </c>
      <c r="L776" s="45">
        <f>IF(D776="",0,
 IF(E776=1,
   IF(H776="Presencial",
      VLOOKUP(D776,TARIFAS!A:K,3,FALSE) + IF(I776="Sí",VLOOKUP(D776,TARIFAS!A:K,5,FALSE),0),
      VLOOKUP(D776,TARIFAS!A:K,4,FALSE) + IF(I776="Sí",VLOOKUP(D776,TARIFAS!A:K,5,FALSE),0)
   ),
   IF(H776="Presencial",
      VLOOKUP(D776,TARIFAS!A:K,9,FALSE) + IF(I776="Sí",VLOOKUP(D776,TARIFAS!A:K,11,FALSE),0),
      VLOOKUP(D776,TARIFAS!A:K,10,FALSE) + IF(I776="Sí",VLOOKUP(D776,TARIFAS!A:K,11,FALSE),0)
   )
 )
)
</f>
        <v>0</v>
      </c>
      <c r="M776" s="45">
        <f>IF(J776="",0,MAX(0,J776 - TARIFAS!G$2) * TARIFAS!F$2)
</f>
        <v>0</v>
      </c>
      <c r="N776" s="45">
        <f>+L776*TARIFAS!$K$2</f>
        <v>0</v>
      </c>
      <c r="O776" s="45">
        <f t="shared" si="1"/>
        <v>0</v>
      </c>
      <c r="P776" s="45">
        <f>+M776+O776+K776+(+I776-(I776*TARIFAS!$K$2))</f>
        <v>0</v>
      </c>
      <c r="Q776" s="42" t="str">
        <f>CONFERENCIAS!T776</f>
        <v/>
      </c>
      <c r="R776" s="45" t="str">
        <f>CONFERENCIAS!U776</f>
        <v/>
      </c>
      <c r="S776" s="45" t="str">
        <f>CONFERENCIAS!W776</f>
        <v/>
      </c>
      <c r="T776" s="48">
        <f>IF(Q776="",0,
   IF(E776=1,
      IF(H776="Presencial",
         VLOOKUP(D776,TARIFAS!A:K,3,FALSE) + IF(I776="Sí",VLOOKUP(D776,TARIFAS!A:K,5,FALSE),0),
         VLOOKUP(D776,TARIFAS!A:K,4,FALSE) + IF(I776="Sí",VLOOKUP(D776,TARIFAS!A:K,5,FALSE),0)
      ),
      IF(H776="Presencial",
         VLOOKUP(D776,TARIFAS!A:K,9,FALSE) + IF(I776="Sí",VLOOKUP(D776,TARIFAS!A:K,11,FALSE),0),
         VLOOKUP(D776,TARIFAS!A:K,10,FALSE) + IF(I776="Sí",VLOOKUP(D776,TARIFAS!A:K,11,FALSE),0)
      )
   )
)
</f>
        <v>0</v>
      </c>
      <c r="U776" s="45">
        <f>IF(R776="",0,MAX(0,R776 - TARIFAS!G$2) * TARIFAS!F$2)
</f>
        <v>0</v>
      </c>
      <c r="V776" s="45">
        <f>+T776*TARIFAS!$K$2</f>
        <v>0</v>
      </c>
      <c r="W776" s="45">
        <f t="shared" si="2"/>
        <v>0</v>
      </c>
      <c r="X776" s="45">
        <f t="shared" si="3"/>
        <v>0</v>
      </c>
      <c r="Y776" s="45">
        <f t="shared" si="4"/>
        <v>0</v>
      </c>
      <c r="Z776" s="42" t="str">
        <f>CONFERENCIAS!AB776</f>
        <v/>
      </c>
      <c r="AA776" s="42" t="str">
        <f>CONFERENCIAS!AC776</f>
        <v/>
      </c>
      <c r="AB776" s="47" t="str">
        <f t="shared" si="5"/>
        <v/>
      </c>
      <c r="AC776" s="9" t="str">
        <f t="shared" si="6"/>
        <v/>
      </c>
    </row>
    <row r="777">
      <c r="A777" s="42" t="str">
        <f>CONFERENCIAS!A777</f>
        <v/>
      </c>
      <c r="D777" s="42" t="str">
        <f>CONFERENCIAS!C777</f>
        <v/>
      </c>
      <c r="E777" s="42" t="str">
        <f>CONFERENCIAS!K777</f>
        <v/>
      </c>
      <c r="F777" s="49" t="str">
        <f>CONFERENCIAS!J777</f>
        <v/>
      </c>
      <c r="G777" s="42" t="str">
        <f>CONFERENCIAS!O777</f>
        <v/>
      </c>
      <c r="H777" s="42" t="str">
        <f>CONFERENCIAS!X777</f>
        <v/>
      </c>
      <c r="I777" s="42" t="str">
        <f>CONFERENCIAS!AA777</f>
        <v/>
      </c>
      <c r="J777" s="44" t="str">
        <f>CONFERENCIAS!P777</f>
        <v/>
      </c>
      <c r="K777" s="45" t="str">
        <f>CONFERENCIAS!R777</f>
        <v/>
      </c>
      <c r="L777" s="45">
        <f>IF(D777="",0,
 IF(E777=1,
   IF(H777="Presencial",
      VLOOKUP(D777,TARIFAS!A:K,3,FALSE) + IF(I777="Sí",VLOOKUP(D777,TARIFAS!A:K,5,FALSE),0),
      VLOOKUP(D777,TARIFAS!A:K,4,FALSE) + IF(I777="Sí",VLOOKUP(D777,TARIFAS!A:K,5,FALSE),0)
   ),
   IF(H777="Presencial",
      VLOOKUP(D777,TARIFAS!A:K,9,FALSE) + IF(I777="Sí",VLOOKUP(D777,TARIFAS!A:K,11,FALSE),0),
      VLOOKUP(D777,TARIFAS!A:K,10,FALSE) + IF(I777="Sí",VLOOKUP(D777,TARIFAS!A:K,11,FALSE),0)
   )
 )
)
</f>
        <v>0</v>
      </c>
      <c r="M777" s="45">
        <f>IF(J777="",0,MAX(0,J777 - TARIFAS!G$2) * TARIFAS!F$2)
</f>
        <v>0</v>
      </c>
      <c r="N777" s="45">
        <f>+L777*TARIFAS!$K$2</f>
        <v>0</v>
      </c>
      <c r="O777" s="45">
        <f t="shared" si="1"/>
        <v>0</v>
      </c>
      <c r="P777" s="45">
        <f>+M777+O777+K777+(+I777-(I777*TARIFAS!$K$2))</f>
        <v>0</v>
      </c>
      <c r="Q777" s="42" t="str">
        <f>CONFERENCIAS!T777</f>
        <v/>
      </c>
      <c r="R777" s="45" t="str">
        <f>CONFERENCIAS!U777</f>
        <v/>
      </c>
      <c r="S777" s="45" t="str">
        <f>CONFERENCIAS!W777</f>
        <v/>
      </c>
      <c r="T777" s="48">
        <f>IF(Q777="",0,
   IF(E777=1,
      IF(H777="Presencial",
         VLOOKUP(D777,TARIFAS!A:K,3,FALSE) + IF(I777="Sí",VLOOKUP(D777,TARIFAS!A:K,5,FALSE),0),
         VLOOKUP(D777,TARIFAS!A:K,4,FALSE) + IF(I777="Sí",VLOOKUP(D777,TARIFAS!A:K,5,FALSE),0)
      ),
      IF(H777="Presencial",
         VLOOKUP(D777,TARIFAS!A:K,9,FALSE) + IF(I777="Sí",VLOOKUP(D777,TARIFAS!A:K,11,FALSE),0),
         VLOOKUP(D777,TARIFAS!A:K,10,FALSE) + IF(I777="Sí",VLOOKUP(D777,TARIFAS!A:K,11,FALSE),0)
      )
   )
)
</f>
        <v>0</v>
      </c>
      <c r="U777" s="45">
        <f>IF(R777="",0,MAX(0,R777 - TARIFAS!G$2) * TARIFAS!F$2)
</f>
        <v>0</v>
      </c>
      <c r="V777" s="45">
        <f>+T777*TARIFAS!$K$2</f>
        <v>0</v>
      </c>
      <c r="W777" s="45">
        <f t="shared" si="2"/>
        <v>0</v>
      </c>
      <c r="X777" s="45">
        <f t="shared" si="3"/>
        <v>0</v>
      </c>
      <c r="Y777" s="45">
        <f t="shared" si="4"/>
        <v>0</v>
      </c>
      <c r="Z777" s="42" t="str">
        <f>CONFERENCIAS!AB777</f>
        <v/>
      </c>
      <c r="AA777" s="42" t="str">
        <f>CONFERENCIAS!AC777</f>
        <v/>
      </c>
      <c r="AB777" s="47" t="str">
        <f t="shared" si="5"/>
        <v/>
      </c>
      <c r="AC777" s="9" t="str">
        <f t="shared" si="6"/>
        <v/>
      </c>
    </row>
    <row r="778">
      <c r="A778" s="42" t="str">
        <f>CONFERENCIAS!A778</f>
        <v/>
      </c>
      <c r="D778" s="42" t="str">
        <f>CONFERENCIAS!C778</f>
        <v/>
      </c>
      <c r="E778" s="42" t="str">
        <f>CONFERENCIAS!K778</f>
        <v/>
      </c>
      <c r="F778" s="49" t="str">
        <f>CONFERENCIAS!J778</f>
        <v/>
      </c>
      <c r="G778" s="42" t="str">
        <f>CONFERENCIAS!O778</f>
        <v/>
      </c>
      <c r="H778" s="42" t="str">
        <f>CONFERENCIAS!X778</f>
        <v/>
      </c>
      <c r="I778" s="42" t="str">
        <f>CONFERENCIAS!AA778</f>
        <v/>
      </c>
      <c r="J778" s="44" t="str">
        <f>CONFERENCIAS!P778</f>
        <v/>
      </c>
      <c r="K778" s="45" t="str">
        <f>CONFERENCIAS!R778</f>
        <v/>
      </c>
      <c r="L778" s="45">
        <f>IF(D778="",0,
 IF(E778=1,
   IF(H778="Presencial",
      VLOOKUP(D778,TARIFAS!A:K,3,FALSE) + IF(I778="Sí",VLOOKUP(D778,TARIFAS!A:K,5,FALSE),0),
      VLOOKUP(D778,TARIFAS!A:K,4,FALSE) + IF(I778="Sí",VLOOKUP(D778,TARIFAS!A:K,5,FALSE),0)
   ),
   IF(H778="Presencial",
      VLOOKUP(D778,TARIFAS!A:K,9,FALSE) + IF(I778="Sí",VLOOKUP(D778,TARIFAS!A:K,11,FALSE),0),
      VLOOKUP(D778,TARIFAS!A:K,10,FALSE) + IF(I778="Sí",VLOOKUP(D778,TARIFAS!A:K,11,FALSE),0)
   )
 )
)
</f>
        <v>0</v>
      </c>
      <c r="M778" s="45">
        <f>IF(J778="",0,MAX(0,J778 - TARIFAS!G$2) * TARIFAS!F$2)
</f>
        <v>0</v>
      </c>
      <c r="N778" s="45">
        <f>+L778*TARIFAS!$K$2</f>
        <v>0</v>
      </c>
      <c r="O778" s="45">
        <f t="shared" si="1"/>
        <v>0</v>
      </c>
      <c r="P778" s="45">
        <f>+M778+O778+K778+(+I778-(I778*TARIFAS!$K$2))</f>
        <v>0</v>
      </c>
      <c r="Q778" s="42" t="str">
        <f>CONFERENCIAS!T778</f>
        <v/>
      </c>
      <c r="R778" s="45" t="str">
        <f>CONFERENCIAS!U778</f>
        <v/>
      </c>
      <c r="S778" s="45" t="str">
        <f>CONFERENCIAS!W778</f>
        <v/>
      </c>
      <c r="T778" s="48">
        <f>IF(Q778="",0,
   IF(E778=1,
      IF(H778="Presencial",
         VLOOKUP(D778,TARIFAS!A:K,3,FALSE) + IF(I778="Sí",VLOOKUP(D778,TARIFAS!A:K,5,FALSE),0),
         VLOOKUP(D778,TARIFAS!A:K,4,FALSE) + IF(I778="Sí",VLOOKUP(D778,TARIFAS!A:K,5,FALSE),0)
      ),
      IF(H778="Presencial",
         VLOOKUP(D778,TARIFAS!A:K,9,FALSE) + IF(I778="Sí",VLOOKUP(D778,TARIFAS!A:K,11,FALSE),0),
         VLOOKUP(D778,TARIFAS!A:K,10,FALSE) + IF(I778="Sí",VLOOKUP(D778,TARIFAS!A:K,11,FALSE),0)
      )
   )
)
</f>
        <v>0</v>
      </c>
      <c r="U778" s="45">
        <f>IF(R778="",0,MAX(0,R778 - TARIFAS!G$2) * TARIFAS!F$2)
</f>
        <v>0</v>
      </c>
      <c r="V778" s="45">
        <f>+T778*TARIFAS!$K$2</f>
        <v>0</v>
      </c>
      <c r="W778" s="45">
        <f t="shared" si="2"/>
        <v>0</v>
      </c>
      <c r="X778" s="45">
        <f t="shared" si="3"/>
        <v>0</v>
      </c>
      <c r="Y778" s="45">
        <f t="shared" si="4"/>
        <v>0</v>
      </c>
      <c r="Z778" s="42" t="str">
        <f>CONFERENCIAS!AB778</f>
        <v/>
      </c>
      <c r="AA778" s="42" t="str">
        <f>CONFERENCIAS!AC778</f>
        <v/>
      </c>
      <c r="AB778" s="47" t="str">
        <f t="shared" si="5"/>
        <v/>
      </c>
      <c r="AC778" s="9" t="str">
        <f t="shared" si="6"/>
        <v/>
      </c>
    </row>
    <row r="779">
      <c r="A779" s="42" t="str">
        <f>CONFERENCIAS!A779</f>
        <v/>
      </c>
      <c r="D779" s="42" t="str">
        <f>CONFERENCIAS!C779</f>
        <v/>
      </c>
      <c r="E779" s="42" t="str">
        <f>CONFERENCIAS!K779</f>
        <v/>
      </c>
      <c r="F779" s="49" t="str">
        <f>CONFERENCIAS!J779</f>
        <v/>
      </c>
      <c r="G779" s="42" t="str">
        <f>CONFERENCIAS!O779</f>
        <v/>
      </c>
      <c r="H779" s="42" t="str">
        <f>CONFERENCIAS!X779</f>
        <v/>
      </c>
      <c r="I779" s="42" t="str">
        <f>CONFERENCIAS!AA779</f>
        <v/>
      </c>
      <c r="J779" s="44" t="str">
        <f>CONFERENCIAS!P779</f>
        <v/>
      </c>
      <c r="K779" s="45" t="str">
        <f>CONFERENCIAS!R779</f>
        <v/>
      </c>
      <c r="L779" s="45">
        <f>IF(D779="",0,
 IF(E779=1,
   IF(H779="Presencial",
      VLOOKUP(D779,TARIFAS!A:K,3,FALSE) + IF(I779="Sí",VLOOKUP(D779,TARIFAS!A:K,5,FALSE),0),
      VLOOKUP(D779,TARIFAS!A:K,4,FALSE) + IF(I779="Sí",VLOOKUP(D779,TARIFAS!A:K,5,FALSE),0)
   ),
   IF(H779="Presencial",
      VLOOKUP(D779,TARIFAS!A:K,9,FALSE) + IF(I779="Sí",VLOOKUP(D779,TARIFAS!A:K,11,FALSE),0),
      VLOOKUP(D779,TARIFAS!A:K,10,FALSE) + IF(I779="Sí",VLOOKUP(D779,TARIFAS!A:K,11,FALSE),0)
   )
 )
)
</f>
        <v>0</v>
      </c>
      <c r="M779" s="45">
        <f>IF(J779="",0,MAX(0,J779 - TARIFAS!G$2) * TARIFAS!F$2)
</f>
        <v>0</v>
      </c>
      <c r="N779" s="45">
        <f>+L779*TARIFAS!$K$2</f>
        <v>0</v>
      </c>
      <c r="O779" s="45">
        <f t="shared" si="1"/>
        <v>0</v>
      </c>
      <c r="P779" s="45">
        <f>+M779+O779+K779+(+I779-(I779*TARIFAS!$K$2))</f>
        <v>0</v>
      </c>
      <c r="Q779" s="42" t="str">
        <f>CONFERENCIAS!T779</f>
        <v/>
      </c>
      <c r="R779" s="45" t="str">
        <f>CONFERENCIAS!U779</f>
        <v/>
      </c>
      <c r="S779" s="45" t="str">
        <f>CONFERENCIAS!W779</f>
        <v/>
      </c>
      <c r="T779" s="48">
        <f>IF(Q779="",0,
   IF(E779=1,
      IF(H779="Presencial",
         VLOOKUP(D779,TARIFAS!A:K,3,FALSE) + IF(I779="Sí",VLOOKUP(D779,TARIFAS!A:K,5,FALSE),0),
         VLOOKUP(D779,TARIFAS!A:K,4,FALSE) + IF(I779="Sí",VLOOKUP(D779,TARIFAS!A:K,5,FALSE),0)
      ),
      IF(H779="Presencial",
         VLOOKUP(D779,TARIFAS!A:K,9,FALSE) + IF(I779="Sí",VLOOKUP(D779,TARIFAS!A:K,11,FALSE),0),
         VLOOKUP(D779,TARIFAS!A:K,10,FALSE) + IF(I779="Sí",VLOOKUP(D779,TARIFAS!A:K,11,FALSE),0)
      )
   )
)
</f>
        <v>0</v>
      </c>
      <c r="U779" s="45">
        <f>IF(R779="",0,MAX(0,R779 - TARIFAS!G$2) * TARIFAS!F$2)
</f>
        <v>0</v>
      </c>
      <c r="V779" s="45">
        <f>+T779*TARIFAS!$K$2</f>
        <v>0</v>
      </c>
      <c r="W779" s="45">
        <f t="shared" si="2"/>
        <v>0</v>
      </c>
      <c r="X779" s="45">
        <f t="shared" si="3"/>
        <v>0</v>
      </c>
      <c r="Y779" s="45">
        <f t="shared" si="4"/>
        <v>0</v>
      </c>
      <c r="Z779" s="42" t="str">
        <f>CONFERENCIAS!AB779</f>
        <v/>
      </c>
      <c r="AA779" s="42" t="str">
        <f>CONFERENCIAS!AC779</f>
        <v/>
      </c>
      <c r="AB779" s="47" t="str">
        <f t="shared" si="5"/>
        <v/>
      </c>
      <c r="AC779" s="9" t="str">
        <f t="shared" si="6"/>
        <v/>
      </c>
    </row>
    <row r="780">
      <c r="A780" s="42" t="str">
        <f>CONFERENCIAS!A780</f>
        <v/>
      </c>
      <c r="D780" s="42" t="str">
        <f>CONFERENCIAS!C780</f>
        <v/>
      </c>
      <c r="E780" s="42" t="str">
        <f>CONFERENCIAS!K780</f>
        <v/>
      </c>
      <c r="F780" s="49" t="str">
        <f>CONFERENCIAS!J780</f>
        <v/>
      </c>
      <c r="G780" s="42" t="str">
        <f>CONFERENCIAS!O780</f>
        <v/>
      </c>
      <c r="H780" s="42" t="str">
        <f>CONFERENCIAS!X780</f>
        <v/>
      </c>
      <c r="I780" s="42" t="str">
        <f>CONFERENCIAS!AA780</f>
        <v/>
      </c>
      <c r="J780" s="44" t="str">
        <f>CONFERENCIAS!P780</f>
        <v/>
      </c>
      <c r="K780" s="45" t="str">
        <f>CONFERENCIAS!R780</f>
        <v/>
      </c>
      <c r="L780" s="45">
        <f>IF(D780="",0,
 IF(E780=1,
   IF(H780="Presencial",
      VLOOKUP(D780,TARIFAS!A:K,3,FALSE) + IF(I780="Sí",VLOOKUP(D780,TARIFAS!A:K,5,FALSE),0),
      VLOOKUP(D780,TARIFAS!A:K,4,FALSE) + IF(I780="Sí",VLOOKUP(D780,TARIFAS!A:K,5,FALSE),0)
   ),
   IF(H780="Presencial",
      VLOOKUP(D780,TARIFAS!A:K,9,FALSE) + IF(I780="Sí",VLOOKUP(D780,TARIFAS!A:K,11,FALSE),0),
      VLOOKUP(D780,TARIFAS!A:K,10,FALSE) + IF(I780="Sí",VLOOKUP(D780,TARIFAS!A:K,11,FALSE),0)
   )
 )
)
</f>
        <v>0</v>
      </c>
      <c r="M780" s="45">
        <f>IF(J780="",0,MAX(0,J780 - TARIFAS!G$2) * TARIFAS!F$2)
</f>
        <v>0</v>
      </c>
      <c r="N780" s="45">
        <f>+L780*TARIFAS!$K$2</f>
        <v>0</v>
      </c>
      <c r="O780" s="45">
        <f t="shared" si="1"/>
        <v>0</v>
      </c>
      <c r="P780" s="45">
        <f>+M780+O780+K780+(+I780-(I780*TARIFAS!$K$2))</f>
        <v>0</v>
      </c>
      <c r="Q780" s="42" t="str">
        <f>CONFERENCIAS!T780</f>
        <v/>
      </c>
      <c r="R780" s="45" t="str">
        <f>CONFERENCIAS!U780</f>
        <v/>
      </c>
      <c r="S780" s="45" t="str">
        <f>CONFERENCIAS!W780</f>
        <v/>
      </c>
      <c r="T780" s="48">
        <f>IF(Q780="",0,
   IF(E780=1,
      IF(H780="Presencial",
         VLOOKUP(D780,TARIFAS!A:K,3,FALSE) + IF(I780="Sí",VLOOKUP(D780,TARIFAS!A:K,5,FALSE),0),
         VLOOKUP(D780,TARIFAS!A:K,4,FALSE) + IF(I780="Sí",VLOOKUP(D780,TARIFAS!A:K,5,FALSE),0)
      ),
      IF(H780="Presencial",
         VLOOKUP(D780,TARIFAS!A:K,9,FALSE) + IF(I780="Sí",VLOOKUP(D780,TARIFAS!A:K,11,FALSE),0),
         VLOOKUP(D780,TARIFAS!A:K,10,FALSE) + IF(I780="Sí",VLOOKUP(D780,TARIFAS!A:K,11,FALSE),0)
      )
   )
)
</f>
        <v>0</v>
      </c>
      <c r="U780" s="45">
        <f>IF(R780="",0,MAX(0,R780 - TARIFAS!G$2) * TARIFAS!F$2)
</f>
        <v>0</v>
      </c>
      <c r="V780" s="45">
        <f>+T780*TARIFAS!$K$2</f>
        <v>0</v>
      </c>
      <c r="W780" s="45">
        <f t="shared" si="2"/>
        <v>0</v>
      </c>
      <c r="X780" s="45">
        <f t="shared" si="3"/>
        <v>0</v>
      </c>
      <c r="Y780" s="45">
        <f t="shared" si="4"/>
        <v>0</v>
      </c>
      <c r="Z780" s="42" t="str">
        <f>CONFERENCIAS!AB780</f>
        <v/>
      </c>
      <c r="AA780" s="42" t="str">
        <f>CONFERENCIAS!AC780</f>
        <v/>
      </c>
      <c r="AB780" s="47" t="str">
        <f t="shared" si="5"/>
        <v/>
      </c>
      <c r="AC780" s="9" t="str">
        <f t="shared" si="6"/>
        <v/>
      </c>
    </row>
    <row r="781">
      <c r="A781" s="42" t="str">
        <f>CONFERENCIAS!A781</f>
        <v/>
      </c>
      <c r="D781" s="42" t="str">
        <f>CONFERENCIAS!C781</f>
        <v/>
      </c>
      <c r="E781" s="42" t="str">
        <f>CONFERENCIAS!K781</f>
        <v/>
      </c>
      <c r="F781" s="49" t="str">
        <f>CONFERENCIAS!J781</f>
        <v/>
      </c>
      <c r="G781" s="42" t="str">
        <f>CONFERENCIAS!O781</f>
        <v/>
      </c>
      <c r="H781" s="42" t="str">
        <f>CONFERENCIAS!X781</f>
        <v/>
      </c>
      <c r="I781" s="42" t="str">
        <f>CONFERENCIAS!AA781</f>
        <v/>
      </c>
      <c r="J781" s="44" t="str">
        <f>CONFERENCIAS!P781</f>
        <v/>
      </c>
      <c r="K781" s="45" t="str">
        <f>CONFERENCIAS!R781</f>
        <v/>
      </c>
      <c r="L781" s="45">
        <f>IF(D781="",0,
 IF(E781=1,
   IF(H781="Presencial",
      VLOOKUP(D781,TARIFAS!A:K,3,FALSE) + IF(I781="Sí",VLOOKUP(D781,TARIFAS!A:K,5,FALSE),0),
      VLOOKUP(D781,TARIFAS!A:K,4,FALSE) + IF(I781="Sí",VLOOKUP(D781,TARIFAS!A:K,5,FALSE),0)
   ),
   IF(H781="Presencial",
      VLOOKUP(D781,TARIFAS!A:K,9,FALSE) + IF(I781="Sí",VLOOKUP(D781,TARIFAS!A:K,11,FALSE),0),
      VLOOKUP(D781,TARIFAS!A:K,10,FALSE) + IF(I781="Sí",VLOOKUP(D781,TARIFAS!A:K,11,FALSE),0)
   )
 )
)
</f>
        <v>0</v>
      </c>
      <c r="M781" s="45">
        <f>IF(J781="",0,MAX(0,J781 - TARIFAS!G$2) * TARIFAS!F$2)
</f>
        <v>0</v>
      </c>
      <c r="N781" s="45">
        <f>+L781*TARIFAS!$K$2</f>
        <v>0</v>
      </c>
      <c r="O781" s="45">
        <f t="shared" si="1"/>
        <v>0</v>
      </c>
      <c r="P781" s="45">
        <f>+M781+O781+K781+(+I781-(I781*TARIFAS!$K$2))</f>
        <v>0</v>
      </c>
      <c r="Q781" s="42" t="str">
        <f>CONFERENCIAS!T781</f>
        <v/>
      </c>
      <c r="R781" s="45" t="str">
        <f>CONFERENCIAS!U781</f>
        <v/>
      </c>
      <c r="S781" s="45" t="str">
        <f>CONFERENCIAS!W781</f>
        <v/>
      </c>
      <c r="T781" s="48">
        <f>IF(Q781="",0,
   IF(E781=1,
      IF(H781="Presencial",
         VLOOKUP(D781,TARIFAS!A:K,3,FALSE) + IF(I781="Sí",VLOOKUP(D781,TARIFAS!A:K,5,FALSE),0),
         VLOOKUP(D781,TARIFAS!A:K,4,FALSE) + IF(I781="Sí",VLOOKUP(D781,TARIFAS!A:K,5,FALSE),0)
      ),
      IF(H781="Presencial",
         VLOOKUP(D781,TARIFAS!A:K,9,FALSE) + IF(I781="Sí",VLOOKUP(D781,TARIFAS!A:K,11,FALSE),0),
         VLOOKUP(D781,TARIFAS!A:K,10,FALSE) + IF(I781="Sí",VLOOKUP(D781,TARIFAS!A:K,11,FALSE),0)
      )
   )
)
</f>
        <v>0</v>
      </c>
      <c r="U781" s="45">
        <f>IF(R781="",0,MAX(0,R781 - TARIFAS!G$2) * TARIFAS!F$2)
</f>
        <v>0</v>
      </c>
      <c r="V781" s="45">
        <f>+T781*TARIFAS!$K$2</f>
        <v>0</v>
      </c>
      <c r="W781" s="45">
        <f t="shared" si="2"/>
        <v>0</v>
      </c>
      <c r="X781" s="45">
        <f t="shared" si="3"/>
        <v>0</v>
      </c>
      <c r="Y781" s="45">
        <f t="shared" si="4"/>
        <v>0</v>
      </c>
      <c r="Z781" s="42" t="str">
        <f>CONFERENCIAS!AB781</f>
        <v/>
      </c>
      <c r="AA781" s="42" t="str">
        <f>CONFERENCIAS!AC781</f>
        <v/>
      </c>
      <c r="AB781" s="47" t="str">
        <f t="shared" si="5"/>
        <v/>
      </c>
      <c r="AC781" s="9" t="str">
        <f t="shared" si="6"/>
        <v/>
      </c>
    </row>
    <row r="782">
      <c r="A782" s="42" t="str">
        <f>CONFERENCIAS!A782</f>
        <v/>
      </c>
      <c r="D782" s="42" t="str">
        <f>CONFERENCIAS!C782</f>
        <v/>
      </c>
      <c r="E782" s="42" t="str">
        <f>CONFERENCIAS!K782</f>
        <v/>
      </c>
      <c r="F782" s="49" t="str">
        <f>CONFERENCIAS!J782</f>
        <v/>
      </c>
      <c r="G782" s="42" t="str">
        <f>CONFERENCIAS!O782</f>
        <v/>
      </c>
      <c r="H782" s="42" t="str">
        <f>CONFERENCIAS!X782</f>
        <v/>
      </c>
      <c r="I782" s="42" t="str">
        <f>CONFERENCIAS!AA782</f>
        <v/>
      </c>
      <c r="J782" s="44" t="str">
        <f>CONFERENCIAS!P782</f>
        <v/>
      </c>
      <c r="K782" s="45" t="str">
        <f>CONFERENCIAS!R782</f>
        <v/>
      </c>
      <c r="L782" s="45">
        <f>IF(D782="",0,
 IF(E782=1,
   IF(H782="Presencial",
      VLOOKUP(D782,TARIFAS!A:K,3,FALSE) + IF(I782="Sí",VLOOKUP(D782,TARIFAS!A:K,5,FALSE),0),
      VLOOKUP(D782,TARIFAS!A:K,4,FALSE) + IF(I782="Sí",VLOOKUP(D782,TARIFAS!A:K,5,FALSE),0)
   ),
   IF(H782="Presencial",
      VLOOKUP(D782,TARIFAS!A:K,9,FALSE) + IF(I782="Sí",VLOOKUP(D782,TARIFAS!A:K,11,FALSE),0),
      VLOOKUP(D782,TARIFAS!A:K,10,FALSE) + IF(I782="Sí",VLOOKUP(D782,TARIFAS!A:K,11,FALSE),0)
   )
 )
)
</f>
        <v>0</v>
      </c>
      <c r="M782" s="45">
        <f>IF(J782="",0,MAX(0,J782 - TARIFAS!G$2) * TARIFAS!F$2)
</f>
        <v>0</v>
      </c>
      <c r="N782" s="45">
        <f>+L782*TARIFAS!$K$2</f>
        <v>0</v>
      </c>
      <c r="O782" s="45">
        <f t="shared" si="1"/>
        <v>0</v>
      </c>
      <c r="P782" s="45">
        <f>+M782+O782+K782+(+I782-(I782*TARIFAS!$K$2))</f>
        <v>0</v>
      </c>
      <c r="Q782" s="42" t="str">
        <f>CONFERENCIAS!T782</f>
        <v/>
      </c>
      <c r="R782" s="45" t="str">
        <f>CONFERENCIAS!U782</f>
        <v/>
      </c>
      <c r="S782" s="45" t="str">
        <f>CONFERENCIAS!W782</f>
        <v/>
      </c>
      <c r="T782" s="48">
        <f>IF(Q782="",0,
   IF(E782=1,
      IF(H782="Presencial",
         VLOOKUP(D782,TARIFAS!A:K,3,FALSE) + IF(I782="Sí",VLOOKUP(D782,TARIFAS!A:K,5,FALSE),0),
         VLOOKUP(D782,TARIFAS!A:K,4,FALSE) + IF(I782="Sí",VLOOKUP(D782,TARIFAS!A:K,5,FALSE),0)
      ),
      IF(H782="Presencial",
         VLOOKUP(D782,TARIFAS!A:K,9,FALSE) + IF(I782="Sí",VLOOKUP(D782,TARIFAS!A:K,11,FALSE),0),
         VLOOKUP(D782,TARIFAS!A:K,10,FALSE) + IF(I782="Sí",VLOOKUP(D782,TARIFAS!A:K,11,FALSE),0)
      )
   )
)
</f>
        <v>0</v>
      </c>
      <c r="U782" s="45">
        <f>IF(R782="",0,MAX(0,R782 - TARIFAS!G$2) * TARIFAS!F$2)
</f>
        <v>0</v>
      </c>
      <c r="V782" s="45">
        <f>+T782*TARIFAS!$K$2</f>
        <v>0</v>
      </c>
      <c r="W782" s="45">
        <f t="shared" si="2"/>
        <v>0</v>
      </c>
      <c r="X782" s="45">
        <f t="shared" si="3"/>
        <v>0</v>
      </c>
      <c r="Y782" s="45">
        <f t="shared" si="4"/>
        <v>0</v>
      </c>
      <c r="Z782" s="42" t="str">
        <f>CONFERENCIAS!AB782</f>
        <v/>
      </c>
      <c r="AA782" s="42" t="str">
        <f>CONFERENCIAS!AC782</f>
        <v/>
      </c>
      <c r="AB782" s="47" t="str">
        <f t="shared" si="5"/>
        <v/>
      </c>
      <c r="AC782" s="9" t="str">
        <f t="shared" si="6"/>
        <v/>
      </c>
    </row>
    <row r="783">
      <c r="A783" s="42" t="str">
        <f>CONFERENCIAS!A783</f>
        <v/>
      </c>
      <c r="D783" s="42" t="str">
        <f>CONFERENCIAS!C783</f>
        <v/>
      </c>
      <c r="E783" s="42" t="str">
        <f>CONFERENCIAS!K783</f>
        <v/>
      </c>
      <c r="F783" s="49" t="str">
        <f>CONFERENCIAS!J783</f>
        <v/>
      </c>
      <c r="G783" s="42" t="str">
        <f>CONFERENCIAS!O783</f>
        <v/>
      </c>
      <c r="H783" s="42" t="str">
        <f>CONFERENCIAS!X783</f>
        <v/>
      </c>
      <c r="I783" s="42" t="str">
        <f>CONFERENCIAS!AA783</f>
        <v/>
      </c>
      <c r="J783" s="44" t="str">
        <f>CONFERENCIAS!P783</f>
        <v/>
      </c>
      <c r="K783" s="45" t="str">
        <f>CONFERENCIAS!R783</f>
        <v/>
      </c>
      <c r="L783" s="45">
        <f>IF(D783="",0,
 IF(E783=1,
   IF(H783="Presencial",
      VLOOKUP(D783,TARIFAS!A:K,3,FALSE) + IF(I783="Sí",VLOOKUP(D783,TARIFAS!A:K,5,FALSE),0),
      VLOOKUP(D783,TARIFAS!A:K,4,FALSE) + IF(I783="Sí",VLOOKUP(D783,TARIFAS!A:K,5,FALSE),0)
   ),
   IF(H783="Presencial",
      VLOOKUP(D783,TARIFAS!A:K,9,FALSE) + IF(I783="Sí",VLOOKUP(D783,TARIFAS!A:K,11,FALSE),0),
      VLOOKUP(D783,TARIFAS!A:K,10,FALSE) + IF(I783="Sí",VLOOKUP(D783,TARIFAS!A:K,11,FALSE),0)
   )
 )
)
</f>
        <v>0</v>
      </c>
      <c r="M783" s="45">
        <f>IF(J783="",0,MAX(0,J783 - TARIFAS!G$2) * TARIFAS!F$2)
</f>
        <v>0</v>
      </c>
      <c r="N783" s="45">
        <f>+L783*TARIFAS!$K$2</f>
        <v>0</v>
      </c>
      <c r="O783" s="45">
        <f t="shared" si="1"/>
        <v>0</v>
      </c>
      <c r="P783" s="45">
        <f>+M783+O783+K783+(+I783-(I783*TARIFAS!$K$2))</f>
        <v>0</v>
      </c>
      <c r="Q783" s="42" t="str">
        <f>CONFERENCIAS!T783</f>
        <v/>
      </c>
      <c r="R783" s="45" t="str">
        <f>CONFERENCIAS!U783</f>
        <v/>
      </c>
      <c r="S783" s="45" t="str">
        <f>CONFERENCIAS!W783</f>
        <v/>
      </c>
      <c r="T783" s="48">
        <f>IF(Q783="",0,
   IF(E783=1,
      IF(H783="Presencial",
         VLOOKUP(D783,TARIFAS!A:K,3,FALSE) + IF(I783="Sí",VLOOKUP(D783,TARIFAS!A:K,5,FALSE),0),
         VLOOKUP(D783,TARIFAS!A:K,4,FALSE) + IF(I783="Sí",VLOOKUP(D783,TARIFAS!A:K,5,FALSE),0)
      ),
      IF(H783="Presencial",
         VLOOKUP(D783,TARIFAS!A:K,9,FALSE) + IF(I783="Sí",VLOOKUP(D783,TARIFAS!A:K,11,FALSE),0),
         VLOOKUP(D783,TARIFAS!A:K,10,FALSE) + IF(I783="Sí",VLOOKUP(D783,TARIFAS!A:K,11,FALSE),0)
      )
   )
)
</f>
        <v>0</v>
      </c>
      <c r="U783" s="45">
        <f>IF(R783="",0,MAX(0,R783 - TARIFAS!G$2) * TARIFAS!F$2)
</f>
        <v>0</v>
      </c>
      <c r="V783" s="45">
        <f>+T783*TARIFAS!$K$2</f>
        <v>0</v>
      </c>
      <c r="W783" s="45">
        <f t="shared" si="2"/>
        <v>0</v>
      </c>
      <c r="X783" s="45">
        <f t="shared" si="3"/>
        <v>0</v>
      </c>
      <c r="Y783" s="45">
        <f t="shared" si="4"/>
        <v>0</v>
      </c>
      <c r="Z783" s="42" t="str">
        <f>CONFERENCIAS!AB783</f>
        <v/>
      </c>
      <c r="AA783" s="42" t="str">
        <f>CONFERENCIAS!AC783</f>
        <v/>
      </c>
      <c r="AB783" s="47" t="str">
        <f t="shared" si="5"/>
        <v/>
      </c>
      <c r="AC783" s="9" t="str">
        <f t="shared" si="6"/>
        <v/>
      </c>
    </row>
    <row r="784">
      <c r="A784" s="42" t="str">
        <f>CONFERENCIAS!A784</f>
        <v/>
      </c>
      <c r="D784" s="42" t="str">
        <f>CONFERENCIAS!C784</f>
        <v/>
      </c>
      <c r="E784" s="42" t="str">
        <f>CONFERENCIAS!K784</f>
        <v/>
      </c>
      <c r="F784" s="49" t="str">
        <f>CONFERENCIAS!J784</f>
        <v/>
      </c>
      <c r="G784" s="42" t="str">
        <f>CONFERENCIAS!O784</f>
        <v/>
      </c>
      <c r="H784" s="42" t="str">
        <f>CONFERENCIAS!X784</f>
        <v/>
      </c>
      <c r="I784" s="42" t="str">
        <f>CONFERENCIAS!AA784</f>
        <v/>
      </c>
      <c r="J784" s="44" t="str">
        <f>CONFERENCIAS!P784</f>
        <v/>
      </c>
      <c r="K784" s="45" t="str">
        <f>CONFERENCIAS!R784</f>
        <v/>
      </c>
      <c r="L784" s="45">
        <f>IF(D784="",0,
 IF(E784=1,
   IF(H784="Presencial",
      VLOOKUP(D784,TARIFAS!A:K,3,FALSE) + IF(I784="Sí",VLOOKUP(D784,TARIFAS!A:K,5,FALSE),0),
      VLOOKUP(D784,TARIFAS!A:K,4,FALSE) + IF(I784="Sí",VLOOKUP(D784,TARIFAS!A:K,5,FALSE),0)
   ),
   IF(H784="Presencial",
      VLOOKUP(D784,TARIFAS!A:K,9,FALSE) + IF(I784="Sí",VLOOKUP(D784,TARIFAS!A:K,11,FALSE),0),
      VLOOKUP(D784,TARIFAS!A:K,10,FALSE) + IF(I784="Sí",VLOOKUP(D784,TARIFAS!A:K,11,FALSE),0)
   )
 )
)
</f>
        <v>0</v>
      </c>
      <c r="M784" s="45">
        <f>IF(J784="",0,MAX(0,J784 - TARIFAS!G$2) * TARIFAS!F$2)
</f>
        <v>0</v>
      </c>
      <c r="N784" s="45">
        <f>+L784*TARIFAS!$K$2</f>
        <v>0</v>
      </c>
      <c r="O784" s="45">
        <f t="shared" si="1"/>
        <v>0</v>
      </c>
      <c r="P784" s="45">
        <f>+M784+O784+K784+(+I784-(I784*TARIFAS!$K$2))</f>
        <v>0</v>
      </c>
      <c r="Q784" s="42" t="str">
        <f>CONFERENCIAS!T784</f>
        <v/>
      </c>
      <c r="R784" s="45" t="str">
        <f>CONFERENCIAS!U784</f>
        <v/>
      </c>
      <c r="S784" s="45" t="str">
        <f>CONFERENCIAS!W784</f>
        <v/>
      </c>
      <c r="T784" s="48">
        <f>IF(Q784="",0,
   IF(E784=1,
      IF(H784="Presencial",
         VLOOKUP(D784,TARIFAS!A:K,3,FALSE) + IF(I784="Sí",VLOOKUP(D784,TARIFAS!A:K,5,FALSE),0),
         VLOOKUP(D784,TARIFAS!A:K,4,FALSE) + IF(I784="Sí",VLOOKUP(D784,TARIFAS!A:K,5,FALSE),0)
      ),
      IF(H784="Presencial",
         VLOOKUP(D784,TARIFAS!A:K,9,FALSE) + IF(I784="Sí",VLOOKUP(D784,TARIFAS!A:K,11,FALSE),0),
         VLOOKUP(D784,TARIFAS!A:K,10,FALSE) + IF(I784="Sí",VLOOKUP(D784,TARIFAS!A:K,11,FALSE),0)
      )
   )
)
</f>
        <v>0</v>
      </c>
      <c r="U784" s="45">
        <f>IF(R784="",0,MAX(0,R784 - TARIFAS!G$2) * TARIFAS!F$2)
</f>
        <v>0</v>
      </c>
      <c r="V784" s="45">
        <f>+T784*TARIFAS!$K$2</f>
        <v>0</v>
      </c>
      <c r="W784" s="45">
        <f t="shared" si="2"/>
        <v>0</v>
      </c>
      <c r="X784" s="45">
        <f t="shared" si="3"/>
        <v>0</v>
      </c>
      <c r="Y784" s="45">
        <f t="shared" si="4"/>
        <v>0</v>
      </c>
      <c r="Z784" s="42" t="str">
        <f>CONFERENCIAS!AB784</f>
        <v/>
      </c>
      <c r="AA784" s="42" t="str">
        <f>CONFERENCIAS!AC784</f>
        <v/>
      </c>
      <c r="AB784" s="47" t="str">
        <f t="shared" si="5"/>
        <v/>
      </c>
      <c r="AC784" s="9" t="str">
        <f t="shared" si="6"/>
        <v/>
      </c>
    </row>
    <row r="785">
      <c r="A785" s="42" t="str">
        <f>CONFERENCIAS!A785</f>
        <v/>
      </c>
      <c r="D785" s="42" t="str">
        <f>CONFERENCIAS!C785</f>
        <v/>
      </c>
      <c r="E785" s="42" t="str">
        <f>CONFERENCIAS!K785</f>
        <v/>
      </c>
      <c r="F785" s="49" t="str">
        <f>CONFERENCIAS!J785</f>
        <v/>
      </c>
      <c r="G785" s="42" t="str">
        <f>CONFERENCIAS!O785</f>
        <v/>
      </c>
      <c r="H785" s="42" t="str">
        <f>CONFERENCIAS!X785</f>
        <v/>
      </c>
      <c r="I785" s="42" t="str">
        <f>CONFERENCIAS!AA785</f>
        <v/>
      </c>
      <c r="J785" s="44" t="str">
        <f>CONFERENCIAS!P785</f>
        <v/>
      </c>
      <c r="K785" s="45" t="str">
        <f>CONFERENCIAS!R785</f>
        <v/>
      </c>
      <c r="L785" s="45">
        <f>IF(D785="",0,
 IF(E785=1,
   IF(H785="Presencial",
      VLOOKUP(D785,TARIFAS!A:K,3,FALSE) + IF(I785="Sí",VLOOKUP(D785,TARIFAS!A:K,5,FALSE),0),
      VLOOKUP(D785,TARIFAS!A:K,4,FALSE) + IF(I785="Sí",VLOOKUP(D785,TARIFAS!A:K,5,FALSE),0)
   ),
   IF(H785="Presencial",
      VLOOKUP(D785,TARIFAS!A:K,9,FALSE) + IF(I785="Sí",VLOOKUP(D785,TARIFAS!A:K,11,FALSE),0),
      VLOOKUP(D785,TARIFAS!A:K,10,FALSE) + IF(I785="Sí",VLOOKUP(D785,TARIFAS!A:K,11,FALSE),0)
   )
 )
)
</f>
        <v>0</v>
      </c>
      <c r="M785" s="45">
        <f>IF(J785="",0,MAX(0,J785 - TARIFAS!G$2) * TARIFAS!F$2)
</f>
        <v>0</v>
      </c>
      <c r="N785" s="45">
        <f>+L785*TARIFAS!$K$2</f>
        <v>0</v>
      </c>
      <c r="O785" s="45">
        <f t="shared" si="1"/>
        <v>0</v>
      </c>
      <c r="P785" s="45">
        <f>+M785+O785+K785+(+I785-(I785*TARIFAS!$K$2))</f>
        <v>0</v>
      </c>
      <c r="Q785" s="42" t="str">
        <f>CONFERENCIAS!T785</f>
        <v/>
      </c>
      <c r="R785" s="45" t="str">
        <f>CONFERENCIAS!U785</f>
        <v/>
      </c>
      <c r="S785" s="45" t="str">
        <f>CONFERENCIAS!W785</f>
        <v/>
      </c>
      <c r="T785" s="48">
        <f>IF(Q785="",0,
   IF(E785=1,
      IF(H785="Presencial",
         VLOOKUP(D785,TARIFAS!A:K,3,FALSE) + IF(I785="Sí",VLOOKUP(D785,TARIFAS!A:K,5,FALSE),0),
         VLOOKUP(D785,TARIFAS!A:K,4,FALSE) + IF(I785="Sí",VLOOKUP(D785,TARIFAS!A:K,5,FALSE),0)
      ),
      IF(H785="Presencial",
         VLOOKUP(D785,TARIFAS!A:K,9,FALSE) + IF(I785="Sí",VLOOKUP(D785,TARIFAS!A:K,11,FALSE),0),
         VLOOKUP(D785,TARIFAS!A:K,10,FALSE) + IF(I785="Sí",VLOOKUP(D785,TARIFAS!A:K,11,FALSE),0)
      )
   )
)
</f>
        <v>0</v>
      </c>
      <c r="U785" s="45">
        <f>IF(R785="",0,MAX(0,R785 - TARIFAS!G$2) * TARIFAS!F$2)
</f>
        <v>0</v>
      </c>
      <c r="V785" s="45">
        <f>+T785*TARIFAS!$K$2</f>
        <v>0</v>
      </c>
      <c r="W785" s="45">
        <f t="shared" si="2"/>
        <v>0</v>
      </c>
      <c r="X785" s="45">
        <f t="shared" si="3"/>
        <v>0</v>
      </c>
      <c r="Y785" s="45">
        <f t="shared" si="4"/>
        <v>0</v>
      </c>
      <c r="Z785" s="42" t="str">
        <f>CONFERENCIAS!AB785</f>
        <v/>
      </c>
      <c r="AA785" s="42" t="str">
        <f>CONFERENCIAS!AC785</f>
        <v/>
      </c>
      <c r="AB785" s="47" t="str">
        <f t="shared" si="5"/>
        <v/>
      </c>
      <c r="AC785" s="9" t="str">
        <f t="shared" si="6"/>
        <v/>
      </c>
    </row>
    <row r="786">
      <c r="A786" s="42" t="str">
        <f>CONFERENCIAS!A786</f>
        <v/>
      </c>
      <c r="D786" s="42" t="str">
        <f>CONFERENCIAS!C786</f>
        <v/>
      </c>
      <c r="E786" s="42" t="str">
        <f>CONFERENCIAS!K786</f>
        <v/>
      </c>
      <c r="F786" s="49" t="str">
        <f>CONFERENCIAS!J786</f>
        <v/>
      </c>
      <c r="G786" s="42" t="str">
        <f>CONFERENCIAS!O786</f>
        <v/>
      </c>
      <c r="H786" s="42" t="str">
        <f>CONFERENCIAS!X786</f>
        <v/>
      </c>
      <c r="I786" s="42" t="str">
        <f>CONFERENCIAS!AA786</f>
        <v/>
      </c>
      <c r="J786" s="44" t="str">
        <f>CONFERENCIAS!P786</f>
        <v/>
      </c>
      <c r="K786" s="45" t="str">
        <f>CONFERENCIAS!R786</f>
        <v/>
      </c>
      <c r="L786" s="45">
        <f>IF(D786="",0,
 IF(E786=1,
   IF(H786="Presencial",
      VLOOKUP(D786,TARIFAS!A:K,3,FALSE) + IF(I786="Sí",VLOOKUP(D786,TARIFAS!A:K,5,FALSE),0),
      VLOOKUP(D786,TARIFAS!A:K,4,FALSE) + IF(I786="Sí",VLOOKUP(D786,TARIFAS!A:K,5,FALSE),0)
   ),
   IF(H786="Presencial",
      VLOOKUP(D786,TARIFAS!A:K,9,FALSE) + IF(I786="Sí",VLOOKUP(D786,TARIFAS!A:K,11,FALSE),0),
      VLOOKUP(D786,TARIFAS!A:K,10,FALSE) + IF(I786="Sí",VLOOKUP(D786,TARIFAS!A:K,11,FALSE),0)
   )
 )
)
</f>
        <v>0</v>
      </c>
      <c r="M786" s="45">
        <f>IF(J786="",0,MAX(0,J786 - TARIFAS!G$2) * TARIFAS!F$2)
</f>
        <v>0</v>
      </c>
      <c r="N786" s="45">
        <f>+L786*TARIFAS!$K$2</f>
        <v>0</v>
      </c>
      <c r="O786" s="45">
        <f t="shared" si="1"/>
        <v>0</v>
      </c>
      <c r="P786" s="45">
        <f>+M786+O786+K786+(+I786-(I786*TARIFAS!$K$2))</f>
        <v>0</v>
      </c>
      <c r="Q786" s="42" t="str">
        <f>CONFERENCIAS!T786</f>
        <v/>
      </c>
      <c r="R786" s="45" t="str">
        <f>CONFERENCIAS!U786</f>
        <v/>
      </c>
      <c r="S786" s="45" t="str">
        <f>CONFERENCIAS!W786</f>
        <v/>
      </c>
      <c r="T786" s="48">
        <f>IF(Q786="",0,
   IF(E786=1,
      IF(H786="Presencial",
         VLOOKUP(D786,TARIFAS!A:K,3,FALSE) + IF(I786="Sí",VLOOKUP(D786,TARIFAS!A:K,5,FALSE),0),
         VLOOKUP(D786,TARIFAS!A:K,4,FALSE) + IF(I786="Sí",VLOOKUP(D786,TARIFAS!A:K,5,FALSE),0)
      ),
      IF(H786="Presencial",
         VLOOKUP(D786,TARIFAS!A:K,9,FALSE) + IF(I786="Sí",VLOOKUP(D786,TARIFAS!A:K,11,FALSE),0),
         VLOOKUP(D786,TARIFAS!A:K,10,FALSE) + IF(I786="Sí",VLOOKUP(D786,TARIFAS!A:K,11,FALSE),0)
      )
   )
)
</f>
        <v>0</v>
      </c>
      <c r="U786" s="45">
        <f>IF(R786="",0,MAX(0,R786 - TARIFAS!G$2) * TARIFAS!F$2)
</f>
        <v>0</v>
      </c>
      <c r="V786" s="45">
        <f>+T786*TARIFAS!$K$2</f>
        <v>0</v>
      </c>
      <c r="W786" s="45">
        <f t="shared" si="2"/>
        <v>0</v>
      </c>
      <c r="X786" s="45">
        <f t="shared" si="3"/>
        <v>0</v>
      </c>
      <c r="Y786" s="45">
        <f t="shared" si="4"/>
        <v>0</v>
      </c>
      <c r="Z786" s="42" t="str">
        <f>CONFERENCIAS!AB786</f>
        <v/>
      </c>
      <c r="AA786" s="42" t="str">
        <f>CONFERENCIAS!AC786</f>
        <v/>
      </c>
      <c r="AB786" s="47" t="str">
        <f t="shared" si="5"/>
        <v/>
      </c>
      <c r="AC786" s="9" t="str">
        <f t="shared" si="6"/>
        <v/>
      </c>
    </row>
    <row r="787">
      <c r="A787" s="42" t="str">
        <f>CONFERENCIAS!A787</f>
        <v/>
      </c>
      <c r="D787" s="42" t="str">
        <f>CONFERENCIAS!C787</f>
        <v/>
      </c>
      <c r="E787" s="42" t="str">
        <f>CONFERENCIAS!K787</f>
        <v/>
      </c>
      <c r="F787" s="49" t="str">
        <f>CONFERENCIAS!J787</f>
        <v/>
      </c>
      <c r="G787" s="42" t="str">
        <f>CONFERENCIAS!O787</f>
        <v/>
      </c>
      <c r="H787" s="42" t="str">
        <f>CONFERENCIAS!X787</f>
        <v/>
      </c>
      <c r="I787" s="42" t="str">
        <f>CONFERENCIAS!AA787</f>
        <v/>
      </c>
      <c r="J787" s="44" t="str">
        <f>CONFERENCIAS!P787</f>
        <v/>
      </c>
      <c r="K787" s="45" t="str">
        <f>CONFERENCIAS!R787</f>
        <v/>
      </c>
      <c r="L787" s="45">
        <f>IF(D787="",0,
 IF(E787=1,
   IF(H787="Presencial",
      VLOOKUP(D787,TARIFAS!A:K,3,FALSE) + IF(I787="Sí",VLOOKUP(D787,TARIFAS!A:K,5,FALSE),0),
      VLOOKUP(D787,TARIFAS!A:K,4,FALSE) + IF(I787="Sí",VLOOKUP(D787,TARIFAS!A:K,5,FALSE),0)
   ),
   IF(H787="Presencial",
      VLOOKUP(D787,TARIFAS!A:K,9,FALSE) + IF(I787="Sí",VLOOKUP(D787,TARIFAS!A:K,11,FALSE),0),
      VLOOKUP(D787,TARIFAS!A:K,10,FALSE) + IF(I787="Sí",VLOOKUP(D787,TARIFAS!A:K,11,FALSE),0)
   )
 )
)
</f>
        <v>0</v>
      </c>
      <c r="M787" s="45">
        <f>IF(J787="",0,MAX(0,J787 - TARIFAS!G$2) * TARIFAS!F$2)
</f>
        <v>0</v>
      </c>
      <c r="N787" s="45">
        <f>+L787*TARIFAS!$K$2</f>
        <v>0</v>
      </c>
      <c r="O787" s="45">
        <f t="shared" si="1"/>
        <v>0</v>
      </c>
      <c r="P787" s="45">
        <f>+M787+O787+K787+(+I787-(I787*TARIFAS!$K$2))</f>
        <v>0</v>
      </c>
      <c r="Q787" s="42" t="str">
        <f>CONFERENCIAS!T787</f>
        <v/>
      </c>
      <c r="R787" s="45" t="str">
        <f>CONFERENCIAS!U787</f>
        <v/>
      </c>
      <c r="S787" s="45" t="str">
        <f>CONFERENCIAS!W787</f>
        <v/>
      </c>
      <c r="T787" s="48">
        <f>IF(Q787="",0,
   IF(E787=1,
      IF(H787="Presencial",
         VLOOKUP(D787,TARIFAS!A:K,3,FALSE) + IF(I787="Sí",VLOOKUP(D787,TARIFAS!A:K,5,FALSE),0),
         VLOOKUP(D787,TARIFAS!A:K,4,FALSE) + IF(I787="Sí",VLOOKUP(D787,TARIFAS!A:K,5,FALSE),0)
      ),
      IF(H787="Presencial",
         VLOOKUP(D787,TARIFAS!A:K,9,FALSE) + IF(I787="Sí",VLOOKUP(D787,TARIFAS!A:K,11,FALSE),0),
         VLOOKUP(D787,TARIFAS!A:K,10,FALSE) + IF(I787="Sí",VLOOKUP(D787,TARIFAS!A:K,11,FALSE),0)
      )
   )
)
</f>
        <v>0</v>
      </c>
      <c r="U787" s="45">
        <f>IF(R787="",0,MAX(0,R787 - TARIFAS!G$2) * TARIFAS!F$2)
</f>
        <v>0</v>
      </c>
      <c r="V787" s="45">
        <f>+T787*TARIFAS!$K$2</f>
        <v>0</v>
      </c>
      <c r="W787" s="45">
        <f t="shared" si="2"/>
        <v>0</v>
      </c>
      <c r="X787" s="45">
        <f t="shared" si="3"/>
        <v>0</v>
      </c>
      <c r="Y787" s="45">
        <f t="shared" si="4"/>
        <v>0</v>
      </c>
      <c r="Z787" s="42" t="str">
        <f>CONFERENCIAS!AB787</f>
        <v/>
      </c>
      <c r="AA787" s="42" t="str">
        <f>CONFERENCIAS!AC787</f>
        <v/>
      </c>
      <c r="AB787" s="47" t="str">
        <f t="shared" si="5"/>
        <v/>
      </c>
      <c r="AC787" s="9" t="str">
        <f t="shared" si="6"/>
        <v/>
      </c>
    </row>
    <row r="788">
      <c r="A788" s="42" t="str">
        <f>CONFERENCIAS!A788</f>
        <v/>
      </c>
      <c r="D788" s="42" t="str">
        <f>CONFERENCIAS!C788</f>
        <v/>
      </c>
      <c r="E788" s="42" t="str">
        <f>CONFERENCIAS!K788</f>
        <v/>
      </c>
      <c r="F788" s="49" t="str">
        <f>CONFERENCIAS!J788</f>
        <v/>
      </c>
      <c r="G788" s="42" t="str">
        <f>CONFERENCIAS!O788</f>
        <v/>
      </c>
      <c r="H788" s="42" t="str">
        <f>CONFERENCIAS!X788</f>
        <v/>
      </c>
      <c r="I788" s="42" t="str">
        <f>CONFERENCIAS!AA788</f>
        <v/>
      </c>
      <c r="J788" s="44" t="str">
        <f>CONFERENCIAS!P788</f>
        <v/>
      </c>
      <c r="K788" s="45" t="str">
        <f>CONFERENCIAS!R788</f>
        <v/>
      </c>
      <c r="L788" s="45">
        <f>IF(D788="",0,
 IF(E788=1,
   IF(H788="Presencial",
      VLOOKUP(D788,TARIFAS!A:K,3,FALSE) + IF(I788="Sí",VLOOKUP(D788,TARIFAS!A:K,5,FALSE),0),
      VLOOKUP(D788,TARIFAS!A:K,4,FALSE) + IF(I788="Sí",VLOOKUP(D788,TARIFAS!A:K,5,FALSE),0)
   ),
   IF(H788="Presencial",
      VLOOKUP(D788,TARIFAS!A:K,9,FALSE) + IF(I788="Sí",VLOOKUP(D788,TARIFAS!A:K,11,FALSE),0),
      VLOOKUP(D788,TARIFAS!A:K,10,FALSE) + IF(I788="Sí",VLOOKUP(D788,TARIFAS!A:K,11,FALSE),0)
   )
 )
)
</f>
        <v>0</v>
      </c>
      <c r="M788" s="45">
        <f>IF(J788="",0,MAX(0,J788 - TARIFAS!G$2) * TARIFAS!F$2)
</f>
        <v>0</v>
      </c>
      <c r="N788" s="45">
        <f>+L788*TARIFAS!$K$2</f>
        <v>0</v>
      </c>
      <c r="O788" s="45">
        <f t="shared" si="1"/>
        <v>0</v>
      </c>
      <c r="P788" s="45">
        <f>+M788+O788+K788+(+I788-(I788*TARIFAS!$K$2))</f>
        <v>0</v>
      </c>
      <c r="Q788" s="42" t="str">
        <f>CONFERENCIAS!T788</f>
        <v/>
      </c>
      <c r="R788" s="45" t="str">
        <f>CONFERENCIAS!U788</f>
        <v/>
      </c>
      <c r="S788" s="45" t="str">
        <f>CONFERENCIAS!W788</f>
        <v/>
      </c>
      <c r="T788" s="48">
        <f>IF(Q788="",0,
   IF(E788=1,
      IF(H788="Presencial",
         VLOOKUP(D788,TARIFAS!A:K,3,FALSE) + IF(I788="Sí",VLOOKUP(D788,TARIFAS!A:K,5,FALSE),0),
         VLOOKUP(D788,TARIFAS!A:K,4,FALSE) + IF(I788="Sí",VLOOKUP(D788,TARIFAS!A:K,5,FALSE),0)
      ),
      IF(H788="Presencial",
         VLOOKUP(D788,TARIFAS!A:K,9,FALSE) + IF(I788="Sí",VLOOKUP(D788,TARIFAS!A:K,11,FALSE),0),
         VLOOKUP(D788,TARIFAS!A:K,10,FALSE) + IF(I788="Sí",VLOOKUP(D788,TARIFAS!A:K,11,FALSE),0)
      )
   )
)
</f>
        <v>0</v>
      </c>
      <c r="U788" s="45">
        <f>IF(R788="",0,MAX(0,R788 - TARIFAS!G$2) * TARIFAS!F$2)
</f>
        <v>0</v>
      </c>
      <c r="V788" s="45">
        <f>+T788*TARIFAS!$K$2</f>
        <v>0</v>
      </c>
      <c r="W788" s="45">
        <f t="shared" si="2"/>
        <v>0</v>
      </c>
      <c r="X788" s="45">
        <f t="shared" si="3"/>
        <v>0</v>
      </c>
      <c r="Y788" s="45">
        <f t="shared" si="4"/>
        <v>0</v>
      </c>
      <c r="Z788" s="42" t="str">
        <f>CONFERENCIAS!AB788</f>
        <v/>
      </c>
      <c r="AA788" s="42" t="str">
        <f>CONFERENCIAS!AC788</f>
        <v/>
      </c>
      <c r="AB788" s="47" t="str">
        <f t="shared" si="5"/>
        <v/>
      </c>
      <c r="AC788" s="9" t="str">
        <f t="shared" si="6"/>
        <v/>
      </c>
    </row>
    <row r="789">
      <c r="A789" s="42" t="str">
        <f>CONFERENCIAS!A789</f>
        <v/>
      </c>
      <c r="D789" s="42" t="str">
        <f>CONFERENCIAS!C789</f>
        <v/>
      </c>
      <c r="E789" s="42" t="str">
        <f>CONFERENCIAS!K789</f>
        <v/>
      </c>
      <c r="F789" s="49" t="str">
        <f>CONFERENCIAS!J789</f>
        <v/>
      </c>
      <c r="G789" s="42" t="str">
        <f>CONFERENCIAS!O789</f>
        <v/>
      </c>
      <c r="H789" s="42" t="str">
        <f>CONFERENCIAS!X789</f>
        <v/>
      </c>
      <c r="I789" s="42" t="str">
        <f>CONFERENCIAS!AA789</f>
        <v/>
      </c>
      <c r="J789" s="44" t="str">
        <f>CONFERENCIAS!P789</f>
        <v/>
      </c>
      <c r="K789" s="45" t="str">
        <f>CONFERENCIAS!R789</f>
        <v/>
      </c>
      <c r="L789" s="45">
        <f>IF(D789="",0,
 IF(E789=1,
   IF(H789="Presencial",
      VLOOKUP(D789,TARIFAS!A:K,3,FALSE) + IF(I789="Sí",VLOOKUP(D789,TARIFAS!A:K,5,FALSE),0),
      VLOOKUP(D789,TARIFAS!A:K,4,FALSE) + IF(I789="Sí",VLOOKUP(D789,TARIFAS!A:K,5,FALSE),0)
   ),
   IF(H789="Presencial",
      VLOOKUP(D789,TARIFAS!A:K,9,FALSE) + IF(I789="Sí",VLOOKUP(D789,TARIFAS!A:K,11,FALSE),0),
      VLOOKUP(D789,TARIFAS!A:K,10,FALSE) + IF(I789="Sí",VLOOKUP(D789,TARIFAS!A:K,11,FALSE),0)
   )
 )
)
</f>
        <v>0</v>
      </c>
      <c r="M789" s="45">
        <f>IF(J789="",0,MAX(0,J789 - TARIFAS!G$2) * TARIFAS!F$2)
</f>
        <v>0</v>
      </c>
      <c r="N789" s="45">
        <f>+L789*TARIFAS!$K$2</f>
        <v>0</v>
      </c>
      <c r="O789" s="45">
        <f t="shared" si="1"/>
        <v>0</v>
      </c>
      <c r="P789" s="45">
        <f>+M789+O789+K789+(+I789-(I789*TARIFAS!$K$2))</f>
        <v>0</v>
      </c>
      <c r="Q789" s="42" t="str">
        <f>CONFERENCIAS!T789</f>
        <v/>
      </c>
      <c r="R789" s="45" t="str">
        <f>CONFERENCIAS!U789</f>
        <v/>
      </c>
      <c r="S789" s="45" t="str">
        <f>CONFERENCIAS!W789</f>
        <v/>
      </c>
      <c r="T789" s="48">
        <f>IF(Q789="",0,
   IF(E789=1,
      IF(H789="Presencial",
         VLOOKUP(D789,TARIFAS!A:K,3,FALSE) + IF(I789="Sí",VLOOKUP(D789,TARIFAS!A:K,5,FALSE),0),
         VLOOKUP(D789,TARIFAS!A:K,4,FALSE) + IF(I789="Sí",VLOOKUP(D789,TARIFAS!A:K,5,FALSE),0)
      ),
      IF(H789="Presencial",
         VLOOKUP(D789,TARIFAS!A:K,9,FALSE) + IF(I789="Sí",VLOOKUP(D789,TARIFAS!A:K,11,FALSE),0),
         VLOOKUP(D789,TARIFAS!A:K,10,FALSE) + IF(I789="Sí",VLOOKUP(D789,TARIFAS!A:K,11,FALSE),0)
      )
   )
)
</f>
        <v>0</v>
      </c>
      <c r="U789" s="45">
        <f>IF(R789="",0,MAX(0,R789 - TARIFAS!G$2) * TARIFAS!F$2)
</f>
        <v>0</v>
      </c>
      <c r="V789" s="45">
        <f>+T789*TARIFAS!$K$2</f>
        <v>0</v>
      </c>
      <c r="W789" s="45">
        <f t="shared" si="2"/>
        <v>0</v>
      </c>
      <c r="X789" s="45">
        <f t="shared" si="3"/>
        <v>0</v>
      </c>
      <c r="Y789" s="45">
        <f t="shared" si="4"/>
        <v>0</v>
      </c>
      <c r="Z789" s="42" t="str">
        <f>CONFERENCIAS!AB789</f>
        <v/>
      </c>
      <c r="AA789" s="42" t="str">
        <f>CONFERENCIAS!AC789</f>
        <v/>
      </c>
      <c r="AB789" s="47" t="str">
        <f t="shared" si="5"/>
        <v/>
      </c>
      <c r="AC789" s="9" t="str">
        <f t="shared" si="6"/>
        <v/>
      </c>
    </row>
    <row r="790">
      <c r="A790" s="42" t="str">
        <f>CONFERENCIAS!A790</f>
        <v/>
      </c>
      <c r="D790" s="42" t="str">
        <f>CONFERENCIAS!C790</f>
        <v/>
      </c>
      <c r="E790" s="42" t="str">
        <f>CONFERENCIAS!K790</f>
        <v/>
      </c>
      <c r="F790" s="49" t="str">
        <f>CONFERENCIAS!J790</f>
        <v/>
      </c>
      <c r="G790" s="42" t="str">
        <f>CONFERENCIAS!O790</f>
        <v/>
      </c>
      <c r="H790" s="42" t="str">
        <f>CONFERENCIAS!X790</f>
        <v/>
      </c>
      <c r="I790" s="42" t="str">
        <f>CONFERENCIAS!AA790</f>
        <v/>
      </c>
      <c r="J790" s="44" t="str">
        <f>CONFERENCIAS!P790</f>
        <v/>
      </c>
      <c r="K790" s="45" t="str">
        <f>CONFERENCIAS!R790</f>
        <v/>
      </c>
      <c r="L790" s="45">
        <f>IF(D790="",0,
 IF(E790=1,
   IF(H790="Presencial",
      VLOOKUP(D790,TARIFAS!A:K,3,FALSE) + IF(I790="Sí",VLOOKUP(D790,TARIFAS!A:K,5,FALSE),0),
      VLOOKUP(D790,TARIFAS!A:K,4,FALSE) + IF(I790="Sí",VLOOKUP(D790,TARIFAS!A:K,5,FALSE),0)
   ),
   IF(H790="Presencial",
      VLOOKUP(D790,TARIFAS!A:K,9,FALSE) + IF(I790="Sí",VLOOKUP(D790,TARIFAS!A:K,11,FALSE),0),
      VLOOKUP(D790,TARIFAS!A:K,10,FALSE) + IF(I790="Sí",VLOOKUP(D790,TARIFAS!A:K,11,FALSE),0)
   )
 )
)
</f>
        <v>0</v>
      </c>
      <c r="M790" s="45">
        <f>IF(J790="",0,MAX(0,J790 - TARIFAS!G$2) * TARIFAS!F$2)
</f>
        <v>0</v>
      </c>
      <c r="N790" s="45">
        <f>+L790*TARIFAS!$K$2</f>
        <v>0</v>
      </c>
      <c r="O790" s="45">
        <f t="shared" si="1"/>
        <v>0</v>
      </c>
      <c r="P790" s="45">
        <f>+M790+O790+K790+(+I790-(I790*TARIFAS!$K$2))</f>
        <v>0</v>
      </c>
      <c r="Q790" s="42" t="str">
        <f>CONFERENCIAS!T790</f>
        <v/>
      </c>
      <c r="R790" s="45" t="str">
        <f>CONFERENCIAS!U790</f>
        <v/>
      </c>
      <c r="S790" s="45" t="str">
        <f>CONFERENCIAS!W790</f>
        <v/>
      </c>
      <c r="T790" s="48">
        <f>IF(Q790="",0,
   IF(E790=1,
      IF(H790="Presencial",
         VLOOKUP(D790,TARIFAS!A:K,3,FALSE) + IF(I790="Sí",VLOOKUP(D790,TARIFAS!A:K,5,FALSE),0),
         VLOOKUP(D790,TARIFAS!A:K,4,FALSE) + IF(I790="Sí",VLOOKUP(D790,TARIFAS!A:K,5,FALSE),0)
      ),
      IF(H790="Presencial",
         VLOOKUP(D790,TARIFAS!A:K,9,FALSE) + IF(I790="Sí",VLOOKUP(D790,TARIFAS!A:K,11,FALSE),0),
         VLOOKUP(D790,TARIFAS!A:K,10,FALSE) + IF(I790="Sí",VLOOKUP(D790,TARIFAS!A:K,11,FALSE),0)
      )
   )
)
</f>
        <v>0</v>
      </c>
      <c r="U790" s="45">
        <f>IF(R790="",0,MAX(0,R790 - TARIFAS!G$2) * TARIFAS!F$2)
</f>
        <v>0</v>
      </c>
      <c r="V790" s="45">
        <f>+T790*TARIFAS!$K$2</f>
        <v>0</v>
      </c>
      <c r="W790" s="45">
        <f t="shared" si="2"/>
        <v>0</v>
      </c>
      <c r="X790" s="45">
        <f t="shared" si="3"/>
        <v>0</v>
      </c>
      <c r="Y790" s="45">
        <f t="shared" si="4"/>
        <v>0</v>
      </c>
      <c r="Z790" s="42" t="str">
        <f>CONFERENCIAS!AB790</f>
        <v/>
      </c>
      <c r="AA790" s="42" t="str">
        <f>CONFERENCIAS!AC790</f>
        <v/>
      </c>
      <c r="AB790" s="47" t="str">
        <f t="shared" si="5"/>
        <v/>
      </c>
      <c r="AC790" s="9" t="str">
        <f t="shared" si="6"/>
        <v/>
      </c>
    </row>
    <row r="791">
      <c r="A791" s="42" t="str">
        <f>CONFERENCIAS!A791</f>
        <v/>
      </c>
      <c r="D791" s="42" t="str">
        <f>CONFERENCIAS!C791</f>
        <v/>
      </c>
      <c r="E791" s="42" t="str">
        <f>CONFERENCIAS!K791</f>
        <v/>
      </c>
      <c r="F791" s="49" t="str">
        <f>CONFERENCIAS!J791</f>
        <v/>
      </c>
      <c r="G791" s="42" t="str">
        <f>CONFERENCIAS!O791</f>
        <v/>
      </c>
      <c r="H791" s="42" t="str">
        <f>CONFERENCIAS!X791</f>
        <v/>
      </c>
      <c r="I791" s="42" t="str">
        <f>CONFERENCIAS!AA791</f>
        <v/>
      </c>
      <c r="J791" s="44" t="str">
        <f>CONFERENCIAS!P791</f>
        <v/>
      </c>
      <c r="K791" s="45" t="str">
        <f>CONFERENCIAS!R791</f>
        <v/>
      </c>
      <c r="L791" s="45">
        <f>IF(D791="",0,
 IF(E791=1,
   IF(H791="Presencial",
      VLOOKUP(D791,TARIFAS!A:K,3,FALSE) + IF(I791="Sí",VLOOKUP(D791,TARIFAS!A:K,5,FALSE),0),
      VLOOKUP(D791,TARIFAS!A:K,4,FALSE) + IF(I791="Sí",VLOOKUP(D791,TARIFAS!A:K,5,FALSE),0)
   ),
   IF(H791="Presencial",
      VLOOKUP(D791,TARIFAS!A:K,9,FALSE) + IF(I791="Sí",VLOOKUP(D791,TARIFAS!A:K,11,FALSE),0),
      VLOOKUP(D791,TARIFAS!A:K,10,FALSE) + IF(I791="Sí",VLOOKUP(D791,TARIFAS!A:K,11,FALSE),0)
   )
 )
)
</f>
        <v>0</v>
      </c>
      <c r="M791" s="45">
        <f>IF(J791="",0,MAX(0,J791 - TARIFAS!G$2) * TARIFAS!F$2)
</f>
        <v>0</v>
      </c>
      <c r="N791" s="45">
        <f>+L791*TARIFAS!$K$2</f>
        <v>0</v>
      </c>
      <c r="O791" s="45">
        <f t="shared" si="1"/>
        <v>0</v>
      </c>
      <c r="P791" s="45">
        <f>+M791+O791+K791+(+I791-(I791*TARIFAS!$K$2))</f>
        <v>0</v>
      </c>
      <c r="Q791" s="42" t="str">
        <f>CONFERENCIAS!T791</f>
        <v/>
      </c>
      <c r="R791" s="45" t="str">
        <f>CONFERENCIAS!U791</f>
        <v/>
      </c>
      <c r="S791" s="45" t="str">
        <f>CONFERENCIAS!W791</f>
        <v/>
      </c>
      <c r="T791" s="48">
        <f>IF(Q791="",0,
   IF(E791=1,
      IF(H791="Presencial",
         VLOOKUP(D791,TARIFAS!A:K,3,FALSE) + IF(I791="Sí",VLOOKUP(D791,TARIFAS!A:K,5,FALSE),0),
         VLOOKUP(D791,TARIFAS!A:K,4,FALSE) + IF(I791="Sí",VLOOKUP(D791,TARIFAS!A:K,5,FALSE),0)
      ),
      IF(H791="Presencial",
         VLOOKUP(D791,TARIFAS!A:K,9,FALSE) + IF(I791="Sí",VLOOKUP(D791,TARIFAS!A:K,11,FALSE),0),
         VLOOKUP(D791,TARIFAS!A:K,10,FALSE) + IF(I791="Sí",VLOOKUP(D791,TARIFAS!A:K,11,FALSE),0)
      )
   )
)
</f>
        <v>0</v>
      </c>
      <c r="U791" s="45">
        <f>IF(R791="",0,MAX(0,R791 - TARIFAS!G$2) * TARIFAS!F$2)
</f>
        <v>0</v>
      </c>
      <c r="V791" s="45">
        <f>+T791*TARIFAS!$K$2</f>
        <v>0</v>
      </c>
      <c r="W791" s="45">
        <f t="shared" si="2"/>
        <v>0</v>
      </c>
      <c r="X791" s="45">
        <f t="shared" si="3"/>
        <v>0</v>
      </c>
      <c r="Y791" s="45">
        <f t="shared" si="4"/>
        <v>0</v>
      </c>
      <c r="Z791" s="42" t="str">
        <f>CONFERENCIAS!AB791</f>
        <v/>
      </c>
      <c r="AA791" s="42" t="str">
        <f>CONFERENCIAS!AC791</f>
        <v/>
      </c>
      <c r="AB791" s="47" t="str">
        <f t="shared" si="5"/>
        <v/>
      </c>
      <c r="AC791" s="9" t="str">
        <f t="shared" si="6"/>
        <v/>
      </c>
    </row>
    <row r="792">
      <c r="A792" s="42" t="str">
        <f>CONFERENCIAS!A792</f>
        <v/>
      </c>
      <c r="D792" s="42" t="str">
        <f>CONFERENCIAS!C792</f>
        <v/>
      </c>
      <c r="E792" s="42" t="str">
        <f>CONFERENCIAS!K792</f>
        <v/>
      </c>
      <c r="F792" s="49" t="str">
        <f>CONFERENCIAS!J792</f>
        <v/>
      </c>
      <c r="G792" s="42" t="str">
        <f>CONFERENCIAS!O792</f>
        <v/>
      </c>
      <c r="H792" s="42" t="str">
        <f>CONFERENCIAS!X792</f>
        <v/>
      </c>
      <c r="I792" s="42" t="str">
        <f>CONFERENCIAS!AA792</f>
        <v/>
      </c>
      <c r="J792" s="44" t="str">
        <f>CONFERENCIAS!P792</f>
        <v/>
      </c>
      <c r="K792" s="45" t="str">
        <f>CONFERENCIAS!R792</f>
        <v/>
      </c>
      <c r="L792" s="45">
        <f>IF(D792="",0,
 IF(E792=1,
   IF(H792="Presencial",
      VLOOKUP(D792,TARIFAS!A:K,3,FALSE) + IF(I792="Sí",VLOOKUP(D792,TARIFAS!A:K,5,FALSE),0),
      VLOOKUP(D792,TARIFAS!A:K,4,FALSE) + IF(I792="Sí",VLOOKUP(D792,TARIFAS!A:K,5,FALSE),0)
   ),
   IF(H792="Presencial",
      VLOOKUP(D792,TARIFAS!A:K,9,FALSE) + IF(I792="Sí",VLOOKUP(D792,TARIFAS!A:K,11,FALSE),0),
      VLOOKUP(D792,TARIFAS!A:K,10,FALSE) + IF(I792="Sí",VLOOKUP(D792,TARIFAS!A:K,11,FALSE),0)
   )
 )
)
</f>
        <v>0</v>
      </c>
      <c r="M792" s="45">
        <f>IF(J792="",0,MAX(0,J792 - TARIFAS!G$2) * TARIFAS!F$2)
</f>
        <v>0</v>
      </c>
      <c r="N792" s="45">
        <f>+L792*TARIFAS!$K$2</f>
        <v>0</v>
      </c>
      <c r="O792" s="45">
        <f t="shared" si="1"/>
        <v>0</v>
      </c>
      <c r="P792" s="45">
        <f>+M792+O792+K792+(+I792-(I792*TARIFAS!$K$2))</f>
        <v>0</v>
      </c>
      <c r="Q792" s="42" t="str">
        <f>CONFERENCIAS!T792</f>
        <v/>
      </c>
      <c r="R792" s="45" t="str">
        <f>CONFERENCIAS!U792</f>
        <v/>
      </c>
      <c r="S792" s="45" t="str">
        <f>CONFERENCIAS!W792</f>
        <v/>
      </c>
      <c r="T792" s="48">
        <f>IF(Q792="",0,
   IF(E792=1,
      IF(H792="Presencial",
         VLOOKUP(D792,TARIFAS!A:K,3,FALSE) + IF(I792="Sí",VLOOKUP(D792,TARIFAS!A:K,5,FALSE),0),
         VLOOKUP(D792,TARIFAS!A:K,4,FALSE) + IF(I792="Sí",VLOOKUP(D792,TARIFAS!A:K,5,FALSE),0)
      ),
      IF(H792="Presencial",
         VLOOKUP(D792,TARIFAS!A:K,9,FALSE) + IF(I792="Sí",VLOOKUP(D792,TARIFAS!A:K,11,FALSE),0),
         VLOOKUP(D792,TARIFAS!A:K,10,FALSE) + IF(I792="Sí",VLOOKUP(D792,TARIFAS!A:K,11,FALSE),0)
      )
   )
)
</f>
        <v>0</v>
      </c>
      <c r="U792" s="45">
        <f>IF(R792="",0,MAX(0,R792 - TARIFAS!G$2) * TARIFAS!F$2)
</f>
        <v>0</v>
      </c>
      <c r="V792" s="45">
        <f>+T792*TARIFAS!$K$2</f>
        <v>0</v>
      </c>
      <c r="W792" s="45">
        <f t="shared" si="2"/>
        <v>0</v>
      </c>
      <c r="X792" s="45">
        <f t="shared" si="3"/>
        <v>0</v>
      </c>
      <c r="Y792" s="45">
        <f t="shared" si="4"/>
        <v>0</v>
      </c>
      <c r="Z792" s="42" t="str">
        <f>CONFERENCIAS!AB792</f>
        <v/>
      </c>
      <c r="AA792" s="42" t="str">
        <f>CONFERENCIAS!AC792</f>
        <v/>
      </c>
      <c r="AB792" s="47" t="str">
        <f t="shared" si="5"/>
        <v/>
      </c>
      <c r="AC792" s="9" t="str">
        <f t="shared" si="6"/>
        <v/>
      </c>
    </row>
    <row r="793">
      <c r="A793" s="42" t="str">
        <f>CONFERENCIAS!A793</f>
        <v/>
      </c>
      <c r="D793" s="42" t="str">
        <f>CONFERENCIAS!C793</f>
        <v/>
      </c>
      <c r="E793" s="42" t="str">
        <f>CONFERENCIAS!K793</f>
        <v/>
      </c>
      <c r="F793" s="49" t="str">
        <f>CONFERENCIAS!J793</f>
        <v/>
      </c>
      <c r="G793" s="42" t="str">
        <f>CONFERENCIAS!O793</f>
        <v/>
      </c>
      <c r="H793" s="42" t="str">
        <f>CONFERENCIAS!X793</f>
        <v/>
      </c>
      <c r="I793" s="42" t="str">
        <f>CONFERENCIAS!AA793</f>
        <v/>
      </c>
      <c r="J793" s="44" t="str">
        <f>CONFERENCIAS!P793</f>
        <v/>
      </c>
      <c r="K793" s="45" t="str">
        <f>CONFERENCIAS!R793</f>
        <v/>
      </c>
      <c r="L793" s="45">
        <f>IF(D793="",0,
 IF(E793=1,
   IF(H793="Presencial",
      VLOOKUP(D793,TARIFAS!A:K,3,FALSE) + IF(I793="Sí",VLOOKUP(D793,TARIFAS!A:K,5,FALSE),0),
      VLOOKUP(D793,TARIFAS!A:K,4,FALSE) + IF(I793="Sí",VLOOKUP(D793,TARIFAS!A:K,5,FALSE),0)
   ),
   IF(H793="Presencial",
      VLOOKUP(D793,TARIFAS!A:K,9,FALSE) + IF(I793="Sí",VLOOKUP(D793,TARIFAS!A:K,11,FALSE),0),
      VLOOKUP(D793,TARIFAS!A:K,10,FALSE) + IF(I793="Sí",VLOOKUP(D793,TARIFAS!A:K,11,FALSE),0)
   )
 )
)
</f>
        <v>0</v>
      </c>
      <c r="M793" s="45">
        <f>IF(J793="",0,MAX(0,J793 - TARIFAS!G$2) * TARIFAS!F$2)
</f>
        <v>0</v>
      </c>
      <c r="N793" s="45">
        <f>+L793*TARIFAS!$K$2</f>
        <v>0</v>
      </c>
      <c r="O793" s="45">
        <f t="shared" si="1"/>
        <v>0</v>
      </c>
      <c r="P793" s="45">
        <f>+M793+O793+K793+(+I793-(I793*TARIFAS!$K$2))</f>
        <v>0</v>
      </c>
      <c r="Q793" s="42" t="str">
        <f>CONFERENCIAS!T793</f>
        <v/>
      </c>
      <c r="R793" s="45" t="str">
        <f>CONFERENCIAS!U793</f>
        <v/>
      </c>
      <c r="S793" s="45" t="str">
        <f>CONFERENCIAS!W793</f>
        <v/>
      </c>
      <c r="T793" s="48">
        <f>IF(Q793="",0,
   IF(E793=1,
      IF(H793="Presencial",
         VLOOKUP(D793,TARIFAS!A:K,3,FALSE) + IF(I793="Sí",VLOOKUP(D793,TARIFAS!A:K,5,FALSE),0),
         VLOOKUP(D793,TARIFAS!A:K,4,FALSE) + IF(I793="Sí",VLOOKUP(D793,TARIFAS!A:K,5,FALSE),0)
      ),
      IF(H793="Presencial",
         VLOOKUP(D793,TARIFAS!A:K,9,FALSE) + IF(I793="Sí",VLOOKUP(D793,TARIFAS!A:K,11,FALSE),0),
         VLOOKUP(D793,TARIFAS!A:K,10,FALSE) + IF(I793="Sí",VLOOKUP(D793,TARIFAS!A:K,11,FALSE),0)
      )
   )
)
</f>
        <v>0</v>
      </c>
      <c r="U793" s="45">
        <f>IF(R793="",0,MAX(0,R793 - TARIFAS!G$2) * TARIFAS!F$2)
</f>
        <v>0</v>
      </c>
      <c r="V793" s="45">
        <f>+T793*TARIFAS!$K$2</f>
        <v>0</v>
      </c>
      <c r="W793" s="45">
        <f t="shared" si="2"/>
        <v>0</v>
      </c>
      <c r="X793" s="45">
        <f t="shared" si="3"/>
        <v>0</v>
      </c>
      <c r="Y793" s="45">
        <f t="shared" si="4"/>
        <v>0</v>
      </c>
      <c r="Z793" s="42" t="str">
        <f>CONFERENCIAS!AB793</f>
        <v/>
      </c>
      <c r="AA793" s="42" t="str">
        <f>CONFERENCIAS!AC793</f>
        <v/>
      </c>
      <c r="AB793" s="47" t="str">
        <f t="shared" si="5"/>
        <v/>
      </c>
      <c r="AC793" s="9" t="str">
        <f t="shared" si="6"/>
        <v/>
      </c>
    </row>
    <row r="794">
      <c r="A794" s="42" t="str">
        <f>CONFERENCIAS!A794</f>
        <v/>
      </c>
      <c r="D794" s="42" t="str">
        <f>CONFERENCIAS!C794</f>
        <v/>
      </c>
      <c r="E794" s="42" t="str">
        <f>CONFERENCIAS!K794</f>
        <v/>
      </c>
      <c r="F794" s="49" t="str">
        <f>CONFERENCIAS!J794</f>
        <v/>
      </c>
      <c r="G794" s="42" t="str">
        <f>CONFERENCIAS!O794</f>
        <v/>
      </c>
      <c r="H794" s="42" t="str">
        <f>CONFERENCIAS!X794</f>
        <v/>
      </c>
      <c r="I794" s="42" t="str">
        <f>CONFERENCIAS!AA794</f>
        <v/>
      </c>
      <c r="J794" s="44" t="str">
        <f>CONFERENCIAS!P794</f>
        <v/>
      </c>
      <c r="K794" s="45" t="str">
        <f>CONFERENCIAS!R794</f>
        <v/>
      </c>
      <c r="L794" s="45">
        <f>IF(D794="",0,
 IF(E794=1,
   IF(H794="Presencial",
      VLOOKUP(D794,TARIFAS!A:K,3,FALSE) + IF(I794="Sí",VLOOKUP(D794,TARIFAS!A:K,5,FALSE),0),
      VLOOKUP(D794,TARIFAS!A:K,4,FALSE) + IF(I794="Sí",VLOOKUP(D794,TARIFAS!A:K,5,FALSE),0)
   ),
   IF(H794="Presencial",
      VLOOKUP(D794,TARIFAS!A:K,9,FALSE) + IF(I794="Sí",VLOOKUP(D794,TARIFAS!A:K,11,FALSE),0),
      VLOOKUP(D794,TARIFAS!A:K,10,FALSE) + IF(I794="Sí",VLOOKUP(D794,TARIFAS!A:K,11,FALSE),0)
   )
 )
)
</f>
        <v>0</v>
      </c>
      <c r="M794" s="45">
        <f>IF(J794="",0,MAX(0,J794 - TARIFAS!G$2) * TARIFAS!F$2)
</f>
        <v>0</v>
      </c>
      <c r="N794" s="45">
        <f>+L794*TARIFAS!$K$2</f>
        <v>0</v>
      </c>
      <c r="O794" s="45">
        <f t="shared" si="1"/>
        <v>0</v>
      </c>
      <c r="P794" s="45">
        <f>+M794+O794+K794+(+I794-(I794*TARIFAS!$K$2))</f>
        <v>0</v>
      </c>
      <c r="Q794" s="42" t="str">
        <f>CONFERENCIAS!T794</f>
        <v/>
      </c>
      <c r="R794" s="45" t="str">
        <f>CONFERENCIAS!U794</f>
        <v/>
      </c>
      <c r="S794" s="45" t="str">
        <f>CONFERENCIAS!W794</f>
        <v/>
      </c>
      <c r="T794" s="48">
        <f>IF(Q794="",0,
   IF(E794=1,
      IF(H794="Presencial",
         VLOOKUP(D794,TARIFAS!A:K,3,FALSE) + IF(I794="Sí",VLOOKUP(D794,TARIFAS!A:K,5,FALSE),0),
         VLOOKUP(D794,TARIFAS!A:K,4,FALSE) + IF(I794="Sí",VLOOKUP(D794,TARIFAS!A:K,5,FALSE),0)
      ),
      IF(H794="Presencial",
         VLOOKUP(D794,TARIFAS!A:K,9,FALSE) + IF(I794="Sí",VLOOKUP(D794,TARIFAS!A:K,11,FALSE),0),
         VLOOKUP(D794,TARIFAS!A:K,10,FALSE) + IF(I794="Sí",VLOOKUP(D794,TARIFAS!A:K,11,FALSE),0)
      )
   )
)
</f>
        <v>0</v>
      </c>
      <c r="U794" s="45">
        <f>IF(R794="",0,MAX(0,R794 - TARIFAS!G$2) * TARIFAS!F$2)
</f>
        <v>0</v>
      </c>
      <c r="V794" s="45">
        <f>+T794*TARIFAS!$K$2</f>
        <v>0</v>
      </c>
      <c r="W794" s="45">
        <f t="shared" si="2"/>
        <v>0</v>
      </c>
      <c r="X794" s="45">
        <f t="shared" si="3"/>
        <v>0</v>
      </c>
      <c r="Y794" s="45">
        <f t="shared" si="4"/>
        <v>0</v>
      </c>
      <c r="Z794" s="42" t="str">
        <f>CONFERENCIAS!AB794</f>
        <v/>
      </c>
      <c r="AA794" s="42" t="str">
        <f>CONFERENCIAS!AC794</f>
        <v/>
      </c>
      <c r="AB794" s="47" t="str">
        <f t="shared" si="5"/>
        <v/>
      </c>
      <c r="AC794" s="9" t="str">
        <f t="shared" si="6"/>
        <v/>
      </c>
    </row>
    <row r="795">
      <c r="A795" s="42" t="str">
        <f>CONFERENCIAS!A795</f>
        <v/>
      </c>
      <c r="D795" s="42" t="str">
        <f>CONFERENCIAS!C795</f>
        <v/>
      </c>
      <c r="E795" s="42" t="str">
        <f>CONFERENCIAS!K795</f>
        <v/>
      </c>
      <c r="F795" s="49" t="str">
        <f>CONFERENCIAS!J795</f>
        <v/>
      </c>
      <c r="G795" s="42" t="str">
        <f>CONFERENCIAS!O795</f>
        <v/>
      </c>
      <c r="H795" s="42" t="str">
        <f>CONFERENCIAS!X795</f>
        <v/>
      </c>
      <c r="I795" s="42" t="str">
        <f>CONFERENCIAS!AA795</f>
        <v/>
      </c>
      <c r="J795" s="44" t="str">
        <f>CONFERENCIAS!P795</f>
        <v/>
      </c>
      <c r="K795" s="45" t="str">
        <f>CONFERENCIAS!R795</f>
        <v/>
      </c>
      <c r="L795" s="45">
        <f>IF(D795="",0,
 IF(E795=1,
   IF(H795="Presencial",
      VLOOKUP(D795,TARIFAS!A:K,3,FALSE) + IF(I795="Sí",VLOOKUP(D795,TARIFAS!A:K,5,FALSE),0),
      VLOOKUP(D795,TARIFAS!A:K,4,FALSE) + IF(I795="Sí",VLOOKUP(D795,TARIFAS!A:K,5,FALSE),0)
   ),
   IF(H795="Presencial",
      VLOOKUP(D795,TARIFAS!A:K,9,FALSE) + IF(I795="Sí",VLOOKUP(D795,TARIFAS!A:K,11,FALSE),0),
      VLOOKUP(D795,TARIFAS!A:K,10,FALSE) + IF(I795="Sí",VLOOKUP(D795,TARIFAS!A:K,11,FALSE),0)
   )
 )
)
</f>
        <v>0</v>
      </c>
      <c r="M795" s="45">
        <f>IF(J795="",0,MAX(0,J795 - TARIFAS!G$2) * TARIFAS!F$2)
</f>
        <v>0</v>
      </c>
      <c r="N795" s="45">
        <f>+L795*TARIFAS!$K$2</f>
        <v>0</v>
      </c>
      <c r="O795" s="45">
        <f t="shared" si="1"/>
        <v>0</v>
      </c>
      <c r="P795" s="45">
        <f>+M795+O795+K795+(+I795-(I795*TARIFAS!$K$2))</f>
        <v>0</v>
      </c>
      <c r="Q795" s="42" t="str">
        <f>CONFERENCIAS!T795</f>
        <v/>
      </c>
      <c r="R795" s="45" t="str">
        <f>CONFERENCIAS!U795</f>
        <v/>
      </c>
      <c r="S795" s="45" t="str">
        <f>CONFERENCIAS!W795</f>
        <v/>
      </c>
      <c r="T795" s="48">
        <f>IF(Q795="",0,
   IF(E795=1,
      IF(H795="Presencial",
         VLOOKUP(D795,TARIFAS!A:K,3,FALSE) + IF(I795="Sí",VLOOKUP(D795,TARIFAS!A:K,5,FALSE),0),
         VLOOKUP(D795,TARIFAS!A:K,4,FALSE) + IF(I795="Sí",VLOOKUP(D795,TARIFAS!A:K,5,FALSE),0)
      ),
      IF(H795="Presencial",
         VLOOKUP(D795,TARIFAS!A:K,9,FALSE) + IF(I795="Sí",VLOOKUP(D795,TARIFAS!A:K,11,FALSE),0),
         VLOOKUP(D795,TARIFAS!A:K,10,FALSE) + IF(I795="Sí",VLOOKUP(D795,TARIFAS!A:K,11,FALSE),0)
      )
   )
)
</f>
        <v>0</v>
      </c>
      <c r="U795" s="45">
        <f>IF(R795="",0,MAX(0,R795 - TARIFAS!G$2) * TARIFAS!F$2)
</f>
        <v>0</v>
      </c>
      <c r="V795" s="45">
        <f>+T795*TARIFAS!$K$2</f>
        <v>0</v>
      </c>
      <c r="W795" s="45">
        <f t="shared" si="2"/>
        <v>0</v>
      </c>
      <c r="X795" s="45">
        <f t="shared" si="3"/>
        <v>0</v>
      </c>
      <c r="Y795" s="45">
        <f t="shared" si="4"/>
        <v>0</v>
      </c>
      <c r="Z795" s="42" t="str">
        <f>CONFERENCIAS!AB795</f>
        <v/>
      </c>
      <c r="AA795" s="42" t="str">
        <f>CONFERENCIAS!AC795</f>
        <v/>
      </c>
      <c r="AB795" s="47" t="str">
        <f t="shared" si="5"/>
        <v/>
      </c>
      <c r="AC795" s="9" t="str">
        <f t="shared" si="6"/>
        <v/>
      </c>
    </row>
    <row r="796">
      <c r="A796" s="42" t="str">
        <f>CONFERENCIAS!A796</f>
        <v/>
      </c>
      <c r="D796" s="42" t="str">
        <f>CONFERENCIAS!C796</f>
        <v/>
      </c>
      <c r="E796" s="42" t="str">
        <f>CONFERENCIAS!K796</f>
        <v/>
      </c>
      <c r="F796" s="49" t="str">
        <f>CONFERENCIAS!J796</f>
        <v/>
      </c>
      <c r="G796" s="42" t="str">
        <f>CONFERENCIAS!O796</f>
        <v/>
      </c>
      <c r="H796" s="42" t="str">
        <f>CONFERENCIAS!X796</f>
        <v/>
      </c>
      <c r="I796" s="42" t="str">
        <f>CONFERENCIAS!AA796</f>
        <v/>
      </c>
      <c r="J796" s="44" t="str">
        <f>CONFERENCIAS!P796</f>
        <v/>
      </c>
      <c r="K796" s="45" t="str">
        <f>CONFERENCIAS!R796</f>
        <v/>
      </c>
      <c r="L796" s="45">
        <f>IF(D796="",0,
 IF(E796=1,
   IF(H796="Presencial",
      VLOOKUP(D796,TARIFAS!A:K,3,FALSE) + IF(I796="Sí",VLOOKUP(D796,TARIFAS!A:K,5,FALSE),0),
      VLOOKUP(D796,TARIFAS!A:K,4,FALSE) + IF(I796="Sí",VLOOKUP(D796,TARIFAS!A:K,5,FALSE),0)
   ),
   IF(H796="Presencial",
      VLOOKUP(D796,TARIFAS!A:K,9,FALSE) + IF(I796="Sí",VLOOKUP(D796,TARIFAS!A:K,11,FALSE),0),
      VLOOKUP(D796,TARIFAS!A:K,10,FALSE) + IF(I796="Sí",VLOOKUP(D796,TARIFAS!A:K,11,FALSE),0)
   )
 )
)
</f>
        <v>0</v>
      </c>
      <c r="M796" s="45">
        <f>IF(J796="",0,MAX(0,J796 - TARIFAS!G$2) * TARIFAS!F$2)
</f>
        <v>0</v>
      </c>
      <c r="N796" s="45">
        <f>+L796*TARIFAS!$K$2</f>
        <v>0</v>
      </c>
      <c r="O796" s="45">
        <f t="shared" si="1"/>
        <v>0</v>
      </c>
      <c r="P796" s="45">
        <f>+M796+O796+K796+(+I796-(I796*TARIFAS!$K$2))</f>
        <v>0</v>
      </c>
      <c r="Q796" s="42" t="str">
        <f>CONFERENCIAS!T796</f>
        <v/>
      </c>
      <c r="R796" s="45" t="str">
        <f>CONFERENCIAS!U796</f>
        <v/>
      </c>
      <c r="S796" s="45" t="str">
        <f>CONFERENCIAS!W796</f>
        <v/>
      </c>
      <c r="T796" s="48">
        <f>IF(Q796="",0,
   IF(E796=1,
      IF(H796="Presencial",
         VLOOKUP(D796,TARIFAS!A:K,3,FALSE) + IF(I796="Sí",VLOOKUP(D796,TARIFAS!A:K,5,FALSE),0),
         VLOOKUP(D796,TARIFAS!A:K,4,FALSE) + IF(I796="Sí",VLOOKUP(D796,TARIFAS!A:K,5,FALSE),0)
      ),
      IF(H796="Presencial",
         VLOOKUP(D796,TARIFAS!A:K,9,FALSE) + IF(I796="Sí",VLOOKUP(D796,TARIFAS!A:K,11,FALSE),0),
         VLOOKUP(D796,TARIFAS!A:K,10,FALSE) + IF(I796="Sí",VLOOKUP(D796,TARIFAS!A:K,11,FALSE),0)
      )
   )
)
</f>
        <v>0</v>
      </c>
      <c r="U796" s="45">
        <f>IF(R796="",0,MAX(0,R796 - TARIFAS!G$2) * TARIFAS!F$2)
</f>
        <v>0</v>
      </c>
      <c r="V796" s="45">
        <f>+T796*TARIFAS!$K$2</f>
        <v>0</v>
      </c>
      <c r="W796" s="45">
        <f t="shared" si="2"/>
        <v>0</v>
      </c>
      <c r="X796" s="45">
        <f t="shared" si="3"/>
        <v>0</v>
      </c>
      <c r="Y796" s="45">
        <f t="shared" si="4"/>
        <v>0</v>
      </c>
      <c r="Z796" s="42" t="str">
        <f>CONFERENCIAS!AB796</f>
        <v/>
      </c>
      <c r="AA796" s="42" t="str">
        <f>CONFERENCIAS!AC796</f>
        <v/>
      </c>
      <c r="AB796" s="47" t="str">
        <f t="shared" si="5"/>
        <v/>
      </c>
      <c r="AC796" s="9" t="str">
        <f t="shared" si="6"/>
        <v/>
      </c>
    </row>
    <row r="797">
      <c r="A797" s="42" t="str">
        <f>CONFERENCIAS!A797</f>
        <v/>
      </c>
      <c r="D797" s="42" t="str">
        <f>CONFERENCIAS!C797</f>
        <v/>
      </c>
      <c r="E797" s="42" t="str">
        <f>CONFERENCIAS!K797</f>
        <v/>
      </c>
      <c r="F797" s="49" t="str">
        <f>CONFERENCIAS!J797</f>
        <v/>
      </c>
      <c r="G797" s="42" t="str">
        <f>CONFERENCIAS!O797</f>
        <v/>
      </c>
      <c r="H797" s="42" t="str">
        <f>CONFERENCIAS!X797</f>
        <v/>
      </c>
      <c r="I797" s="42" t="str">
        <f>CONFERENCIAS!AA797</f>
        <v/>
      </c>
      <c r="J797" s="44" t="str">
        <f>CONFERENCIAS!P797</f>
        <v/>
      </c>
      <c r="K797" s="45" t="str">
        <f>CONFERENCIAS!R797</f>
        <v/>
      </c>
      <c r="L797" s="45">
        <f>IF(D797="",0,
 IF(E797=1,
   IF(H797="Presencial",
      VLOOKUP(D797,TARIFAS!A:K,3,FALSE) + IF(I797="Sí",VLOOKUP(D797,TARIFAS!A:K,5,FALSE),0),
      VLOOKUP(D797,TARIFAS!A:K,4,FALSE) + IF(I797="Sí",VLOOKUP(D797,TARIFAS!A:K,5,FALSE),0)
   ),
   IF(H797="Presencial",
      VLOOKUP(D797,TARIFAS!A:K,9,FALSE) + IF(I797="Sí",VLOOKUP(D797,TARIFAS!A:K,11,FALSE),0),
      VLOOKUP(D797,TARIFAS!A:K,10,FALSE) + IF(I797="Sí",VLOOKUP(D797,TARIFAS!A:K,11,FALSE),0)
   )
 )
)
</f>
        <v>0</v>
      </c>
      <c r="M797" s="45">
        <f>IF(J797="",0,MAX(0,J797 - TARIFAS!G$2) * TARIFAS!F$2)
</f>
        <v>0</v>
      </c>
      <c r="N797" s="45">
        <f>+L797*TARIFAS!$K$2</f>
        <v>0</v>
      </c>
      <c r="O797" s="45">
        <f t="shared" si="1"/>
        <v>0</v>
      </c>
      <c r="P797" s="45">
        <f>+M797+O797+K797+(+I797-(I797*TARIFAS!$K$2))</f>
        <v>0</v>
      </c>
      <c r="Q797" s="42" t="str">
        <f>CONFERENCIAS!T797</f>
        <v/>
      </c>
      <c r="R797" s="45" t="str">
        <f>CONFERENCIAS!U797</f>
        <v/>
      </c>
      <c r="S797" s="45" t="str">
        <f>CONFERENCIAS!W797</f>
        <v/>
      </c>
      <c r="T797" s="48">
        <f>IF(Q797="",0,
   IF(E797=1,
      IF(H797="Presencial",
         VLOOKUP(D797,TARIFAS!A:K,3,FALSE) + IF(I797="Sí",VLOOKUP(D797,TARIFAS!A:K,5,FALSE),0),
         VLOOKUP(D797,TARIFAS!A:K,4,FALSE) + IF(I797="Sí",VLOOKUP(D797,TARIFAS!A:K,5,FALSE),0)
      ),
      IF(H797="Presencial",
         VLOOKUP(D797,TARIFAS!A:K,9,FALSE) + IF(I797="Sí",VLOOKUP(D797,TARIFAS!A:K,11,FALSE),0),
         VLOOKUP(D797,TARIFAS!A:K,10,FALSE) + IF(I797="Sí",VLOOKUP(D797,TARIFAS!A:K,11,FALSE),0)
      )
   )
)
</f>
        <v>0</v>
      </c>
      <c r="U797" s="45">
        <f>IF(R797="",0,MAX(0,R797 - TARIFAS!G$2) * TARIFAS!F$2)
</f>
        <v>0</v>
      </c>
      <c r="V797" s="45">
        <f>+T797*TARIFAS!$K$2</f>
        <v>0</v>
      </c>
      <c r="W797" s="45">
        <f t="shared" si="2"/>
        <v>0</v>
      </c>
      <c r="X797" s="45">
        <f t="shared" si="3"/>
        <v>0</v>
      </c>
      <c r="Y797" s="45">
        <f t="shared" si="4"/>
        <v>0</v>
      </c>
      <c r="Z797" s="42" t="str">
        <f>CONFERENCIAS!AB797</f>
        <v/>
      </c>
      <c r="AA797" s="42" t="str">
        <f>CONFERENCIAS!AC797</f>
        <v/>
      </c>
      <c r="AB797" s="47" t="str">
        <f t="shared" si="5"/>
        <v/>
      </c>
      <c r="AC797" s="9" t="str">
        <f t="shared" si="6"/>
        <v/>
      </c>
    </row>
    <row r="798">
      <c r="A798" s="42" t="str">
        <f>CONFERENCIAS!A798</f>
        <v/>
      </c>
      <c r="D798" s="42" t="str">
        <f>CONFERENCIAS!C798</f>
        <v/>
      </c>
      <c r="E798" s="42" t="str">
        <f>CONFERENCIAS!K798</f>
        <v/>
      </c>
      <c r="F798" s="49" t="str">
        <f>CONFERENCIAS!J798</f>
        <v/>
      </c>
      <c r="G798" s="42" t="str">
        <f>CONFERENCIAS!O798</f>
        <v/>
      </c>
      <c r="H798" s="42" t="str">
        <f>CONFERENCIAS!X798</f>
        <v/>
      </c>
      <c r="I798" s="42" t="str">
        <f>CONFERENCIAS!AA798</f>
        <v/>
      </c>
      <c r="J798" s="44" t="str">
        <f>CONFERENCIAS!P798</f>
        <v/>
      </c>
      <c r="K798" s="45" t="str">
        <f>CONFERENCIAS!R798</f>
        <v/>
      </c>
      <c r="L798" s="45">
        <f>IF(D798="",0,
 IF(E798=1,
   IF(H798="Presencial",
      VLOOKUP(D798,TARIFAS!A:K,3,FALSE) + IF(I798="Sí",VLOOKUP(D798,TARIFAS!A:K,5,FALSE),0),
      VLOOKUP(D798,TARIFAS!A:K,4,FALSE) + IF(I798="Sí",VLOOKUP(D798,TARIFAS!A:K,5,FALSE),0)
   ),
   IF(H798="Presencial",
      VLOOKUP(D798,TARIFAS!A:K,9,FALSE) + IF(I798="Sí",VLOOKUP(D798,TARIFAS!A:K,11,FALSE),0),
      VLOOKUP(D798,TARIFAS!A:K,10,FALSE) + IF(I798="Sí",VLOOKUP(D798,TARIFAS!A:K,11,FALSE),0)
   )
 )
)
</f>
        <v>0</v>
      </c>
      <c r="M798" s="45">
        <f>IF(J798="",0,MAX(0,J798 - TARIFAS!G$2) * TARIFAS!F$2)
</f>
        <v>0</v>
      </c>
      <c r="N798" s="45">
        <f>+L798*TARIFAS!$K$2</f>
        <v>0</v>
      </c>
      <c r="O798" s="45">
        <f t="shared" si="1"/>
        <v>0</v>
      </c>
      <c r="P798" s="45">
        <f>+M798+O798+K798+(+I798-(I798*TARIFAS!$K$2))</f>
        <v>0</v>
      </c>
      <c r="Q798" s="42" t="str">
        <f>CONFERENCIAS!T798</f>
        <v/>
      </c>
      <c r="R798" s="45" t="str">
        <f>CONFERENCIAS!U798</f>
        <v/>
      </c>
      <c r="S798" s="45" t="str">
        <f>CONFERENCIAS!W798</f>
        <v/>
      </c>
      <c r="T798" s="48">
        <f>IF(Q798="",0,
   IF(E798=1,
      IF(H798="Presencial",
         VLOOKUP(D798,TARIFAS!A:K,3,FALSE) + IF(I798="Sí",VLOOKUP(D798,TARIFAS!A:K,5,FALSE),0),
         VLOOKUP(D798,TARIFAS!A:K,4,FALSE) + IF(I798="Sí",VLOOKUP(D798,TARIFAS!A:K,5,FALSE),0)
      ),
      IF(H798="Presencial",
         VLOOKUP(D798,TARIFAS!A:K,9,FALSE) + IF(I798="Sí",VLOOKUP(D798,TARIFAS!A:K,11,FALSE),0),
         VLOOKUP(D798,TARIFAS!A:K,10,FALSE) + IF(I798="Sí",VLOOKUP(D798,TARIFAS!A:K,11,FALSE),0)
      )
   )
)
</f>
        <v>0</v>
      </c>
      <c r="U798" s="45">
        <f>IF(R798="",0,MAX(0,R798 - TARIFAS!G$2) * TARIFAS!F$2)
</f>
        <v>0</v>
      </c>
      <c r="V798" s="45">
        <f>+T798*TARIFAS!$K$2</f>
        <v>0</v>
      </c>
      <c r="W798" s="45">
        <f t="shared" si="2"/>
        <v>0</v>
      </c>
      <c r="X798" s="45">
        <f t="shared" si="3"/>
        <v>0</v>
      </c>
      <c r="Y798" s="45">
        <f t="shared" si="4"/>
        <v>0</v>
      </c>
      <c r="Z798" s="42" t="str">
        <f>CONFERENCIAS!AB798</f>
        <v/>
      </c>
      <c r="AA798" s="42" t="str">
        <f>CONFERENCIAS!AC798</f>
        <v/>
      </c>
      <c r="AB798" s="47" t="str">
        <f t="shared" si="5"/>
        <v/>
      </c>
      <c r="AC798" s="9" t="str">
        <f t="shared" si="6"/>
        <v/>
      </c>
    </row>
    <row r="799">
      <c r="A799" s="42" t="str">
        <f>CONFERENCIAS!A799</f>
        <v/>
      </c>
      <c r="D799" s="42" t="str">
        <f>CONFERENCIAS!C799</f>
        <v/>
      </c>
      <c r="E799" s="42" t="str">
        <f>CONFERENCIAS!K799</f>
        <v/>
      </c>
      <c r="F799" s="49" t="str">
        <f>CONFERENCIAS!J799</f>
        <v/>
      </c>
      <c r="G799" s="42" t="str">
        <f>CONFERENCIAS!O799</f>
        <v/>
      </c>
      <c r="H799" s="42" t="str">
        <f>CONFERENCIAS!X799</f>
        <v/>
      </c>
      <c r="I799" s="42" t="str">
        <f>CONFERENCIAS!AA799</f>
        <v/>
      </c>
      <c r="J799" s="44" t="str">
        <f>CONFERENCIAS!P799</f>
        <v/>
      </c>
      <c r="K799" s="45" t="str">
        <f>CONFERENCIAS!R799</f>
        <v/>
      </c>
      <c r="L799" s="45">
        <f>IF(D799="",0,
 IF(E799=1,
   IF(H799="Presencial",
      VLOOKUP(D799,TARIFAS!A:K,3,FALSE) + IF(I799="Sí",VLOOKUP(D799,TARIFAS!A:K,5,FALSE),0),
      VLOOKUP(D799,TARIFAS!A:K,4,FALSE) + IF(I799="Sí",VLOOKUP(D799,TARIFAS!A:K,5,FALSE),0)
   ),
   IF(H799="Presencial",
      VLOOKUP(D799,TARIFAS!A:K,9,FALSE) + IF(I799="Sí",VLOOKUP(D799,TARIFAS!A:K,11,FALSE),0),
      VLOOKUP(D799,TARIFAS!A:K,10,FALSE) + IF(I799="Sí",VLOOKUP(D799,TARIFAS!A:K,11,FALSE),0)
   )
 )
)
</f>
        <v>0</v>
      </c>
      <c r="M799" s="45">
        <f>IF(J799="",0,MAX(0,J799 - TARIFAS!G$2) * TARIFAS!F$2)
</f>
        <v>0</v>
      </c>
      <c r="N799" s="45">
        <f>+L799*TARIFAS!$K$2</f>
        <v>0</v>
      </c>
      <c r="O799" s="45">
        <f t="shared" si="1"/>
        <v>0</v>
      </c>
      <c r="P799" s="45">
        <f>+M799+O799+K799+(+I799-(I799*TARIFAS!$K$2))</f>
        <v>0</v>
      </c>
      <c r="Q799" s="42" t="str">
        <f>CONFERENCIAS!T799</f>
        <v/>
      </c>
      <c r="R799" s="45" t="str">
        <f>CONFERENCIAS!U799</f>
        <v/>
      </c>
      <c r="S799" s="45" t="str">
        <f>CONFERENCIAS!W799</f>
        <v/>
      </c>
      <c r="T799" s="48">
        <f>IF(Q799="",0,
   IF(E799=1,
      IF(H799="Presencial",
         VLOOKUP(D799,TARIFAS!A:K,3,FALSE) + IF(I799="Sí",VLOOKUP(D799,TARIFAS!A:K,5,FALSE),0),
         VLOOKUP(D799,TARIFAS!A:K,4,FALSE) + IF(I799="Sí",VLOOKUP(D799,TARIFAS!A:K,5,FALSE),0)
      ),
      IF(H799="Presencial",
         VLOOKUP(D799,TARIFAS!A:K,9,FALSE) + IF(I799="Sí",VLOOKUP(D799,TARIFAS!A:K,11,FALSE),0),
         VLOOKUP(D799,TARIFAS!A:K,10,FALSE) + IF(I799="Sí",VLOOKUP(D799,TARIFAS!A:K,11,FALSE),0)
      )
   )
)
</f>
        <v>0</v>
      </c>
      <c r="U799" s="45">
        <f>IF(R799="",0,MAX(0,R799 - TARIFAS!G$2) * TARIFAS!F$2)
</f>
        <v>0</v>
      </c>
      <c r="V799" s="45">
        <f>+T799*TARIFAS!$K$2</f>
        <v>0</v>
      </c>
      <c r="W799" s="45">
        <f t="shared" si="2"/>
        <v>0</v>
      </c>
      <c r="X799" s="45">
        <f t="shared" si="3"/>
        <v>0</v>
      </c>
      <c r="Y799" s="45">
        <f t="shared" si="4"/>
        <v>0</v>
      </c>
      <c r="Z799" s="42" t="str">
        <f>CONFERENCIAS!AB799</f>
        <v/>
      </c>
      <c r="AA799" s="42" t="str">
        <f>CONFERENCIAS!AC799</f>
        <v/>
      </c>
      <c r="AB799" s="47" t="str">
        <f t="shared" si="5"/>
        <v/>
      </c>
      <c r="AC799" s="9" t="str">
        <f t="shared" si="6"/>
        <v/>
      </c>
    </row>
    <row r="800">
      <c r="A800" s="42" t="str">
        <f>CONFERENCIAS!A800</f>
        <v/>
      </c>
      <c r="D800" s="42" t="str">
        <f>CONFERENCIAS!C800</f>
        <v/>
      </c>
      <c r="E800" s="42" t="str">
        <f>CONFERENCIAS!K800</f>
        <v/>
      </c>
      <c r="F800" s="49" t="str">
        <f>CONFERENCIAS!J800</f>
        <v/>
      </c>
      <c r="G800" s="42" t="str">
        <f>CONFERENCIAS!O800</f>
        <v/>
      </c>
      <c r="H800" s="42" t="str">
        <f>CONFERENCIAS!X800</f>
        <v/>
      </c>
      <c r="I800" s="42" t="str">
        <f>CONFERENCIAS!AA800</f>
        <v/>
      </c>
      <c r="J800" s="44" t="str">
        <f>CONFERENCIAS!P800</f>
        <v/>
      </c>
      <c r="K800" s="45" t="str">
        <f>CONFERENCIAS!R800</f>
        <v/>
      </c>
      <c r="L800" s="45">
        <f>IF(D800="",0,
 IF(E800=1,
   IF(H800="Presencial",
      VLOOKUP(D800,TARIFAS!A:K,3,FALSE) + IF(I800="Sí",VLOOKUP(D800,TARIFAS!A:K,5,FALSE),0),
      VLOOKUP(D800,TARIFAS!A:K,4,FALSE) + IF(I800="Sí",VLOOKUP(D800,TARIFAS!A:K,5,FALSE),0)
   ),
   IF(H800="Presencial",
      VLOOKUP(D800,TARIFAS!A:K,9,FALSE) + IF(I800="Sí",VLOOKUP(D800,TARIFAS!A:K,11,FALSE),0),
      VLOOKUP(D800,TARIFAS!A:K,10,FALSE) + IF(I800="Sí",VLOOKUP(D800,TARIFAS!A:K,11,FALSE),0)
   )
 )
)
</f>
        <v>0</v>
      </c>
      <c r="M800" s="45">
        <f>IF(J800="",0,MAX(0,J800 - TARIFAS!G$2) * TARIFAS!F$2)
</f>
        <v>0</v>
      </c>
      <c r="N800" s="45">
        <f>+L800*TARIFAS!$K$2</f>
        <v>0</v>
      </c>
      <c r="O800" s="45">
        <f t="shared" si="1"/>
        <v>0</v>
      </c>
      <c r="P800" s="45">
        <f>+M800+O800+K800+(+I800-(I800*TARIFAS!$K$2))</f>
        <v>0</v>
      </c>
      <c r="Q800" s="42" t="str">
        <f>CONFERENCIAS!T800</f>
        <v/>
      </c>
      <c r="R800" s="45" t="str">
        <f>CONFERENCIAS!U800</f>
        <v/>
      </c>
      <c r="S800" s="45" t="str">
        <f>CONFERENCIAS!W800</f>
        <v/>
      </c>
      <c r="T800" s="48">
        <f>IF(Q800="",0,
   IF(E800=1,
      IF(H800="Presencial",
         VLOOKUP(D800,TARIFAS!A:K,3,FALSE) + IF(I800="Sí",VLOOKUP(D800,TARIFAS!A:K,5,FALSE),0),
         VLOOKUP(D800,TARIFAS!A:K,4,FALSE) + IF(I800="Sí",VLOOKUP(D800,TARIFAS!A:K,5,FALSE),0)
      ),
      IF(H800="Presencial",
         VLOOKUP(D800,TARIFAS!A:K,9,FALSE) + IF(I800="Sí",VLOOKUP(D800,TARIFAS!A:K,11,FALSE),0),
         VLOOKUP(D800,TARIFAS!A:K,10,FALSE) + IF(I800="Sí",VLOOKUP(D800,TARIFAS!A:K,11,FALSE),0)
      )
   )
)
</f>
        <v>0</v>
      </c>
      <c r="U800" s="45">
        <f>IF(R800="",0,MAX(0,R800 - TARIFAS!G$2) * TARIFAS!F$2)
</f>
        <v>0</v>
      </c>
      <c r="V800" s="45">
        <f>+T800*TARIFAS!$K$2</f>
        <v>0</v>
      </c>
      <c r="W800" s="45">
        <f t="shared" si="2"/>
        <v>0</v>
      </c>
      <c r="X800" s="45">
        <f t="shared" si="3"/>
        <v>0</v>
      </c>
      <c r="Y800" s="45">
        <f t="shared" si="4"/>
        <v>0</v>
      </c>
      <c r="Z800" s="42" t="str">
        <f>CONFERENCIAS!AB800</f>
        <v/>
      </c>
      <c r="AA800" s="42" t="str">
        <f>CONFERENCIAS!AC800</f>
        <v/>
      </c>
      <c r="AB800" s="47" t="str">
        <f t="shared" si="5"/>
        <v/>
      </c>
      <c r="AC800" s="9" t="str">
        <f t="shared" si="6"/>
        <v/>
      </c>
    </row>
    <row r="801">
      <c r="A801" s="42" t="str">
        <f>CONFERENCIAS!A801</f>
        <v/>
      </c>
      <c r="D801" s="42" t="str">
        <f>CONFERENCIAS!C801</f>
        <v/>
      </c>
      <c r="E801" s="42" t="str">
        <f>CONFERENCIAS!K801</f>
        <v/>
      </c>
      <c r="F801" s="49" t="str">
        <f>CONFERENCIAS!J801</f>
        <v/>
      </c>
      <c r="G801" s="42" t="str">
        <f>CONFERENCIAS!O801</f>
        <v/>
      </c>
      <c r="H801" s="42" t="str">
        <f>CONFERENCIAS!X801</f>
        <v/>
      </c>
      <c r="I801" s="42" t="str">
        <f>CONFERENCIAS!AA801</f>
        <v/>
      </c>
      <c r="J801" s="44" t="str">
        <f>CONFERENCIAS!P801</f>
        <v/>
      </c>
      <c r="K801" s="45" t="str">
        <f>CONFERENCIAS!R801</f>
        <v/>
      </c>
      <c r="L801" s="45">
        <f>IF(D801="",0,
 IF(E801=1,
   IF(H801="Presencial",
      VLOOKUP(D801,TARIFAS!A:K,3,FALSE) + IF(I801="Sí",VLOOKUP(D801,TARIFAS!A:K,5,FALSE),0),
      VLOOKUP(D801,TARIFAS!A:K,4,FALSE) + IF(I801="Sí",VLOOKUP(D801,TARIFAS!A:K,5,FALSE),0)
   ),
   IF(H801="Presencial",
      VLOOKUP(D801,TARIFAS!A:K,9,FALSE) + IF(I801="Sí",VLOOKUP(D801,TARIFAS!A:K,11,FALSE),0),
      VLOOKUP(D801,TARIFAS!A:K,10,FALSE) + IF(I801="Sí",VLOOKUP(D801,TARIFAS!A:K,11,FALSE),0)
   )
 )
)
</f>
        <v>0</v>
      </c>
      <c r="M801" s="45">
        <f>IF(J801="",0,MAX(0,J801 - TARIFAS!G$2) * TARIFAS!F$2)
</f>
        <v>0</v>
      </c>
      <c r="N801" s="45">
        <f>+L801*TARIFAS!$K$2</f>
        <v>0</v>
      </c>
      <c r="O801" s="45">
        <f t="shared" si="1"/>
        <v>0</v>
      </c>
      <c r="P801" s="45">
        <f>+M801+O801+K801+(+I801-(I801*TARIFAS!$K$2))</f>
        <v>0</v>
      </c>
      <c r="Q801" s="42" t="str">
        <f>CONFERENCIAS!T801</f>
        <v/>
      </c>
      <c r="R801" s="45" t="str">
        <f>CONFERENCIAS!U801</f>
        <v/>
      </c>
      <c r="S801" s="45" t="str">
        <f>CONFERENCIAS!W801</f>
        <v/>
      </c>
      <c r="T801" s="48">
        <f>IF(Q801="",0,
   IF(E801=1,
      IF(H801="Presencial",
         VLOOKUP(D801,TARIFAS!A:K,3,FALSE) + IF(I801="Sí",VLOOKUP(D801,TARIFAS!A:K,5,FALSE),0),
         VLOOKUP(D801,TARIFAS!A:K,4,FALSE) + IF(I801="Sí",VLOOKUP(D801,TARIFAS!A:K,5,FALSE),0)
      ),
      IF(H801="Presencial",
         VLOOKUP(D801,TARIFAS!A:K,9,FALSE) + IF(I801="Sí",VLOOKUP(D801,TARIFAS!A:K,11,FALSE),0),
         VLOOKUP(D801,TARIFAS!A:K,10,FALSE) + IF(I801="Sí",VLOOKUP(D801,TARIFAS!A:K,11,FALSE),0)
      )
   )
)
</f>
        <v>0</v>
      </c>
      <c r="U801" s="45">
        <f>IF(R801="",0,MAX(0,R801 - TARIFAS!G$2) * TARIFAS!F$2)
</f>
        <v>0</v>
      </c>
      <c r="V801" s="45">
        <f>+T801*TARIFAS!$K$2</f>
        <v>0</v>
      </c>
      <c r="W801" s="45">
        <f t="shared" si="2"/>
        <v>0</v>
      </c>
      <c r="X801" s="45">
        <f t="shared" si="3"/>
        <v>0</v>
      </c>
      <c r="Y801" s="45">
        <f t="shared" si="4"/>
        <v>0</v>
      </c>
      <c r="Z801" s="42" t="str">
        <f>CONFERENCIAS!AB801</f>
        <v/>
      </c>
      <c r="AA801" s="42" t="str">
        <f>CONFERENCIAS!AC801</f>
        <v/>
      </c>
      <c r="AB801" s="47" t="str">
        <f t="shared" si="5"/>
        <v/>
      </c>
      <c r="AC801" s="9" t="str">
        <f t="shared" si="6"/>
        <v/>
      </c>
    </row>
    <row r="802">
      <c r="A802" s="42" t="str">
        <f>CONFERENCIAS!A802</f>
        <v/>
      </c>
      <c r="D802" s="42" t="str">
        <f>CONFERENCIAS!C802</f>
        <v/>
      </c>
      <c r="E802" s="42" t="str">
        <f>CONFERENCIAS!K802</f>
        <v/>
      </c>
      <c r="F802" s="49" t="str">
        <f>CONFERENCIAS!J802</f>
        <v/>
      </c>
      <c r="G802" s="42" t="str">
        <f>CONFERENCIAS!O802</f>
        <v/>
      </c>
      <c r="H802" s="42" t="str">
        <f>CONFERENCIAS!X802</f>
        <v/>
      </c>
      <c r="I802" s="42" t="str">
        <f>CONFERENCIAS!AA802</f>
        <v/>
      </c>
      <c r="J802" s="44" t="str">
        <f>CONFERENCIAS!P802</f>
        <v/>
      </c>
      <c r="K802" s="45" t="str">
        <f>CONFERENCIAS!R802</f>
        <v/>
      </c>
      <c r="L802" s="45">
        <f>IF(D802="",0,
 IF(E802=1,
   IF(H802="Presencial",
      VLOOKUP(D802,TARIFAS!A:K,3,FALSE) + IF(I802="Sí",VLOOKUP(D802,TARIFAS!A:K,5,FALSE),0),
      VLOOKUP(D802,TARIFAS!A:K,4,FALSE) + IF(I802="Sí",VLOOKUP(D802,TARIFAS!A:K,5,FALSE),0)
   ),
   IF(H802="Presencial",
      VLOOKUP(D802,TARIFAS!A:K,9,FALSE) + IF(I802="Sí",VLOOKUP(D802,TARIFAS!A:K,11,FALSE),0),
      VLOOKUP(D802,TARIFAS!A:K,10,FALSE) + IF(I802="Sí",VLOOKUP(D802,TARIFAS!A:K,11,FALSE),0)
   )
 )
)
</f>
        <v>0</v>
      </c>
      <c r="M802" s="45">
        <f>IF(J802="",0,MAX(0,J802 - TARIFAS!G$2) * TARIFAS!F$2)
</f>
        <v>0</v>
      </c>
      <c r="N802" s="45">
        <f>+L802*TARIFAS!$K$2</f>
        <v>0</v>
      </c>
      <c r="O802" s="45">
        <f t="shared" si="1"/>
        <v>0</v>
      </c>
      <c r="P802" s="45">
        <f>+M802+O802+K802+(+I802-(I802*TARIFAS!$K$2))</f>
        <v>0</v>
      </c>
      <c r="Q802" s="42" t="str">
        <f>CONFERENCIAS!T802</f>
        <v/>
      </c>
      <c r="R802" s="45" t="str">
        <f>CONFERENCIAS!U802</f>
        <v/>
      </c>
      <c r="S802" s="45" t="str">
        <f>CONFERENCIAS!W802</f>
        <v/>
      </c>
      <c r="T802" s="48">
        <f>IF(Q802="",0,
   IF(E802=1,
      IF(H802="Presencial",
         VLOOKUP(D802,TARIFAS!A:K,3,FALSE) + IF(I802="Sí",VLOOKUP(D802,TARIFAS!A:K,5,FALSE),0),
         VLOOKUP(D802,TARIFAS!A:K,4,FALSE) + IF(I802="Sí",VLOOKUP(D802,TARIFAS!A:K,5,FALSE),0)
      ),
      IF(H802="Presencial",
         VLOOKUP(D802,TARIFAS!A:K,9,FALSE) + IF(I802="Sí",VLOOKUP(D802,TARIFAS!A:K,11,FALSE),0),
         VLOOKUP(D802,TARIFAS!A:K,10,FALSE) + IF(I802="Sí",VLOOKUP(D802,TARIFAS!A:K,11,FALSE),0)
      )
   )
)
</f>
        <v>0</v>
      </c>
      <c r="U802" s="45">
        <f>IF(R802="",0,MAX(0,R802 - TARIFAS!G$2) * TARIFAS!F$2)
</f>
        <v>0</v>
      </c>
      <c r="V802" s="45">
        <f>+T802*TARIFAS!$K$2</f>
        <v>0</v>
      </c>
      <c r="W802" s="45">
        <f t="shared" si="2"/>
        <v>0</v>
      </c>
      <c r="X802" s="45">
        <f t="shared" si="3"/>
        <v>0</v>
      </c>
      <c r="Y802" s="45">
        <f t="shared" si="4"/>
        <v>0</v>
      </c>
      <c r="Z802" s="42" t="str">
        <f>CONFERENCIAS!AB802</f>
        <v/>
      </c>
      <c r="AA802" s="42" t="str">
        <f>CONFERENCIAS!AC802</f>
        <v/>
      </c>
      <c r="AB802" s="47" t="str">
        <f t="shared" si="5"/>
        <v/>
      </c>
      <c r="AC802" s="9" t="str">
        <f t="shared" si="6"/>
        <v/>
      </c>
    </row>
    <row r="803">
      <c r="A803" s="42" t="str">
        <f>CONFERENCIAS!A803</f>
        <v/>
      </c>
      <c r="D803" s="42" t="str">
        <f>CONFERENCIAS!C803</f>
        <v/>
      </c>
      <c r="E803" s="42" t="str">
        <f>CONFERENCIAS!K803</f>
        <v/>
      </c>
      <c r="F803" s="49" t="str">
        <f>CONFERENCIAS!J803</f>
        <v/>
      </c>
      <c r="G803" s="42" t="str">
        <f>CONFERENCIAS!O803</f>
        <v/>
      </c>
      <c r="H803" s="42" t="str">
        <f>CONFERENCIAS!X803</f>
        <v/>
      </c>
      <c r="I803" s="42" t="str">
        <f>CONFERENCIAS!AA803</f>
        <v/>
      </c>
      <c r="J803" s="44" t="str">
        <f>CONFERENCIAS!P803</f>
        <v/>
      </c>
      <c r="K803" s="45" t="str">
        <f>CONFERENCIAS!R803</f>
        <v/>
      </c>
      <c r="L803" s="45">
        <f>IF(D803="",0,
 IF(E803=1,
   IF(H803="Presencial",
      VLOOKUP(D803,TARIFAS!A:K,3,FALSE) + IF(I803="Sí",VLOOKUP(D803,TARIFAS!A:K,5,FALSE),0),
      VLOOKUP(D803,TARIFAS!A:K,4,FALSE) + IF(I803="Sí",VLOOKUP(D803,TARIFAS!A:K,5,FALSE),0)
   ),
   IF(H803="Presencial",
      VLOOKUP(D803,TARIFAS!A:K,9,FALSE) + IF(I803="Sí",VLOOKUP(D803,TARIFAS!A:K,11,FALSE),0),
      VLOOKUP(D803,TARIFAS!A:K,10,FALSE) + IF(I803="Sí",VLOOKUP(D803,TARIFAS!A:K,11,FALSE),0)
   )
 )
)
</f>
        <v>0</v>
      </c>
      <c r="M803" s="45">
        <f>IF(J803="",0,MAX(0,J803 - TARIFAS!G$2) * TARIFAS!F$2)
</f>
        <v>0</v>
      </c>
      <c r="N803" s="45">
        <f>+L803*TARIFAS!$K$2</f>
        <v>0</v>
      </c>
      <c r="O803" s="45">
        <f t="shared" si="1"/>
        <v>0</v>
      </c>
      <c r="P803" s="45">
        <f>+M803+O803+K803+(+I803-(I803*TARIFAS!$K$2))</f>
        <v>0</v>
      </c>
      <c r="Q803" s="42" t="str">
        <f>CONFERENCIAS!T803</f>
        <v/>
      </c>
      <c r="R803" s="45" t="str">
        <f>CONFERENCIAS!U803</f>
        <v/>
      </c>
      <c r="S803" s="45" t="str">
        <f>CONFERENCIAS!W803</f>
        <v/>
      </c>
      <c r="T803" s="48">
        <f>IF(Q803="",0,
   IF(E803=1,
      IF(H803="Presencial",
         VLOOKUP(D803,TARIFAS!A:K,3,FALSE) + IF(I803="Sí",VLOOKUP(D803,TARIFAS!A:K,5,FALSE),0),
         VLOOKUP(D803,TARIFAS!A:K,4,FALSE) + IF(I803="Sí",VLOOKUP(D803,TARIFAS!A:K,5,FALSE),0)
      ),
      IF(H803="Presencial",
         VLOOKUP(D803,TARIFAS!A:K,9,FALSE) + IF(I803="Sí",VLOOKUP(D803,TARIFAS!A:K,11,FALSE),0),
         VLOOKUP(D803,TARIFAS!A:K,10,FALSE) + IF(I803="Sí",VLOOKUP(D803,TARIFAS!A:K,11,FALSE),0)
      )
   )
)
</f>
        <v>0</v>
      </c>
      <c r="U803" s="45">
        <f>IF(R803="",0,MAX(0,R803 - TARIFAS!G$2) * TARIFAS!F$2)
</f>
        <v>0</v>
      </c>
      <c r="V803" s="45">
        <f>+T803*TARIFAS!$K$2</f>
        <v>0</v>
      </c>
      <c r="W803" s="45">
        <f t="shared" si="2"/>
        <v>0</v>
      </c>
      <c r="X803" s="45">
        <f t="shared" si="3"/>
        <v>0</v>
      </c>
      <c r="Y803" s="45">
        <f t="shared" si="4"/>
        <v>0</v>
      </c>
      <c r="Z803" s="42" t="str">
        <f>CONFERENCIAS!AB803</f>
        <v/>
      </c>
      <c r="AA803" s="42" t="str">
        <f>CONFERENCIAS!AC803</f>
        <v/>
      </c>
      <c r="AB803" s="47" t="str">
        <f t="shared" si="5"/>
        <v/>
      </c>
      <c r="AC803" s="9" t="str">
        <f t="shared" si="6"/>
        <v/>
      </c>
    </row>
    <row r="804">
      <c r="A804" s="42" t="str">
        <f>CONFERENCIAS!A804</f>
        <v/>
      </c>
      <c r="D804" s="42" t="str">
        <f>CONFERENCIAS!C804</f>
        <v/>
      </c>
      <c r="E804" s="42" t="str">
        <f>CONFERENCIAS!K804</f>
        <v/>
      </c>
      <c r="F804" s="49" t="str">
        <f>CONFERENCIAS!J804</f>
        <v/>
      </c>
      <c r="G804" s="42" t="str">
        <f>CONFERENCIAS!O804</f>
        <v/>
      </c>
      <c r="H804" s="42" t="str">
        <f>CONFERENCIAS!X804</f>
        <v/>
      </c>
      <c r="I804" s="42" t="str">
        <f>CONFERENCIAS!AA804</f>
        <v/>
      </c>
      <c r="J804" s="44" t="str">
        <f>CONFERENCIAS!P804</f>
        <v/>
      </c>
      <c r="K804" s="45" t="str">
        <f>CONFERENCIAS!R804</f>
        <v/>
      </c>
      <c r="L804" s="45">
        <f>IF(D804="",0,
 IF(E804=1,
   IF(H804="Presencial",
      VLOOKUP(D804,TARIFAS!A:K,3,FALSE) + IF(I804="Sí",VLOOKUP(D804,TARIFAS!A:K,5,FALSE),0),
      VLOOKUP(D804,TARIFAS!A:K,4,FALSE) + IF(I804="Sí",VLOOKUP(D804,TARIFAS!A:K,5,FALSE),0)
   ),
   IF(H804="Presencial",
      VLOOKUP(D804,TARIFAS!A:K,9,FALSE) + IF(I804="Sí",VLOOKUP(D804,TARIFAS!A:K,11,FALSE),0),
      VLOOKUP(D804,TARIFAS!A:K,10,FALSE) + IF(I804="Sí",VLOOKUP(D804,TARIFAS!A:K,11,FALSE),0)
   )
 )
)
</f>
        <v>0</v>
      </c>
      <c r="M804" s="45">
        <f>IF(J804="",0,MAX(0,J804 - TARIFAS!G$2) * TARIFAS!F$2)
</f>
        <v>0</v>
      </c>
      <c r="N804" s="45">
        <f>+L804*TARIFAS!$K$2</f>
        <v>0</v>
      </c>
      <c r="O804" s="45">
        <f t="shared" si="1"/>
        <v>0</v>
      </c>
      <c r="P804" s="45">
        <f>+M804+O804+K804+(+I804-(I804*TARIFAS!$K$2))</f>
        <v>0</v>
      </c>
      <c r="Q804" s="42" t="str">
        <f>CONFERENCIAS!T804</f>
        <v/>
      </c>
      <c r="R804" s="45" t="str">
        <f>CONFERENCIAS!U804</f>
        <v/>
      </c>
      <c r="S804" s="45" t="str">
        <f>CONFERENCIAS!W804</f>
        <v/>
      </c>
      <c r="T804" s="48">
        <f>IF(Q804="",0,
   IF(E804=1,
      IF(H804="Presencial",
         VLOOKUP(D804,TARIFAS!A:K,3,FALSE) + IF(I804="Sí",VLOOKUP(D804,TARIFAS!A:K,5,FALSE),0),
         VLOOKUP(D804,TARIFAS!A:K,4,FALSE) + IF(I804="Sí",VLOOKUP(D804,TARIFAS!A:K,5,FALSE),0)
      ),
      IF(H804="Presencial",
         VLOOKUP(D804,TARIFAS!A:K,9,FALSE) + IF(I804="Sí",VLOOKUP(D804,TARIFAS!A:K,11,FALSE),0),
         VLOOKUP(D804,TARIFAS!A:K,10,FALSE) + IF(I804="Sí",VLOOKUP(D804,TARIFAS!A:K,11,FALSE),0)
      )
   )
)
</f>
        <v>0</v>
      </c>
      <c r="U804" s="45">
        <f>IF(R804="",0,MAX(0,R804 - TARIFAS!G$2) * TARIFAS!F$2)
</f>
        <v>0</v>
      </c>
      <c r="V804" s="45">
        <f>+T804*TARIFAS!$K$2</f>
        <v>0</v>
      </c>
      <c r="W804" s="45">
        <f t="shared" si="2"/>
        <v>0</v>
      </c>
      <c r="X804" s="45">
        <f t="shared" si="3"/>
        <v>0</v>
      </c>
      <c r="Y804" s="45">
        <f t="shared" si="4"/>
        <v>0</v>
      </c>
      <c r="Z804" s="42" t="str">
        <f>CONFERENCIAS!AB804</f>
        <v/>
      </c>
      <c r="AA804" s="42" t="str">
        <f>CONFERENCIAS!AC804</f>
        <v/>
      </c>
      <c r="AB804" s="47" t="str">
        <f t="shared" si="5"/>
        <v/>
      </c>
      <c r="AC804" s="9" t="str">
        <f t="shared" si="6"/>
        <v/>
      </c>
    </row>
    <row r="805">
      <c r="A805" s="42" t="str">
        <f>CONFERENCIAS!A805</f>
        <v/>
      </c>
      <c r="D805" s="42" t="str">
        <f>CONFERENCIAS!C805</f>
        <v/>
      </c>
      <c r="E805" s="42" t="str">
        <f>CONFERENCIAS!K805</f>
        <v/>
      </c>
      <c r="F805" s="49" t="str">
        <f>CONFERENCIAS!J805</f>
        <v/>
      </c>
      <c r="G805" s="42" t="str">
        <f>CONFERENCIAS!O805</f>
        <v/>
      </c>
      <c r="H805" s="42" t="str">
        <f>CONFERENCIAS!X805</f>
        <v/>
      </c>
      <c r="I805" s="42" t="str">
        <f>CONFERENCIAS!AA805</f>
        <v/>
      </c>
      <c r="J805" s="44" t="str">
        <f>CONFERENCIAS!P805</f>
        <v/>
      </c>
      <c r="K805" s="45" t="str">
        <f>CONFERENCIAS!R805</f>
        <v/>
      </c>
      <c r="L805" s="45">
        <f>IF(D805="",0,
 IF(E805=1,
   IF(H805="Presencial",
      VLOOKUP(D805,TARIFAS!A:K,3,FALSE) + IF(I805="Sí",VLOOKUP(D805,TARIFAS!A:K,5,FALSE),0),
      VLOOKUP(D805,TARIFAS!A:K,4,FALSE) + IF(I805="Sí",VLOOKUP(D805,TARIFAS!A:K,5,FALSE),0)
   ),
   IF(H805="Presencial",
      VLOOKUP(D805,TARIFAS!A:K,9,FALSE) + IF(I805="Sí",VLOOKUP(D805,TARIFAS!A:K,11,FALSE),0),
      VLOOKUP(D805,TARIFAS!A:K,10,FALSE) + IF(I805="Sí",VLOOKUP(D805,TARIFAS!A:K,11,FALSE),0)
   )
 )
)
</f>
        <v>0</v>
      </c>
      <c r="M805" s="45">
        <f>IF(J805="",0,MAX(0,J805 - TARIFAS!G$2) * TARIFAS!F$2)
</f>
        <v>0</v>
      </c>
      <c r="N805" s="45">
        <f>+L805*TARIFAS!$K$2</f>
        <v>0</v>
      </c>
      <c r="O805" s="45">
        <f t="shared" si="1"/>
        <v>0</v>
      </c>
      <c r="P805" s="45">
        <f>+M805+O805+K805+(+I805-(I805*TARIFAS!$K$2))</f>
        <v>0</v>
      </c>
      <c r="Q805" s="42" t="str">
        <f>CONFERENCIAS!T805</f>
        <v/>
      </c>
      <c r="R805" s="45" t="str">
        <f>CONFERENCIAS!U805</f>
        <v/>
      </c>
      <c r="S805" s="45" t="str">
        <f>CONFERENCIAS!W805</f>
        <v/>
      </c>
      <c r="T805" s="48">
        <f>IF(Q805="",0,
   IF(E805=1,
      IF(H805="Presencial",
         VLOOKUP(D805,TARIFAS!A:K,3,FALSE) + IF(I805="Sí",VLOOKUP(D805,TARIFAS!A:K,5,FALSE),0),
         VLOOKUP(D805,TARIFAS!A:K,4,FALSE) + IF(I805="Sí",VLOOKUP(D805,TARIFAS!A:K,5,FALSE),0)
      ),
      IF(H805="Presencial",
         VLOOKUP(D805,TARIFAS!A:K,9,FALSE) + IF(I805="Sí",VLOOKUP(D805,TARIFAS!A:K,11,FALSE),0),
         VLOOKUP(D805,TARIFAS!A:K,10,FALSE) + IF(I805="Sí",VLOOKUP(D805,TARIFAS!A:K,11,FALSE),0)
      )
   )
)
</f>
        <v>0</v>
      </c>
      <c r="U805" s="45">
        <f>IF(R805="",0,MAX(0,R805 - TARIFAS!G$2) * TARIFAS!F$2)
</f>
        <v>0</v>
      </c>
      <c r="V805" s="45">
        <f>+T805*TARIFAS!$K$2</f>
        <v>0</v>
      </c>
      <c r="W805" s="45">
        <f t="shared" si="2"/>
        <v>0</v>
      </c>
      <c r="X805" s="45">
        <f t="shared" si="3"/>
        <v>0</v>
      </c>
      <c r="Y805" s="45">
        <f t="shared" si="4"/>
        <v>0</v>
      </c>
      <c r="Z805" s="42" t="str">
        <f>CONFERENCIAS!AB805</f>
        <v/>
      </c>
      <c r="AA805" s="42" t="str">
        <f>CONFERENCIAS!AC805</f>
        <v/>
      </c>
      <c r="AB805" s="47" t="str">
        <f t="shared" si="5"/>
        <v/>
      </c>
      <c r="AC805" s="9" t="str">
        <f t="shared" si="6"/>
        <v/>
      </c>
    </row>
    <row r="806">
      <c r="A806" s="42" t="str">
        <f>CONFERENCIAS!A806</f>
        <v/>
      </c>
      <c r="D806" s="42" t="str">
        <f>CONFERENCIAS!C806</f>
        <v/>
      </c>
      <c r="E806" s="42" t="str">
        <f>CONFERENCIAS!K806</f>
        <v/>
      </c>
      <c r="F806" s="49" t="str">
        <f>CONFERENCIAS!J806</f>
        <v/>
      </c>
      <c r="G806" s="42" t="str">
        <f>CONFERENCIAS!O806</f>
        <v/>
      </c>
      <c r="H806" s="42" t="str">
        <f>CONFERENCIAS!X806</f>
        <v/>
      </c>
      <c r="I806" s="42" t="str">
        <f>CONFERENCIAS!AA806</f>
        <v/>
      </c>
      <c r="J806" s="44" t="str">
        <f>CONFERENCIAS!P806</f>
        <v/>
      </c>
      <c r="K806" s="45" t="str">
        <f>CONFERENCIAS!R806</f>
        <v/>
      </c>
      <c r="L806" s="45">
        <f>IF(D806="",0,
 IF(E806=1,
   IF(H806="Presencial",
      VLOOKUP(D806,TARIFAS!A:K,3,FALSE) + IF(I806="Sí",VLOOKUP(D806,TARIFAS!A:K,5,FALSE),0),
      VLOOKUP(D806,TARIFAS!A:K,4,FALSE) + IF(I806="Sí",VLOOKUP(D806,TARIFAS!A:K,5,FALSE),0)
   ),
   IF(H806="Presencial",
      VLOOKUP(D806,TARIFAS!A:K,9,FALSE) + IF(I806="Sí",VLOOKUP(D806,TARIFAS!A:K,11,FALSE),0),
      VLOOKUP(D806,TARIFAS!A:K,10,FALSE) + IF(I806="Sí",VLOOKUP(D806,TARIFAS!A:K,11,FALSE),0)
   )
 )
)
</f>
        <v>0</v>
      </c>
      <c r="M806" s="45">
        <f>IF(J806="",0,MAX(0,J806 - TARIFAS!G$2) * TARIFAS!F$2)
</f>
        <v>0</v>
      </c>
      <c r="N806" s="45">
        <f>+L806*TARIFAS!$K$2</f>
        <v>0</v>
      </c>
      <c r="O806" s="45">
        <f t="shared" si="1"/>
        <v>0</v>
      </c>
      <c r="P806" s="45">
        <f>+M806+O806+K806+(+I806-(I806*TARIFAS!$K$2))</f>
        <v>0</v>
      </c>
      <c r="Q806" s="42" t="str">
        <f>CONFERENCIAS!T806</f>
        <v/>
      </c>
      <c r="R806" s="45" t="str">
        <f>CONFERENCIAS!U806</f>
        <v/>
      </c>
      <c r="S806" s="45" t="str">
        <f>CONFERENCIAS!W806</f>
        <v/>
      </c>
      <c r="T806" s="48">
        <f>IF(Q806="",0,
   IF(E806=1,
      IF(H806="Presencial",
         VLOOKUP(D806,TARIFAS!A:K,3,FALSE) + IF(I806="Sí",VLOOKUP(D806,TARIFAS!A:K,5,FALSE),0),
         VLOOKUP(D806,TARIFAS!A:K,4,FALSE) + IF(I806="Sí",VLOOKUP(D806,TARIFAS!A:K,5,FALSE),0)
      ),
      IF(H806="Presencial",
         VLOOKUP(D806,TARIFAS!A:K,9,FALSE) + IF(I806="Sí",VLOOKUP(D806,TARIFAS!A:K,11,FALSE),0),
         VLOOKUP(D806,TARIFAS!A:K,10,FALSE) + IF(I806="Sí",VLOOKUP(D806,TARIFAS!A:K,11,FALSE),0)
      )
   )
)
</f>
        <v>0</v>
      </c>
      <c r="U806" s="45">
        <f>IF(R806="",0,MAX(0,R806 - TARIFAS!G$2) * TARIFAS!F$2)
</f>
        <v>0</v>
      </c>
      <c r="V806" s="45">
        <f>+T806*TARIFAS!$K$2</f>
        <v>0</v>
      </c>
      <c r="W806" s="45">
        <f t="shared" si="2"/>
        <v>0</v>
      </c>
      <c r="X806" s="45">
        <f t="shared" si="3"/>
        <v>0</v>
      </c>
      <c r="Y806" s="45">
        <f t="shared" si="4"/>
        <v>0</v>
      </c>
      <c r="Z806" s="42" t="str">
        <f>CONFERENCIAS!AB806</f>
        <v/>
      </c>
      <c r="AA806" s="42" t="str">
        <f>CONFERENCIAS!AC806</f>
        <v/>
      </c>
      <c r="AB806" s="47" t="str">
        <f t="shared" si="5"/>
        <v/>
      </c>
      <c r="AC806" s="9" t="str">
        <f t="shared" si="6"/>
        <v/>
      </c>
    </row>
    <row r="807">
      <c r="A807" s="42" t="str">
        <f>CONFERENCIAS!A807</f>
        <v/>
      </c>
      <c r="D807" s="42" t="str">
        <f>CONFERENCIAS!C807</f>
        <v/>
      </c>
      <c r="E807" s="42" t="str">
        <f>CONFERENCIAS!K807</f>
        <v/>
      </c>
      <c r="F807" s="49" t="str">
        <f>CONFERENCIAS!J807</f>
        <v/>
      </c>
      <c r="G807" s="42" t="str">
        <f>CONFERENCIAS!O807</f>
        <v/>
      </c>
      <c r="H807" s="42" t="str">
        <f>CONFERENCIAS!X807</f>
        <v/>
      </c>
      <c r="I807" s="42" t="str">
        <f>CONFERENCIAS!AA807</f>
        <v/>
      </c>
      <c r="J807" s="44" t="str">
        <f>CONFERENCIAS!P807</f>
        <v/>
      </c>
      <c r="K807" s="45" t="str">
        <f>CONFERENCIAS!R807</f>
        <v/>
      </c>
      <c r="L807" s="45">
        <f>IF(D807="",0,
 IF(E807=1,
   IF(H807="Presencial",
      VLOOKUP(D807,TARIFAS!A:K,3,FALSE) + IF(I807="Sí",VLOOKUP(D807,TARIFAS!A:K,5,FALSE),0),
      VLOOKUP(D807,TARIFAS!A:K,4,FALSE) + IF(I807="Sí",VLOOKUP(D807,TARIFAS!A:K,5,FALSE),0)
   ),
   IF(H807="Presencial",
      VLOOKUP(D807,TARIFAS!A:K,9,FALSE) + IF(I807="Sí",VLOOKUP(D807,TARIFAS!A:K,11,FALSE),0),
      VLOOKUP(D807,TARIFAS!A:K,10,FALSE) + IF(I807="Sí",VLOOKUP(D807,TARIFAS!A:K,11,FALSE),0)
   )
 )
)
</f>
        <v>0</v>
      </c>
      <c r="M807" s="45">
        <f>IF(J807="",0,MAX(0,J807 - TARIFAS!G$2) * TARIFAS!F$2)
</f>
        <v>0</v>
      </c>
      <c r="N807" s="45">
        <f>+L807*TARIFAS!$K$2</f>
        <v>0</v>
      </c>
      <c r="O807" s="45">
        <f t="shared" si="1"/>
        <v>0</v>
      </c>
      <c r="P807" s="45">
        <f>+M807+O807+K807+(+I807-(I807*TARIFAS!$K$2))</f>
        <v>0</v>
      </c>
      <c r="Q807" s="42" t="str">
        <f>CONFERENCIAS!T807</f>
        <v/>
      </c>
      <c r="R807" s="45" t="str">
        <f>CONFERENCIAS!U807</f>
        <v/>
      </c>
      <c r="S807" s="45" t="str">
        <f>CONFERENCIAS!W807</f>
        <v/>
      </c>
      <c r="T807" s="48">
        <f>IF(Q807="",0,
   IF(E807=1,
      IF(H807="Presencial",
         VLOOKUP(D807,TARIFAS!A:K,3,FALSE) + IF(I807="Sí",VLOOKUP(D807,TARIFAS!A:K,5,FALSE),0),
         VLOOKUP(D807,TARIFAS!A:K,4,FALSE) + IF(I807="Sí",VLOOKUP(D807,TARIFAS!A:K,5,FALSE),0)
      ),
      IF(H807="Presencial",
         VLOOKUP(D807,TARIFAS!A:K,9,FALSE) + IF(I807="Sí",VLOOKUP(D807,TARIFAS!A:K,11,FALSE),0),
         VLOOKUP(D807,TARIFAS!A:K,10,FALSE) + IF(I807="Sí",VLOOKUP(D807,TARIFAS!A:K,11,FALSE),0)
      )
   )
)
</f>
        <v>0</v>
      </c>
      <c r="U807" s="45">
        <f>IF(R807="",0,MAX(0,R807 - TARIFAS!G$2) * TARIFAS!F$2)
</f>
        <v>0</v>
      </c>
      <c r="V807" s="45">
        <f>+T807*TARIFAS!$K$2</f>
        <v>0</v>
      </c>
      <c r="W807" s="45">
        <f t="shared" si="2"/>
        <v>0</v>
      </c>
      <c r="X807" s="45">
        <f t="shared" si="3"/>
        <v>0</v>
      </c>
      <c r="Y807" s="45">
        <f t="shared" si="4"/>
        <v>0</v>
      </c>
      <c r="Z807" s="42" t="str">
        <f>CONFERENCIAS!AB807</f>
        <v/>
      </c>
      <c r="AA807" s="42" t="str">
        <f>CONFERENCIAS!AC807</f>
        <v/>
      </c>
      <c r="AB807" s="47" t="str">
        <f t="shared" si="5"/>
        <v/>
      </c>
      <c r="AC807" s="9" t="str">
        <f t="shared" si="6"/>
        <v/>
      </c>
    </row>
    <row r="808">
      <c r="A808" s="42" t="str">
        <f>CONFERENCIAS!A808</f>
        <v/>
      </c>
      <c r="D808" s="42" t="str">
        <f>CONFERENCIAS!C808</f>
        <v/>
      </c>
      <c r="E808" s="42" t="str">
        <f>CONFERENCIAS!K808</f>
        <v/>
      </c>
      <c r="F808" s="49" t="str">
        <f>CONFERENCIAS!J808</f>
        <v/>
      </c>
      <c r="G808" s="42" t="str">
        <f>CONFERENCIAS!O808</f>
        <v/>
      </c>
      <c r="H808" s="42" t="str">
        <f>CONFERENCIAS!X808</f>
        <v/>
      </c>
      <c r="I808" s="42" t="str">
        <f>CONFERENCIAS!AA808</f>
        <v/>
      </c>
      <c r="J808" s="44" t="str">
        <f>CONFERENCIAS!P808</f>
        <v/>
      </c>
      <c r="K808" s="45" t="str">
        <f>CONFERENCIAS!R808</f>
        <v/>
      </c>
      <c r="L808" s="45">
        <f>IF(D808="",0,
 IF(E808=1,
   IF(H808="Presencial",
      VLOOKUP(D808,TARIFAS!A:K,3,FALSE) + IF(I808="Sí",VLOOKUP(D808,TARIFAS!A:K,5,FALSE),0),
      VLOOKUP(D808,TARIFAS!A:K,4,FALSE) + IF(I808="Sí",VLOOKUP(D808,TARIFAS!A:K,5,FALSE),0)
   ),
   IF(H808="Presencial",
      VLOOKUP(D808,TARIFAS!A:K,9,FALSE) + IF(I808="Sí",VLOOKUP(D808,TARIFAS!A:K,11,FALSE),0),
      VLOOKUP(D808,TARIFAS!A:K,10,FALSE) + IF(I808="Sí",VLOOKUP(D808,TARIFAS!A:K,11,FALSE),0)
   )
 )
)
</f>
        <v>0</v>
      </c>
      <c r="M808" s="45">
        <f>IF(J808="",0,MAX(0,J808 - TARIFAS!G$2) * TARIFAS!F$2)
</f>
        <v>0</v>
      </c>
      <c r="N808" s="45">
        <f>+L808*TARIFAS!$K$2</f>
        <v>0</v>
      </c>
      <c r="O808" s="45">
        <f t="shared" si="1"/>
        <v>0</v>
      </c>
      <c r="P808" s="45">
        <f>+M808+O808+K808+(+I808-(I808*TARIFAS!$K$2))</f>
        <v>0</v>
      </c>
      <c r="Q808" s="42" t="str">
        <f>CONFERENCIAS!T808</f>
        <v/>
      </c>
      <c r="R808" s="45" t="str">
        <f>CONFERENCIAS!U808</f>
        <v/>
      </c>
      <c r="S808" s="45" t="str">
        <f>CONFERENCIAS!W808</f>
        <v/>
      </c>
      <c r="T808" s="48">
        <f>IF(Q808="",0,
   IF(E808=1,
      IF(H808="Presencial",
         VLOOKUP(D808,TARIFAS!A:K,3,FALSE) + IF(I808="Sí",VLOOKUP(D808,TARIFAS!A:K,5,FALSE),0),
         VLOOKUP(D808,TARIFAS!A:K,4,FALSE) + IF(I808="Sí",VLOOKUP(D808,TARIFAS!A:K,5,FALSE),0)
      ),
      IF(H808="Presencial",
         VLOOKUP(D808,TARIFAS!A:K,9,FALSE) + IF(I808="Sí",VLOOKUP(D808,TARIFAS!A:K,11,FALSE),0),
         VLOOKUP(D808,TARIFAS!A:K,10,FALSE) + IF(I808="Sí",VLOOKUP(D808,TARIFAS!A:K,11,FALSE),0)
      )
   )
)
</f>
        <v>0</v>
      </c>
      <c r="U808" s="45">
        <f>IF(R808="",0,MAX(0,R808 - TARIFAS!G$2) * TARIFAS!F$2)
</f>
        <v>0</v>
      </c>
      <c r="V808" s="45">
        <f>+T808*TARIFAS!$K$2</f>
        <v>0</v>
      </c>
      <c r="W808" s="45">
        <f t="shared" si="2"/>
        <v>0</v>
      </c>
      <c r="X808" s="45">
        <f t="shared" si="3"/>
        <v>0</v>
      </c>
      <c r="Y808" s="45">
        <f t="shared" si="4"/>
        <v>0</v>
      </c>
      <c r="Z808" s="42" t="str">
        <f>CONFERENCIAS!AB808</f>
        <v/>
      </c>
      <c r="AA808" s="42" t="str">
        <f>CONFERENCIAS!AC808</f>
        <v/>
      </c>
      <c r="AB808" s="47" t="str">
        <f t="shared" si="5"/>
        <v/>
      </c>
      <c r="AC808" s="9" t="str">
        <f t="shared" si="6"/>
        <v/>
      </c>
    </row>
    <row r="809">
      <c r="A809" s="42" t="str">
        <f>CONFERENCIAS!A809</f>
        <v/>
      </c>
      <c r="D809" s="42" t="str">
        <f>CONFERENCIAS!C809</f>
        <v/>
      </c>
      <c r="E809" s="42" t="str">
        <f>CONFERENCIAS!K809</f>
        <v/>
      </c>
      <c r="F809" s="49" t="str">
        <f>CONFERENCIAS!J809</f>
        <v/>
      </c>
      <c r="G809" s="42" t="str">
        <f>CONFERENCIAS!O809</f>
        <v/>
      </c>
      <c r="H809" s="42" t="str">
        <f>CONFERENCIAS!X809</f>
        <v/>
      </c>
      <c r="I809" s="42" t="str">
        <f>CONFERENCIAS!AA809</f>
        <v/>
      </c>
      <c r="J809" s="44" t="str">
        <f>CONFERENCIAS!P809</f>
        <v/>
      </c>
      <c r="K809" s="45" t="str">
        <f>CONFERENCIAS!R809</f>
        <v/>
      </c>
      <c r="L809" s="45">
        <f>IF(D809="",0,
 IF(E809=1,
   IF(H809="Presencial",
      VLOOKUP(D809,TARIFAS!A:K,3,FALSE) + IF(I809="Sí",VLOOKUP(D809,TARIFAS!A:K,5,FALSE),0),
      VLOOKUP(D809,TARIFAS!A:K,4,FALSE) + IF(I809="Sí",VLOOKUP(D809,TARIFAS!A:K,5,FALSE),0)
   ),
   IF(H809="Presencial",
      VLOOKUP(D809,TARIFAS!A:K,9,FALSE) + IF(I809="Sí",VLOOKUP(D809,TARIFAS!A:K,11,FALSE),0),
      VLOOKUP(D809,TARIFAS!A:K,10,FALSE) + IF(I809="Sí",VLOOKUP(D809,TARIFAS!A:K,11,FALSE),0)
   )
 )
)
</f>
        <v>0</v>
      </c>
      <c r="M809" s="45">
        <f>IF(J809="",0,MAX(0,J809 - TARIFAS!G$2) * TARIFAS!F$2)
</f>
        <v>0</v>
      </c>
      <c r="N809" s="45">
        <f>+L809*TARIFAS!$K$2</f>
        <v>0</v>
      </c>
      <c r="O809" s="45">
        <f t="shared" si="1"/>
        <v>0</v>
      </c>
      <c r="P809" s="45">
        <f>+M809+O809+K809+(+I809-(I809*TARIFAS!$K$2))</f>
        <v>0</v>
      </c>
      <c r="Q809" s="42" t="str">
        <f>CONFERENCIAS!T809</f>
        <v/>
      </c>
      <c r="R809" s="45" t="str">
        <f>CONFERENCIAS!U809</f>
        <v/>
      </c>
      <c r="S809" s="45" t="str">
        <f>CONFERENCIAS!W809</f>
        <v/>
      </c>
      <c r="T809" s="48">
        <f>IF(Q809="",0,
   IF(E809=1,
      IF(H809="Presencial",
         VLOOKUP(D809,TARIFAS!A:K,3,FALSE) + IF(I809="Sí",VLOOKUP(D809,TARIFAS!A:K,5,FALSE),0),
         VLOOKUP(D809,TARIFAS!A:K,4,FALSE) + IF(I809="Sí",VLOOKUP(D809,TARIFAS!A:K,5,FALSE),0)
      ),
      IF(H809="Presencial",
         VLOOKUP(D809,TARIFAS!A:K,9,FALSE) + IF(I809="Sí",VLOOKUP(D809,TARIFAS!A:K,11,FALSE),0),
         VLOOKUP(D809,TARIFAS!A:K,10,FALSE) + IF(I809="Sí",VLOOKUP(D809,TARIFAS!A:K,11,FALSE),0)
      )
   )
)
</f>
        <v>0</v>
      </c>
      <c r="U809" s="45">
        <f>IF(R809="",0,MAX(0,R809 - TARIFAS!G$2) * TARIFAS!F$2)
</f>
        <v>0</v>
      </c>
      <c r="V809" s="45">
        <f>+T809*TARIFAS!$K$2</f>
        <v>0</v>
      </c>
      <c r="W809" s="45">
        <f t="shared" si="2"/>
        <v>0</v>
      </c>
      <c r="X809" s="45">
        <f t="shared" si="3"/>
        <v>0</v>
      </c>
      <c r="Y809" s="45">
        <f t="shared" si="4"/>
        <v>0</v>
      </c>
      <c r="Z809" s="42" t="str">
        <f>CONFERENCIAS!AB809</f>
        <v/>
      </c>
      <c r="AA809" s="42" t="str">
        <f>CONFERENCIAS!AC809</f>
        <v/>
      </c>
      <c r="AB809" s="47" t="str">
        <f t="shared" si="5"/>
        <v/>
      </c>
      <c r="AC809" s="9" t="str">
        <f t="shared" si="6"/>
        <v/>
      </c>
    </row>
    <row r="810">
      <c r="A810" s="42" t="str">
        <f>CONFERENCIAS!A810</f>
        <v/>
      </c>
      <c r="D810" s="42" t="str">
        <f>CONFERENCIAS!C810</f>
        <v/>
      </c>
      <c r="E810" s="42" t="str">
        <f>CONFERENCIAS!K810</f>
        <v/>
      </c>
      <c r="F810" s="49" t="str">
        <f>CONFERENCIAS!J810</f>
        <v/>
      </c>
      <c r="G810" s="42" t="str">
        <f>CONFERENCIAS!O810</f>
        <v/>
      </c>
      <c r="H810" s="42" t="str">
        <f>CONFERENCIAS!X810</f>
        <v/>
      </c>
      <c r="I810" s="42" t="str">
        <f>CONFERENCIAS!AA810</f>
        <v/>
      </c>
      <c r="J810" s="44" t="str">
        <f>CONFERENCIAS!P810</f>
        <v/>
      </c>
      <c r="K810" s="45" t="str">
        <f>CONFERENCIAS!R810</f>
        <v/>
      </c>
      <c r="L810" s="45">
        <f>IF(D810="",0,
 IF(E810=1,
   IF(H810="Presencial",
      VLOOKUP(D810,TARIFAS!A:K,3,FALSE) + IF(I810="Sí",VLOOKUP(D810,TARIFAS!A:K,5,FALSE),0),
      VLOOKUP(D810,TARIFAS!A:K,4,FALSE) + IF(I810="Sí",VLOOKUP(D810,TARIFAS!A:K,5,FALSE),0)
   ),
   IF(H810="Presencial",
      VLOOKUP(D810,TARIFAS!A:K,9,FALSE) + IF(I810="Sí",VLOOKUP(D810,TARIFAS!A:K,11,FALSE),0),
      VLOOKUP(D810,TARIFAS!A:K,10,FALSE) + IF(I810="Sí",VLOOKUP(D810,TARIFAS!A:K,11,FALSE),0)
   )
 )
)
</f>
        <v>0</v>
      </c>
      <c r="M810" s="45">
        <f>IF(J810="",0,MAX(0,J810 - TARIFAS!G$2) * TARIFAS!F$2)
</f>
        <v>0</v>
      </c>
      <c r="N810" s="45">
        <f>+L810*TARIFAS!$K$2</f>
        <v>0</v>
      </c>
      <c r="O810" s="45">
        <f t="shared" si="1"/>
        <v>0</v>
      </c>
      <c r="P810" s="45">
        <f>+M810+O810+K810+(+I810-(I810*TARIFAS!$K$2))</f>
        <v>0</v>
      </c>
      <c r="Q810" s="42" t="str">
        <f>CONFERENCIAS!T810</f>
        <v/>
      </c>
      <c r="R810" s="45" t="str">
        <f>CONFERENCIAS!U810</f>
        <v/>
      </c>
      <c r="S810" s="45" t="str">
        <f>CONFERENCIAS!W810</f>
        <v/>
      </c>
      <c r="T810" s="48">
        <f>IF(Q810="",0,
   IF(E810=1,
      IF(H810="Presencial",
         VLOOKUP(D810,TARIFAS!A:K,3,FALSE) + IF(I810="Sí",VLOOKUP(D810,TARIFAS!A:K,5,FALSE),0),
         VLOOKUP(D810,TARIFAS!A:K,4,FALSE) + IF(I810="Sí",VLOOKUP(D810,TARIFAS!A:K,5,FALSE),0)
      ),
      IF(H810="Presencial",
         VLOOKUP(D810,TARIFAS!A:K,9,FALSE) + IF(I810="Sí",VLOOKUP(D810,TARIFAS!A:K,11,FALSE),0),
         VLOOKUP(D810,TARIFAS!A:K,10,FALSE) + IF(I810="Sí",VLOOKUP(D810,TARIFAS!A:K,11,FALSE),0)
      )
   )
)
</f>
        <v>0</v>
      </c>
      <c r="U810" s="45">
        <f>IF(R810="",0,MAX(0,R810 - TARIFAS!G$2) * TARIFAS!F$2)
</f>
        <v>0</v>
      </c>
      <c r="V810" s="45">
        <f>+T810*TARIFAS!$K$2</f>
        <v>0</v>
      </c>
      <c r="W810" s="45">
        <f t="shared" si="2"/>
        <v>0</v>
      </c>
      <c r="X810" s="45">
        <f t="shared" si="3"/>
        <v>0</v>
      </c>
      <c r="Y810" s="45">
        <f t="shared" si="4"/>
        <v>0</v>
      </c>
      <c r="Z810" s="42" t="str">
        <f>CONFERENCIAS!AB810</f>
        <v/>
      </c>
      <c r="AA810" s="42" t="str">
        <f>CONFERENCIAS!AC810</f>
        <v/>
      </c>
      <c r="AB810" s="47" t="str">
        <f t="shared" si="5"/>
        <v/>
      </c>
      <c r="AC810" s="9" t="str">
        <f t="shared" si="6"/>
        <v/>
      </c>
    </row>
    <row r="811">
      <c r="A811" s="42" t="str">
        <f>CONFERENCIAS!A811</f>
        <v/>
      </c>
      <c r="D811" s="42" t="str">
        <f>CONFERENCIAS!C811</f>
        <v/>
      </c>
      <c r="E811" s="42" t="str">
        <f>CONFERENCIAS!K811</f>
        <v/>
      </c>
      <c r="F811" s="49" t="str">
        <f>CONFERENCIAS!J811</f>
        <v/>
      </c>
      <c r="G811" s="42" t="str">
        <f>CONFERENCIAS!O811</f>
        <v/>
      </c>
      <c r="H811" s="42" t="str">
        <f>CONFERENCIAS!X811</f>
        <v/>
      </c>
      <c r="I811" s="42" t="str">
        <f>CONFERENCIAS!AA811</f>
        <v/>
      </c>
      <c r="J811" s="44" t="str">
        <f>CONFERENCIAS!P811</f>
        <v/>
      </c>
      <c r="K811" s="45" t="str">
        <f>CONFERENCIAS!R811</f>
        <v/>
      </c>
      <c r="L811" s="45">
        <f>IF(D811="",0,
 IF(E811=1,
   IF(H811="Presencial",
      VLOOKUP(D811,TARIFAS!A:K,3,FALSE) + IF(I811="Sí",VLOOKUP(D811,TARIFAS!A:K,5,FALSE),0),
      VLOOKUP(D811,TARIFAS!A:K,4,FALSE) + IF(I811="Sí",VLOOKUP(D811,TARIFAS!A:K,5,FALSE),0)
   ),
   IF(H811="Presencial",
      VLOOKUP(D811,TARIFAS!A:K,9,FALSE) + IF(I811="Sí",VLOOKUP(D811,TARIFAS!A:K,11,FALSE),0),
      VLOOKUP(D811,TARIFAS!A:K,10,FALSE) + IF(I811="Sí",VLOOKUP(D811,TARIFAS!A:K,11,FALSE),0)
   )
 )
)
</f>
        <v>0</v>
      </c>
      <c r="M811" s="45">
        <f>IF(J811="",0,MAX(0,J811 - TARIFAS!G$2) * TARIFAS!F$2)
</f>
        <v>0</v>
      </c>
      <c r="N811" s="45">
        <f>+L811*TARIFAS!$K$2</f>
        <v>0</v>
      </c>
      <c r="O811" s="45">
        <f t="shared" si="1"/>
        <v>0</v>
      </c>
      <c r="P811" s="45">
        <f>+M811+O811+K811+(+I811-(I811*TARIFAS!$K$2))</f>
        <v>0</v>
      </c>
      <c r="Q811" s="42" t="str">
        <f>CONFERENCIAS!T811</f>
        <v/>
      </c>
      <c r="R811" s="45" t="str">
        <f>CONFERENCIAS!U811</f>
        <v/>
      </c>
      <c r="S811" s="45" t="str">
        <f>CONFERENCIAS!W811</f>
        <v/>
      </c>
      <c r="T811" s="48">
        <f>IF(Q811="",0,
   IF(E811=1,
      IF(H811="Presencial",
         VLOOKUP(D811,TARIFAS!A:K,3,FALSE) + IF(I811="Sí",VLOOKUP(D811,TARIFAS!A:K,5,FALSE),0),
         VLOOKUP(D811,TARIFAS!A:K,4,FALSE) + IF(I811="Sí",VLOOKUP(D811,TARIFAS!A:K,5,FALSE),0)
      ),
      IF(H811="Presencial",
         VLOOKUP(D811,TARIFAS!A:K,9,FALSE) + IF(I811="Sí",VLOOKUP(D811,TARIFAS!A:K,11,FALSE),0),
         VLOOKUP(D811,TARIFAS!A:K,10,FALSE) + IF(I811="Sí",VLOOKUP(D811,TARIFAS!A:K,11,FALSE),0)
      )
   )
)
</f>
        <v>0</v>
      </c>
      <c r="U811" s="45">
        <f>IF(R811="",0,MAX(0,R811 - TARIFAS!G$2) * TARIFAS!F$2)
</f>
        <v>0</v>
      </c>
      <c r="V811" s="45">
        <f>+T811*TARIFAS!$K$2</f>
        <v>0</v>
      </c>
      <c r="W811" s="45">
        <f t="shared" si="2"/>
        <v>0</v>
      </c>
      <c r="X811" s="45">
        <f t="shared" si="3"/>
        <v>0</v>
      </c>
      <c r="Y811" s="45">
        <f t="shared" si="4"/>
        <v>0</v>
      </c>
      <c r="Z811" s="42" t="str">
        <f>CONFERENCIAS!AB811</f>
        <v/>
      </c>
      <c r="AA811" s="42" t="str">
        <f>CONFERENCIAS!AC811</f>
        <v/>
      </c>
      <c r="AB811" s="47" t="str">
        <f t="shared" si="5"/>
        <v/>
      </c>
      <c r="AC811" s="9" t="str">
        <f t="shared" si="6"/>
        <v/>
      </c>
    </row>
    <row r="812">
      <c r="A812" s="42" t="str">
        <f>CONFERENCIAS!A812</f>
        <v/>
      </c>
      <c r="D812" s="42" t="str">
        <f>CONFERENCIAS!C812</f>
        <v/>
      </c>
      <c r="E812" s="42" t="str">
        <f>CONFERENCIAS!K812</f>
        <v/>
      </c>
      <c r="F812" s="49" t="str">
        <f>CONFERENCIAS!J812</f>
        <v/>
      </c>
      <c r="G812" s="42" t="str">
        <f>CONFERENCIAS!O812</f>
        <v/>
      </c>
      <c r="H812" s="42" t="str">
        <f>CONFERENCIAS!X812</f>
        <v/>
      </c>
      <c r="I812" s="42" t="str">
        <f>CONFERENCIAS!AA812</f>
        <v/>
      </c>
      <c r="J812" s="44" t="str">
        <f>CONFERENCIAS!P812</f>
        <v/>
      </c>
      <c r="K812" s="45" t="str">
        <f>CONFERENCIAS!R812</f>
        <v/>
      </c>
      <c r="L812" s="45">
        <f>IF(D812="",0,
 IF(E812=1,
   IF(H812="Presencial",
      VLOOKUP(D812,TARIFAS!A:K,3,FALSE) + IF(I812="Sí",VLOOKUP(D812,TARIFAS!A:K,5,FALSE),0),
      VLOOKUP(D812,TARIFAS!A:K,4,FALSE) + IF(I812="Sí",VLOOKUP(D812,TARIFAS!A:K,5,FALSE),0)
   ),
   IF(H812="Presencial",
      VLOOKUP(D812,TARIFAS!A:K,9,FALSE) + IF(I812="Sí",VLOOKUP(D812,TARIFAS!A:K,11,FALSE),0),
      VLOOKUP(D812,TARIFAS!A:K,10,FALSE) + IF(I812="Sí",VLOOKUP(D812,TARIFAS!A:K,11,FALSE),0)
   )
 )
)
</f>
        <v>0</v>
      </c>
      <c r="M812" s="45">
        <f>IF(J812="",0,MAX(0,J812 - TARIFAS!G$2) * TARIFAS!F$2)
</f>
        <v>0</v>
      </c>
      <c r="N812" s="45">
        <f>+L812*TARIFAS!$K$2</f>
        <v>0</v>
      </c>
      <c r="O812" s="45">
        <f t="shared" si="1"/>
        <v>0</v>
      </c>
      <c r="P812" s="45">
        <f>+M812+O812+K812+(+I812-(I812*TARIFAS!$K$2))</f>
        <v>0</v>
      </c>
      <c r="Q812" s="42" t="str">
        <f>CONFERENCIAS!T812</f>
        <v/>
      </c>
      <c r="R812" s="45" t="str">
        <f>CONFERENCIAS!U812</f>
        <v/>
      </c>
      <c r="S812" s="45" t="str">
        <f>CONFERENCIAS!W812</f>
        <v/>
      </c>
      <c r="T812" s="48">
        <f>IF(Q812="",0,
   IF(E812=1,
      IF(H812="Presencial",
         VLOOKUP(D812,TARIFAS!A:K,3,FALSE) + IF(I812="Sí",VLOOKUP(D812,TARIFAS!A:K,5,FALSE),0),
         VLOOKUP(D812,TARIFAS!A:K,4,FALSE) + IF(I812="Sí",VLOOKUP(D812,TARIFAS!A:K,5,FALSE),0)
      ),
      IF(H812="Presencial",
         VLOOKUP(D812,TARIFAS!A:K,9,FALSE) + IF(I812="Sí",VLOOKUP(D812,TARIFAS!A:K,11,FALSE),0),
         VLOOKUP(D812,TARIFAS!A:K,10,FALSE) + IF(I812="Sí",VLOOKUP(D812,TARIFAS!A:K,11,FALSE),0)
      )
   )
)
</f>
        <v>0</v>
      </c>
      <c r="U812" s="45">
        <f>IF(R812="",0,MAX(0,R812 - TARIFAS!G$2) * TARIFAS!F$2)
</f>
        <v>0</v>
      </c>
      <c r="V812" s="45">
        <f>+T812*TARIFAS!$K$2</f>
        <v>0</v>
      </c>
      <c r="W812" s="45">
        <f t="shared" si="2"/>
        <v>0</v>
      </c>
      <c r="X812" s="45">
        <f t="shared" si="3"/>
        <v>0</v>
      </c>
      <c r="Y812" s="45">
        <f t="shared" si="4"/>
        <v>0</v>
      </c>
      <c r="Z812" s="42" t="str">
        <f>CONFERENCIAS!AB812</f>
        <v/>
      </c>
      <c r="AA812" s="42" t="str">
        <f>CONFERENCIAS!AC812</f>
        <v/>
      </c>
      <c r="AB812" s="47" t="str">
        <f t="shared" si="5"/>
        <v/>
      </c>
      <c r="AC812" s="9" t="str">
        <f t="shared" si="6"/>
        <v/>
      </c>
    </row>
    <row r="813">
      <c r="A813" s="42" t="str">
        <f>CONFERENCIAS!A813</f>
        <v/>
      </c>
      <c r="D813" s="42" t="str">
        <f>CONFERENCIAS!C813</f>
        <v/>
      </c>
      <c r="E813" s="42" t="str">
        <f>CONFERENCIAS!K813</f>
        <v/>
      </c>
      <c r="F813" s="49" t="str">
        <f>CONFERENCIAS!J813</f>
        <v/>
      </c>
      <c r="G813" s="42" t="str">
        <f>CONFERENCIAS!O813</f>
        <v/>
      </c>
      <c r="H813" s="42" t="str">
        <f>CONFERENCIAS!X813</f>
        <v/>
      </c>
      <c r="I813" s="42" t="str">
        <f>CONFERENCIAS!AA813</f>
        <v/>
      </c>
      <c r="J813" s="44" t="str">
        <f>CONFERENCIAS!P813</f>
        <v/>
      </c>
      <c r="K813" s="45" t="str">
        <f>CONFERENCIAS!R813</f>
        <v/>
      </c>
      <c r="L813" s="45">
        <f>IF(D813="",0,
 IF(E813=1,
   IF(H813="Presencial",
      VLOOKUP(D813,TARIFAS!A:K,3,FALSE) + IF(I813="Sí",VLOOKUP(D813,TARIFAS!A:K,5,FALSE),0),
      VLOOKUP(D813,TARIFAS!A:K,4,FALSE) + IF(I813="Sí",VLOOKUP(D813,TARIFAS!A:K,5,FALSE),0)
   ),
   IF(H813="Presencial",
      VLOOKUP(D813,TARIFAS!A:K,9,FALSE) + IF(I813="Sí",VLOOKUP(D813,TARIFAS!A:K,11,FALSE),0),
      VLOOKUP(D813,TARIFAS!A:K,10,FALSE) + IF(I813="Sí",VLOOKUP(D813,TARIFAS!A:K,11,FALSE),0)
   )
 )
)
</f>
        <v>0</v>
      </c>
      <c r="M813" s="45">
        <f>IF(J813="",0,MAX(0,J813 - TARIFAS!G$2) * TARIFAS!F$2)
</f>
        <v>0</v>
      </c>
      <c r="N813" s="45">
        <f>+L813*TARIFAS!$K$2</f>
        <v>0</v>
      </c>
      <c r="O813" s="45">
        <f t="shared" si="1"/>
        <v>0</v>
      </c>
      <c r="P813" s="45">
        <f>+M813+O813+K813+(+I813-(I813*TARIFAS!$K$2))</f>
        <v>0</v>
      </c>
      <c r="Q813" s="42" t="str">
        <f>CONFERENCIAS!T813</f>
        <v/>
      </c>
      <c r="R813" s="45" t="str">
        <f>CONFERENCIAS!U813</f>
        <v/>
      </c>
      <c r="S813" s="45" t="str">
        <f>CONFERENCIAS!W813</f>
        <v/>
      </c>
      <c r="T813" s="48">
        <f>IF(Q813="",0,
   IF(E813=1,
      IF(H813="Presencial",
         VLOOKUP(D813,TARIFAS!A:K,3,FALSE) + IF(I813="Sí",VLOOKUP(D813,TARIFAS!A:K,5,FALSE),0),
         VLOOKUP(D813,TARIFAS!A:K,4,FALSE) + IF(I813="Sí",VLOOKUP(D813,TARIFAS!A:K,5,FALSE),0)
      ),
      IF(H813="Presencial",
         VLOOKUP(D813,TARIFAS!A:K,9,FALSE) + IF(I813="Sí",VLOOKUP(D813,TARIFAS!A:K,11,FALSE),0),
         VLOOKUP(D813,TARIFAS!A:K,10,FALSE) + IF(I813="Sí",VLOOKUP(D813,TARIFAS!A:K,11,FALSE),0)
      )
   )
)
</f>
        <v>0</v>
      </c>
      <c r="U813" s="45">
        <f>IF(R813="",0,MAX(0,R813 - TARIFAS!G$2) * TARIFAS!F$2)
</f>
        <v>0</v>
      </c>
      <c r="V813" s="45">
        <f>+T813*TARIFAS!$K$2</f>
        <v>0</v>
      </c>
      <c r="W813" s="45">
        <f t="shared" si="2"/>
        <v>0</v>
      </c>
      <c r="X813" s="45">
        <f t="shared" si="3"/>
        <v>0</v>
      </c>
      <c r="Y813" s="45">
        <f t="shared" si="4"/>
        <v>0</v>
      </c>
      <c r="Z813" s="42" t="str">
        <f>CONFERENCIAS!AB813</f>
        <v/>
      </c>
      <c r="AA813" s="42" t="str">
        <f>CONFERENCIAS!AC813</f>
        <v/>
      </c>
      <c r="AB813" s="47" t="str">
        <f t="shared" si="5"/>
        <v/>
      </c>
      <c r="AC813" s="9" t="str">
        <f t="shared" si="6"/>
        <v/>
      </c>
    </row>
    <row r="814">
      <c r="A814" s="42" t="str">
        <f>CONFERENCIAS!A814</f>
        <v/>
      </c>
      <c r="D814" s="42" t="str">
        <f>CONFERENCIAS!C814</f>
        <v/>
      </c>
      <c r="E814" s="42" t="str">
        <f>CONFERENCIAS!K814</f>
        <v/>
      </c>
      <c r="F814" s="49" t="str">
        <f>CONFERENCIAS!J814</f>
        <v/>
      </c>
      <c r="G814" s="42" t="str">
        <f>CONFERENCIAS!O814</f>
        <v/>
      </c>
      <c r="H814" s="42" t="str">
        <f>CONFERENCIAS!X814</f>
        <v/>
      </c>
      <c r="I814" s="42" t="str">
        <f>CONFERENCIAS!AA814</f>
        <v/>
      </c>
      <c r="J814" s="44" t="str">
        <f>CONFERENCIAS!P814</f>
        <v/>
      </c>
      <c r="K814" s="45" t="str">
        <f>CONFERENCIAS!R814</f>
        <v/>
      </c>
      <c r="L814" s="45">
        <f>IF(D814="",0,
 IF(E814=1,
   IF(H814="Presencial",
      VLOOKUP(D814,TARIFAS!A:K,3,FALSE) + IF(I814="Sí",VLOOKUP(D814,TARIFAS!A:K,5,FALSE),0),
      VLOOKUP(D814,TARIFAS!A:K,4,FALSE) + IF(I814="Sí",VLOOKUP(D814,TARIFAS!A:K,5,FALSE),0)
   ),
   IF(H814="Presencial",
      VLOOKUP(D814,TARIFAS!A:K,9,FALSE) + IF(I814="Sí",VLOOKUP(D814,TARIFAS!A:K,11,FALSE),0),
      VLOOKUP(D814,TARIFAS!A:K,10,FALSE) + IF(I814="Sí",VLOOKUP(D814,TARIFAS!A:K,11,FALSE),0)
   )
 )
)
</f>
        <v>0</v>
      </c>
      <c r="M814" s="45">
        <f>IF(J814="",0,MAX(0,J814 - TARIFAS!G$2) * TARIFAS!F$2)
</f>
        <v>0</v>
      </c>
      <c r="N814" s="45">
        <f>+L814*TARIFAS!$K$2</f>
        <v>0</v>
      </c>
      <c r="O814" s="45">
        <f t="shared" si="1"/>
        <v>0</v>
      </c>
      <c r="P814" s="45">
        <f>+M814+O814+K814+(+I814-(I814*TARIFAS!$K$2))</f>
        <v>0</v>
      </c>
      <c r="Q814" s="42" t="str">
        <f>CONFERENCIAS!T814</f>
        <v/>
      </c>
      <c r="R814" s="45" t="str">
        <f>CONFERENCIAS!U814</f>
        <v/>
      </c>
      <c r="S814" s="45" t="str">
        <f>CONFERENCIAS!W814</f>
        <v/>
      </c>
      <c r="T814" s="48">
        <f>IF(Q814="",0,
   IF(E814=1,
      IF(H814="Presencial",
         VLOOKUP(D814,TARIFAS!A:K,3,FALSE) + IF(I814="Sí",VLOOKUP(D814,TARIFAS!A:K,5,FALSE),0),
         VLOOKUP(D814,TARIFAS!A:K,4,FALSE) + IF(I814="Sí",VLOOKUP(D814,TARIFAS!A:K,5,FALSE),0)
      ),
      IF(H814="Presencial",
         VLOOKUP(D814,TARIFAS!A:K,9,FALSE) + IF(I814="Sí",VLOOKUP(D814,TARIFAS!A:K,11,FALSE),0),
         VLOOKUP(D814,TARIFAS!A:K,10,FALSE) + IF(I814="Sí",VLOOKUP(D814,TARIFAS!A:K,11,FALSE),0)
      )
   )
)
</f>
        <v>0</v>
      </c>
      <c r="U814" s="45">
        <f>IF(R814="",0,MAX(0,R814 - TARIFAS!G$2) * TARIFAS!F$2)
</f>
        <v>0</v>
      </c>
      <c r="V814" s="45">
        <f>+T814*TARIFAS!$K$2</f>
        <v>0</v>
      </c>
      <c r="W814" s="45">
        <f t="shared" si="2"/>
        <v>0</v>
      </c>
      <c r="X814" s="45">
        <f t="shared" si="3"/>
        <v>0</v>
      </c>
      <c r="Y814" s="45">
        <f t="shared" si="4"/>
        <v>0</v>
      </c>
      <c r="Z814" s="42" t="str">
        <f>CONFERENCIAS!AB814</f>
        <v/>
      </c>
      <c r="AA814" s="42" t="str">
        <f>CONFERENCIAS!AC814</f>
        <v/>
      </c>
      <c r="AB814" s="47" t="str">
        <f t="shared" si="5"/>
        <v/>
      </c>
      <c r="AC814" s="9" t="str">
        <f t="shared" si="6"/>
        <v/>
      </c>
    </row>
    <row r="815">
      <c r="A815" s="42" t="str">
        <f>CONFERENCIAS!A815</f>
        <v/>
      </c>
      <c r="D815" s="42" t="str">
        <f>CONFERENCIAS!C815</f>
        <v/>
      </c>
      <c r="E815" s="42" t="str">
        <f>CONFERENCIAS!K815</f>
        <v/>
      </c>
      <c r="F815" s="49" t="str">
        <f>CONFERENCIAS!J815</f>
        <v/>
      </c>
      <c r="G815" s="42" t="str">
        <f>CONFERENCIAS!O815</f>
        <v/>
      </c>
      <c r="H815" s="42" t="str">
        <f>CONFERENCIAS!X815</f>
        <v/>
      </c>
      <c r="I815" s="42" t="str">
        <f>CONFERENCIAS!AA815</f>
        <v/>
      </c>
      <c r="J815" s="44" t="str">
        <f>CONFERENCIAS!P815</f>
        <v/>
      </c>
      <c r="K815" s="45" t="str">
        <f>CONFERENCIAS!R815</f>
        <v/>
      </c>
      <c r="L815" s="45">
        <f>IF(D815="",0,
 IF(E815=1,
   IF(H815="Presencial",
      VLOOKUP(D815,TARIFAS!A:K,3,FALSE) + IF(I815="Sí",VLOOKUP(D815,TARIFAS!A:K,5,FALSE),0),
      VLOOKUP(D815,TARIFAS!A:K,4,FALSE) + IF(I815="Sí",VLOOKUP(D815,TARIFAS!A:K,5,FALSE),0)
   ),
   IF(H815="Presencial",
      VLOOKUP(D815,TARIFAS!A:K,9,FALSE) + IF(I815="Sí",VLOOKUP(D815,TARIFAS!A:K,11,FALSE),0),
      VLOOKUP(D815,TARIFAS!A:K,10,FALSE) + IF(I815="Sí",VLOOKUP(D815,TARIFAS!A:K,11,FALSE),0)
   )
 )
)
</f>
        <v>0</v>
      </c>
      <c r="M815" s="45">
        <f>IF(J815="",0,MAX(0,J815 - TARIFAS!G$2) * TARIFAS!F$2)
</f>
        <v>0</v>
      </c>
      <c r="N815" s="45">
        <f>+L815*TARIFAS!$K$2</f>
        <v>0</v>
      </c>
      <c r="O815" s="45">
        <f t="shared" si="1"/>
        <v>0</v>
      </c>
      <c r="P815" s="45">
        <f>+M815+O815+K815+(+I815-(I815*TARIFAS!$K$2))</f>
        <v>0</v>
      </c>
      <c r="Q815" s="42" t="str">
        <f>CONFERENCIAS!T815</f>
        <v/>
      </c>
      <c r="R815" s="45" t="str">
        <f>CONFERENCIAS!U815</f>
        <v/>
      </c>
      <c r="S815" s="45" t="str">
        <f>CONFERENCIAS!W815</f>
        <v/>
      </c>
      <c r="T815" s="48">
        <f>IF(Q815="",0,
   IF(E815=1,
      IF(H815="Presencial",
         VLOOKUP(D815,TARIFAS!A:K,3,FALSE) + IF(I815="Sí",VLOOKUP(D815,TARIFAS!A:K,5,FALSE),0),
         VLOOKUP(D815,TARIFAS!A:K,4,FALSE) + IF(I815="Sí",VLOOKUP(D815,TARIFAS!A:K,5,FALSE),0)
      ),
      IF(H815="Presencial",
         VLOOKUP(D815,TARIFAS!A:K,9,FALSE) + IF(I815="Sí",VLOOKUP(D815,TARIFAS!A:K,11,FALSE),0),
         VLOOKUP(D815,TARIFAS!A:K,10,FALSE) + IF(I815="Sí",VLOOKUP(D815,TARIFAS!A:K,11,FALSE),0)
      )
   )
)
</f>
        <v>0</v>
      </c>
      <c r="U815" s="45">
        <f>IF(R815="",0,MAX(0,R815 - TARIFAS!G$2) * TARIFAS!F$2)
</f>
        <v>0</v>
      </c>
      <c r="V815" s="45">
        <f>+T815*TARIFAS!$K$2</f>
        <v>0</v>
      </c>
      <c r="W815" s="45">
        <f t="shared" si="2"/>
        <v>0</v>
      </c>
      <c r="X815" s="45">
        <f t="shared" si="3"/>
        <v>0</v>
      </c>
      <c r="Y815" s="45">
        <f t="shared" si="4"/>
        <v>0</v>
      </c>
      <c r="Z815" s="42" t="str">
        <f>CONFERENCIAS!AB815</f>
        <v/>
      </c>
      <c r="AA815" s="42" t="str">
        <f>CONFERENCIAS!AC815</f>
        <v/>
      </c>
      <c r="AB815" s="47" t="str">
        <f t="shared" si="5"/>
        <v/>
      </c>
      <c r="AC815" s="9" t="str">
        <f t="shared" si="6"/>
        <v/>
      </c>
    </row>
    <row r="816">
      <c r="A816" s="42" t="str">
        <f>CONFERENCIAS!A816</f>
        <v/>
      </c>
      <c r="D816" s="42" t="str">
        <f>CONFERENCIAS!C816</f>
        <v/>
      </c>
      <c r="E816" s="42" t="str">
        <f>CONFERENCIAS!K816</f>
        <v/>
      </c>
      <c r="F816" s="49" t="str">
        <f>CONFERENCIAS!J816</f>
        <v/>
      </c>
      <c r="G816" s="42" t="str">
        <f>CONFERENCIAS!O816</f>
        <v/>
      </c>
      <c r="H816" s="42" t="str">
        <f>CONFERENCIAS!X816</f>
        <v/>
      </c>
      <c r="I816" s="42" t="str">
        <f>CONFERENCIAS!AA816</f>
        <v/>
      </c>
      <c r="J816" s="44" t="str">
        <f>CONFERENCIAS!P816</f>
        <v/>
      </c>
      <c r="K816" s="45" t="str">
        <f>CONFERENCIAS!R816</f>
        <v/>
      </c>
      <c r="L816" s="45">
        <f>IF(D816="",0,
 IF(E816=1,
   IF(H816="Presencial",
      VLOOKUP(D816,TARIFAS!A:K,3,FALSE) + IF(I816="Sí",VLOOKUP(D816,TARIFAS!A:K,5,FALSE),0),
      VLOOKUP(D816,TARIFAS!A:K,4,FALSE) + IF(I816="Sí",VLOOKUP(D816,TARIFAS!A:K,5,FALSE),0)
   ),
   IF(H816="Presencial",
      VLOOKUP(D816,TARIFAS!A:K,9,FALSE) + IF(I816="Sí",VLOOKUP(D816,TARIFAS!A:K,11,FALSE),0),
      VLOOKUP(D816,TARIFAS!A:K,10,FALSE) + IF(I816="Sí",VLOOKUP(D816,TARIFAS!A:K,11,FALSE),0)
   )
 )
)
</f>
        <v>0</v>
      </c>
      <c r="M816" s="45">
        <f>IF(J816="",0,MAX(0,J816 - TARIFAS!G$2) * TARIFAS!F$2)
</f>
        <v>0</v>
      </c>
      <c r="N816" s="45">
        <f>+L816*TARIFAS!$K$2</f>
        <v>0</v>
      </c>
      <c r="O816" s="45">
        <f t="shared" si="1"/>
        <v>0</v>
      </c>
      <c r="P816" s="45">
        <f>+M816+O816+K816+(+I816-(I816*TARIFAS!$K$2))</f>
        <v>0</v>
      </c>
      <c r="Q816" s="42" t="str">
        <f>CONFERENCIAS!T816</f>
        <v/>
      </c>
      <c r="R816" s="45" t="str">
        <f>CONFERENCIAS!U816</f>
        <v/>
      </c>
      <c r="S816" s="45" t="str">
        <f>CONFERENCIAS!W816</f>
        <v/>
      </c>
      <c r="T816" s="48">
        <f>IF(Q816="",0,
   IF(E816=1,
      IF(H816="Presencial",
         VLOOKUP(D816,TARIFAS!A:K,3,FALSE) + IF(I816="Sí",VLOOKUP(D816,TARIFAS!A:K,5,FALSE),0),
         VLOOKUP(D816,TARIFAS!A:K,4,FALSE) + IF(I816="Sí",VLOOKUP(D816,TARIFAS!A:K,5,FALSE),0)
      ),
      IF(H816="Presencial",
         VLOOKUP(D816,TARIFAS!A:K,9,FALSE) + IF(I816="Sí",VLOOKUP(D816,TARIFAS!A:K,11,FALSE),0),
         VLOOKUP(D816,TARIFAS!A:K,10,FALSE) + IF(I816="Sí",VLOOKUP(D816,TARIFAS!A:K,11,FALSE),0)
      )
   )
)
</f>
        <v>0</v>
      </c>
      <c r="U816" s="45">
        <f>IF(R816="",0,MAX(0,R816 - TARIFAS!G$2) * TARIFAS!F$2)
</f>
        <v>0</v>
      </c>
      <c r="V816" s="45">
        <f>+T816*TARIFAS!$K$2</f>
        <v>0</v>
      </c>
      <c r="W816" s="45">
        <f t="shared" si="2"/>
        <v>0</v>
      </c>
      <c r="X816" s="45">
        <f t="shared" si="3"/>
        <v>0</v>
      </c>
      <c r="Y816" s="45">
        <f t="shared" si="4"/>
        <v>0</v>
      </c>
      <c r="Z816" s="42" t="str">
        <f>CONFERENCIAS!AB816</f>
        <v/>
      </c>
      <c r="AA816" s="42" t="str">
        <f>CONFERENCIAS!AC816</f>
        <v/>
      </c>
      <c r="AB816" s="47" t="str">
        <f t="shared" si="5"/>
        <v/>
      </c>
      <c r="AC816" s="9" t="str">
        <f t="shared" si="6"/>
        <v/>
      </c>
    </row>
    <row r="817">
      <c r="A817" s="42" t="str">
        <f>CONFERENCIAS!A817</f>
        <v/>
      </c>
      <c r="D817" s="42" t="str">
        <f>CONFERENCIAS!C817</f>
        <v/>
      </c>
      <c r="E817" s="42" t="str">
        <f>CONFERENCIAS!K817</f>
        <v/>
      </c>
      <c r="F817" s="49" t="str">
        <f>CONFERENCIAS!J817</f>
        <v/>
      </c>
      <c r="G817" s="42" t="str">
        <f>CONFERENCIAS!O817</f>
        <v/>
      </c>
      <c r="H817" s="42" t="str">
        <f>CONFERENCIAS!X817</f>
        <v/>
      </c>
      <c r="I817" s="42" t="str">
        <f>CONFERENCIAS!AA817</f>
        <v/>
      </c>
      <c r="J817" s="44" t="str">
        <f>CONFERENCIAS!P817</f>
        <v/>
      </c>
      <c r="K817" s="45" t="str">
        <f>CONFERENCIAS!R817</f>
        <v/>
      </c>
      <c r="L817" s="45">
        <f>IF(D817="",0,
 IF(E817=1,
   IF(H817="Presencial",
      VLOOKUP(D817,TARIFAS!A:K,3,FALSE) + IF(I817="Sí",VLOOKUP(D817,TARIFAS!A:K,5,FALSE),0),
      VLOOKUP(D817,TARIFAS!A:K,4,FALSE) + IF(I817="Sí",VLOOKUP(D817,TARIFAS!A:K,5,FALSE),0)
   ),
   IF(H817="Presencial",
      VLOOKUP(D817,TARIFAS!A:K,9,FALSE) + IF(I817="Sí",VLOOKUP(D817,TARIFAS!A:K,11,FALSE),0),
      VLOOKUP(D817,TARIFAS!A:K,10,FALSE) + IF(I817="Sí",VLOOKUP(D817,TARIFAS!A:K,11,FALSE),0)
   )
 )
)
</f>
        <v>0</v>
      </c>
      <c r="M817" s="45">
        <f>IF(J817="",0,MAX(0,J817 - TARIFAS!G$2) * TARIFAS!F$2)
</f>
        <v>0</v>
      </c>
      <c r="N817" s="45">
        <f>+L817*TARIFAS!$K$2</f>
        <v>0</v>
      </c>
      <c r="O817" s="45">
        <f t="shared" si="1"/>
        <v>0</v>
      </c>
      <c r="P817" s="45">
        <f>+M817+O817+K817+(+I817-(I817*TARIFAS!$K$2))</f>
        <v>0</v>
      </c>
      <c r="Q817" s="42" t="str">
        <f>CONFERENCIAS!T817</f>
        <v/>
      </c>
      <c r="R817" s="45" t="str">
        <f>CONFERENCIAS!U817</f>
        <v/>
      </c>
      <c r="S817" s="45" t="str">
        <f>CONFERENCIAS!W817</f>
        <v/>
      </c>
      <c r="T817" s="48">
        <f>IF(Q817="",0,
   IF(E817=1,
      IF(H817="Presencial",
         VLOOKUP(D817,TARIFAS!A:K,3,FALSE) + IF(I817="Sí",VLOOKUP(D817,TARIFAS!A:K,5,FALSE),0),
         VLOOKUP(D817,TARIFAS!A:K,4,FALSE) + IF(I817="Sí",VLOOKUP(D817,TARIFAS!A:K,5,FALSE),0)
      ),
      IF(H817="Presencial",
         VLOOKUP(D817,TARIFAS!A:K,9,FALSE) + IF(I817="Sí",VLOOKUP(D817,TARIFAS!A:K,11,FALSE),0),
         VLOOKUP(D817,TARIFAS!A:K,10,FALSE) + IF(I817="Sí",VLOOKUP(D817,TARIFAS!A:K,11,FALSE),0)
      )
   )
)
</f>
        <v>0</v>
      </c>
      <c r="U817" s="45">
        <f>IF(R817="",0,MAX(0,R817 - TARIFAS!G$2) * TARIFAS!F$2)
</f>
        <v>0</v>
      </c>
      <c r="V817" s="45">
        <f>+T817*TARIFAS!$K$2</f>
        <v>0</v>
      </c>
      <c r="W817" s="45">
        <f t="shared" si="2"/>
        <v>0</v>
      </c>
      <c r="X817" s="45">
        <f t="shared" si="3"/>
        <v>0</v>
      </c>
      <c r="Y817" s="45">
        <f t="shared" si="4"/>
        <v>0</v>
      </c>
      <c r="Z817" s="42" t="str">
        <f>CONFERENCIAS!AB817</f>
        <v/>
      </c>
      <c r="AA817" s="42" t="str">
        <f>CONFERENCIAS!AC817</f>
        <v/>
      </c>
      <c r="AB817" s="47" t="str">
        <f t="shared" si="5"/>
        <v/>
      </c>
      <c r="AC817" s="9" t="str">
        <f t="shared" si="6"/>
        <v/>
      </c>
    </row>
    <row r="818">
      <c r="A818" s="42" t="str">
        <f>CONFERENCIAS!A818</f>
        <v/>
      </c>
      <c r="D818" s="42" t="str">
        <f>CONFERENCIAS!C818</f>
        <v/>
      </c>
      <c r="E818" s="42" t="str">
        <f>CONFERENCIAS!K818</f>
        <v/>
      </c>
      <c r="F818" s="49" t="str">
        <f>CONFERENCIAS!J818</f>
        <v/>
      </c>
      <c r="G818" s="42" t="str">
        <f>CONFERENCIAS!O818</f>
        <v/>
      </c>
      <c r="H818" s="42" t="str">
        <f>CONFERENCIAS!X818</f>
        <v/>
      </c>
      <c r="I818" s="42" t="str">
        <f>CONFERENCIAS!AA818</f>
        <v/>
      </c>
      <c r="J818" s="44" t="str">
        <f>CONFERENCIAS!P818</f>
        <v/>
      </c>
      <c r="K818" s="45" t="str">
        <f>CONFERENCIAS!R818</f>
        <v/>
      </c>
      <c r="L818" s="45">
        <f>IF(D818="",0,
 IF(E818=1,
   IF(H818="Presencial",
      VLOOKUP(D818,TARIFAS!A:K,3,FALSE) + IF(I818="Sí",VLOOKUP(D818,TARIFAS!A:K,5,FALSE),0),
      VLOOKUP(D818,TARIFAS!A:K,4,FALSE) + IF(I818="Sí",VLOOKUP(D818,TARIFAS!A:K,5,FALSE),0)
   ),
   IF(H818="Presencial",
      VLOOKUP(D818,TARIFAS!A:K,9,FALSE) + IF(I818="Sí",VLOOKUP(D818,TARIFAS!A:K,11,FALSE),0),
      VLOOKUP(D818,TARIFAS!A:K,10,FALSE) + IF(I818="Sí",VLOOKUP(D818,TARIFAS!A:K,11,FALSE),0)
   )
 )
)
</f>
        <v>0</v>
      </c>
      <c r="M818" s="45">
        <f>IF(J818="",0,MAX(0,J818 - TARIFAS!G$2) * TARIFAS!F$2)
</f>
        <v>0</v>
      </c>
      <c r="N818" s="45">
        <f>+L818*TARIFAS!$K$2</f>
        <v>0</v>
      </c>
      <c r="O818" s="45">
        <f t="shared" si="1"/>
        <v>0</v>
      </c>
      <c r="P818" s="45">
        <f>+M818+O818+K818+(+I818-(I818*TARIFAS!$K$2))</f>
        <v>0</v>
      </c>
      <c r="Q818" s="42" t="str">
        <f>CONFERENCIAS!T818</f>
        <v/>
      </c>
      <c r="R818" s="45" t="str">
        <f>CONFERENCIAS!U818</f>
        <v/>
      </c>
      <c r="S818" s="45" t="str">
        <f>CONFERENCIAS!W818</f>
        <v/>
      </c>
      <c r="T818" s="48">
        <f>IF(Q818="",0,
   IF(E818=1,
      IF(H818="Presencial",
         VLOOKUP(D818,TARIFAS!A:K,3,FALSE) + IF(I818="Sí",VLOOKUP(D818,TARIFAS!A:K,5,FALSE),0),
         VLOOKUP(D818,TARIFAS!A:K,4,FALSE) + IF(I818="Sí",VLOOKUP(D818,TARIFAS!A:K,5,FALSE),0)
      ),
      IF(H818="Presencial",
         VLOOKUP(D818,TARIFAS!A:K,9,FALSE) + IF(I818="Sí",VLOOKUP(D818,TARIFAS!A:K,11,FALSE),0),
         VLOOKUP(D818,TARIFAS!A:K,10,FALSE) + IF(I818="Sí",VLOOKUP(D818,TARIFAS!A:K,11,FALSE),0)
      )
   )
)
</f>
        <v>0</v>
      </c>
      <c r="U818" s="45">
        <f>IF(R818="",0,MAX(0,R818 - TARIFAS!G$2) * TARIFAS!F$2)
</f>
        <v>0</v>
      </c>
      <c r="V818" s="45">
        <f>+T818*TARIFAS!$K$2</f>
        <v>0</v>
      </c>
      <c r="W818" s="45">
        <f t="shared" si="2"/>
        <v>0</v>
      </c>
      <c r="X818" s="45">
        <f t="shared" si="3"/>
        <v>0</v>
      </c>
      <c r="Y818" s="45">
        <f t="shared" si="4"/>
        <v>0</v>
      </c>
      <c r="Z818" s="42" t="str">
        <f>CONFERENCIAS!AB818</f>
        <v/>
      </c>
      <c r="AA818" s="42" t="str">
        <f>CONFERENCIAS!AC818</f>
        <v/>
      </c>
      <c r="AB818" s="47" t="str">
        <f t="shared" si="5"/>
        <v/>
      </c>
      <c r="AC818" s="9" t="str">
        <f t="shared" si="6"/>
        <v/>
      </c>
    </row>
    <row r="819">
      <c r="A819" s="42" t="str">
        <f>CONFERENCIAS!A819</f>
        <v/>
      </c>
      <c r="D819" s="42" t="str">
        <f>CONFERENCIAS!C819</f>
        <v/>
      </c>
      <c r="E819" s="42" t="str">
        <f>CONFERENCIAS!K819</f>
        <v/>
      </c>
      <c r="F819" s="49" t="str">
        <f>CONFERENCIAS!J819</f>
        <v/>
      </c>
      <c r="G819" s="42" t="str">
        <f>CONFERENCIAS!O819</f>
        <v/>
      </c>
      <c r="H819" s="42" t="str">
        <f>CONFERENCIAS!X819</f>
        <v/>
      </c>
      <c r="I819" s="42" t="str">
        <f>CONFERENCIAS!AA819</f>
        <v/>
      </c>
      <c r="J819" s="44" t="str">
        <f>CONFERENCIAS!P819</f>
        <v/>
      </c>
      <c r="K819" s="45" t="str">
        <f>CONFERENCIAS!R819</f>
        <v/>
      </c>
      <c r="L819" s="45">
        <f>IF(D819="",0,
 IF(E819=1,
   IF(H819="Presencial",
      VLOOKUP(D819,TARIFAS!A:K,3,FALSE) + IF(I819="Sí",VLOOKUP(D819,TARIFAS!A:K,5,FALSE),0),
      VLOOKUP(D819,TARIFAS!A:K,4,FALSE) + IF(I819="Sí",VLOOKUP(D819,TARIFAS!A:K,5,FALSE),0)
   ),
   IF(H819="Presencial",
      VLOOKUP(D819,TARIFAS!A:K,9,FALSE) + IF(I819="Sí",VLOOKUP(D819,TARIFAS!A:K,11,FALSE),0),
      VLOOKUP(D819,TARIFAS!A:K,10,FALSE) + IF(I819="Sí",VLOOKUP(D819,TARIFAS!A:K,11,FALSE),0)
   )
 )
)
</f>
        <v>0</v>
      </c>
      <c r="M819" s="45">
        <f>IF(J819="",0,MAX(0,J819 - TARIFAS!G$2) * TARIFAS!F$2)
</f>
        <v>0</v>
      </c>
      <c r="N819" s="45">
        <f>+L819*TARIFAS!$K$2</f>
        <v>0</v>
      </c>
      <c r="O819" s="45">
        <f t="shared" si="1"/>
        <v>0</v>
      </c>
      <c r="P819" s="45">
        <f>+M819+O819+K819+(+I819-(I819*TARIFAS!$K$2))</f>
        <v>0</v>
      </c>
      <c r="Q819" s="42" t="str">
        <f>CONFERENCIAS!T819</f>
        <v/>
      </c>
      <c r="R819" s="45" t="str">
        <f>CONFERENCIAS!U819</f>
        <v/>
      </c>
      <c r="S819" s="45" t="str">
        <f>CONFERENCIAS!W819</f>
        <v/>
      </c>
      <c r="T819" s="48">
        <f>IF(Q819="",0,
   IF(E819=1,
      IF(H819="Presencial",
         VLOOKUP(D819,TARIFAS!A:K,3,FALSE) + IF(I819="Sí",VLOOKUP(D819,TARIFAS!A:K,5,FALSE),0),
         VLOOKUP(D819,TARIFAS!A:K,4,FALSE) + IF(I819="Sí",VLOOKUP(D819,TARIFAS!A:K,5,FALSE),0)
      ),
      IF(H819="Presencial",
         VLOOKUP(D819,TARIFAS!A:K,9,FALSE) + IF(I819="Sí",VLOOKUP(D819,TARIFAS!A:K,11,FALSE),0),
         VLOOKUP(D819,TARIFAS!A:K,10,FALSE) + IF(I819="Sí",VLOOKUP(D819,TARIFAS!A:K,11,FALSE),0)
      )
   )
)
</f>
        <v>0</v>
      </c>
      <c r="U819" s="45">
        <f>IF(R819="",0,MAX(0,R819 - TARIFAS!G$2) * TARIFAS!F$2)
</f>
        <v>0</v>
      </c>
      <c r="V819" s="45">
        <f>+T819*TARIFAS!$K$2</f>
        <v>0</v>
      </c>
      <c r="W819" s="45">
        <f t="shared" si="2"/>
        <v>0</v>
      </c>
      <c r="X819" s="45">
        <f t="shared" si="3"/>
        <v>0</v>
      </c>
      <c r="Y819" s="45">
        <f t="shared" si="4"/>
        <v>0</v>
      </c>
      <c r="Z819" s="42" t="str">
        <f>CONFERENCIAS!AB819</f>
        <v/>
      </c>
      <c r="AA819" s="42" t="str">
        <f>CONFERENCIAS!AC819</f>
        <v/>
      </c>
      <c r="AB819" s="47" t="str">
        <f t="shared" si="5"/>
        <v/>
      </c>
      <c r="AC819" s="9" t="str">
        <f t="shared" si="6"/>
        <v/>
      </c>
    </row>
    <row r="820">
      <c r="A820" s="42" t="str">
        <f>CONFERENCIAS!A820</f>
        <v/>
      </c>
      <c r="D820" s="42" t="str">
        <f>CONFERENCIAS!C820</f>
        <v/>
      </c>
      <c r="E820" s="42" t="str">
        <f>CONFERENCIAS!K820</f>
        <v/>
      </c>
      <c r="F820" s="49" t="str">
        <f>CONFERENCIAS!J820</f>
        <v/>
      </c>
      <c r="G820" s="42" t="str">
        <f>CONFERENCIAS!O820</f>
        <v/>
      </c>
      <c r="H820" s="42" t="str">
        <f>CONFERENCIAS!X820</f>
        <v/>
      </c>
      <c r="I820" s="42" t="str">
        <f>CONFERENCIAS!AA820</f>
        <v/>
      </c>
      <c r="J820" s="44" t="str">
        <f>CONFERENCIAS!P820</f>
        <v/>
      </c>
      <c r="K820" s="45" t="str">
        <f>CONFERENCIAS!R820</f>
        <v/>
      </c>
      <c r="L820" s="45">
        <f>IF(D820="",0,
 IF(E820=1,
   IF(H820="Presencial",
      VLOOKUP(D820,TARIFAS!A:K,3,FALSE) + IF(I820="Sí",VLOOKUP(D820,TARIFAS!A:K,5,FALSE),0),
      VLOOKUP(D820,TARIFAS!A:K,4,FALSE) + IF(I820="Sí",VLOOKUP(D820,TARIFAS!A:K,5,FALSE),0)
   ),
   IF(H820="Presencial",
      VLOOKUP(D820,TARIFAS!A:K,9,FALSE) + IF(I820="Sí",VLOOKUP(D820,TARIFAS!A:K,11,FALSE),0),
      VLOOKUP(D820,TARIFAS!A:K,10,FALSE) + IF(I820="Sí",VLOOKUP(D820,TARIFAS!A:K,11,FALSE),0)
   )
 )
)
</f>
        <v>0</v>
      </c>
      <c r="M820" s="45">
        <f>IF(J820="",0,MAX(0,J820 - TARIFAS!G$2) * TARIFAS!F$2)
</f>
        <v>0</v>
      </c>
      <c r="N820" s="45">
        <f>+L820*TARIFAS!$K$2</f>
        <v>0</v>
      </c>
      <c r="O820" s="45">
        <f t="shared" si="1"/>
        <v>0</v>
      </c>
      <c r="P820" s="45">
        <f>+M820+O820+K820+(+I820-(I820*TARIFAS!$K$2))</f>
        <v>0</v>
      </c>
      <c r="Q820" s="42" t="str">
        <f>CONFERENCIAS!T820</f>
        <v/>
      </c>
      <c r="R820" s="45" t="str">
        <f>CONFERENCIAS!U820</f>
        <v/>
      </c>
      <c r="S820" s="45" t="str">
        <f>CONFERENCIAS!W820</f>
        <v/>
      </c>
      <c r="T820" s="48">
        <f>IF(Q820="",0,
   IF(E820=1,
      IF(H820="Presencial",
         VLOOKUP(D820,TARIFAS!A:K,3,FALSE) + IF(I820="Sí",VLOOKUP(D820,TARIFAS!A:K,5,FALSE),0),
         VLOOKUP(D820,TARIFAS!A:K,4,FALSE) + IF(I820="Sí",VLOOKUP(D820,TARIFAS!A:K,5,FALSE),0)
      ),
      IF(H820="Presencial",
         VLOOKUP(D820,TARIFAS!A:K,9,FALSE) + IF(I820="Sí",VLOOKUP(D820,TARIFAS!A:K,11,FALSE),0),
         VLOOKUP(D820,TARIFAS!A:K,10,FALSE) + IF(I820="Sí",VLOOKUP(D820,TARIFAS!A:K,11,FALSE),0)
      )
   )
)
</f>
        <v>0</v>
      </c>
      <c r="U820" s="45">
        <f>IF(R820="",0,MAX(0,R820 - TARIFAS!G$2) * TARIFAS!F$2)
</f>
        <v>0</v>
      </c>
      <c r="V820" s="45">
        <f>+T820*TARIFAS!$K$2</f>
        <v>0</v>
      </c>
      <c r="W820" s="45">
        <f t="shared" si="2"/>
        <v>0</v>
      </c>
      <c r="X820" s="45">
        <f t="shared" si="3"/>
        <v>0</v>
      </c>
      <c r="Y820" s="45">
        <f t="shared" si="4"/>
        <v>0</v>
      </c>
      <c r="Z820" s="42" t="str">
        <f>CONFERENCIAS!AB820</f>
        <v/>
      </c>
      <c r="AA820" s="42" t="str">
        <f>CONFERENCIAS!AC820</f>
        <v/>
      </c>
      <c r="AB820" s="47" t="str">
        <f t="shared" si="5"/>
        <v/>
      </c>
      <c r="AC820" s="9" t="str">
        <f t="shared" si="6"/>
        <v/>
      </c>
    </row>
    <row r="821">
      <c r="A821" s="42" t="str">
        <f>CONFERENCIAS!A821</f>
        <v/>
      </c>
      <c r="D821" s="42" t="str">
        <f>CONFERENCIAS!C821</f>
        <v/>
      </c>
      <c r="E821" s="42" t="str">
        <f>CONFERENCIAS!K821</f>
        <v/>
      </c>
      <c r="F821" s="49" t="str">
        <f>CONFERENCIAS!J821</f>
        <v/>
      </c>
      <c r="G821" s="42" t="str">
        <f>CONFERENCIAS!O821</f>
        <v/>
      </c>
      <c r="H821" s="42" t="str">
        <f>CONFERENCIAS!X821</f>
        <v/>
      </c>
      <c r="I821" s="42" t="str">
        <f>CONFERENCIAS!AA821</f>
        <v/>
      </c>
      <c r="J821" s="44" t="str">
        <f>CONFERENCIAS!P821</f>
        <v/>
      </c>
      <c r="K821" s="45" t="str">
        <f>CONFERENCIAS!R821</f>
        <v/>
      </c>
      <c r="L821" s="45">
        <f>IF(D821="",0,
 IF(E821=1,
   IF(H821="Presencial",
      VLOOKUP(D821,TARIFAS!A:K,3,FALSE) + IF(I821="Sí",VLOOKUP(D821,TARIFAS!A:K,5,FALSE),0),
      VLOOKUP(D821,TARIFAS!A:K,4,FALSE) + IF(I821="Sí",VLOOKUP(D821,TARIFAS!A:K,5,FALSE),0)
   ),
   IF(H821="Presencial",
      VLOOKUP(D821,TARIFAS!A:K,9,FALSE) + IF(I821="Sí",VLOOKUP(D821,TARIFAS!A:K,11,FALSE),0),
      VLOOKUP(D821,TARIFAS!A:K,10,FALSE) + IF(I821="Sí",VLOOKUP(D821,TARIFAS!A:K,11,FALSE),0)
   )
 )
)
</f>
        <v>0</v>
      </c>
      <c r="M821" s="45">
        <f>IF(J821="",0,MAX(0,J821 - TARIFAS!G$2) * TARIFAS!F$2)
</f>
        <v>0</v>
      </c>
      <c r="N821" s="45">
        <f>+L821*TARIFAS!$K$2</f>
        <v>0</v>
      </c>
      <c r="O821" s="45">
        <f t="shared" si="1"/>
        <v>0</v>
      </c>
      <c r="P821" s="45">
        <f>+M821+O821+K821+(+I821-(I821*TARIFAS!$K$2))</f>
        <v>0</v>
      </c>
      <c r="Q821" s="42" t="str">
        <f>CONFERENCIAS!T821</f>
        <v/>
      </c>
      <c r="R821" s="45" t="str">
        <f>CONFERENCIAS!U821</f>
        <v/>
      </c>
      <c r="S821" s="45" t="str">
        <f>CONFERENCIAS!W821</f>
        <v/>
      </c>
      <c r="T821" s="48">
        <f>IF(Q821="",0,
   IF(E821=1,
      IF(H821="Presencial",
         VLOOKUP(D821,TARIFAS!A:K,3,FALSE) + IF(I821="Sí",VLOOKUP(D821,TARIFAS!A:K,5,FALSE),0),
         VLOOKUP(D821,TARIFAS!A:K,4,FALSE) + IF(I821="Sí",VLOOKUP(D821,TARIFAS!A:K,5,FALSE),0)
      ),
      IF(H821="Presencial",
         VLOOKUP(D821,TARIFAS!A:K,9,FALSE) + IF(I821="Sí",VLOOKUP(D821,TARIFAS!A:K,11,FALSE),0),
         VLOOKUP(D821,TARIFAS!A:K,10,FALSE) + IF(I821="Sí",VLOOKUP(D821,TARIFAS!A:K,11,FALSE),0)
      )
   )
)
</f>
        <v>0</v>
      </c>
      <c r="U821" s="45">
        <f>IF(R821="",0,MAX(0,R821 - TARIFAS!G$2) * TARIFAS!F$2)
</f>
        <v>0</v>
      </c>
      <c r="V821" s="45">
        <f>+T821*TARIFAS!$K$2</f>
        <v>0</v>
      </c>
      <c r="W821" s="45">
        <f t="shared" si="2"/>
        <v>0</v>
      </c>
      <c r="X821" s="45">
        <f t="shared" si="3"/>
        <v>0</v>
      </c>
      <c r="Y821" s="45">
        <f t="shared" si="4"/>
        <v>0</v>
      </c>
      <c r="Z821" s="42" t="str">
        <f>CONFERENCIAS!AB821</f>
        <v/>
      </c>
      <c r="AA821" s="42" t="str">
        <f>CONFERENCIAS!AC821</f>
        <v/>
      </c>
      <c r="AB821" s="47" t="str">
        <f t="shared" si="5"/>
        <v/>
      </c>
      <c r="AC821" s="9" t="str">
        <f t="shared" si="6"/>
        <v/>
      </c>
    </row>
    <row r="822">
      <c r="A822" s="42" t="str">
        <f>CONFERENCIAS!A822</f>
        <v/>
      </c>
      <c r="D822" s="42" t="str">
        <f>CONFERENCIAS!C822</f>
        <v/>
      </c>
      <c r="E822" s="42" t="str">
        <f>CONFERENCIAS!K822</f>
        <v/>
      </c>
      <c r="F822" s="49" t="str">
        <f>CONFERENCIAS!J822</f>
        <v/>
      </c>
      <c r="G822" s="42" t="str">
        <f>CONFERENCIAS!O822</f>
        <v/>
      </c>
      <c r="H822" s="42" t="str">
        <f>CONFERENCIAS!X822</f>
        <v/>
      </c>
      <c r="I822" s="42" t="str">
        <f>CONFERENCIAS!AA822</f>
        <v/>
      </c>
      <c r="J822" s="44" t="str">
        <f>CONFERENCIAS!P822</f>
        <v/>
      </c>
      <c r="K822" s="45" t="str">
        <f>CONFERENCIAS!R822</f>
        <v/>
      </c>
      <c r="L822" s="45">
        <f>IF(D822="",0,
 IF(E822=1,
   IF(H822="Presencial",
      VLOOKUP(D822,TARIFAS!A:K,3,FALSE) + IF(I822="Sí",VLOOKUP(D822,TARIFAS!A:K,5,FALSE),0),
      VLOOKUP(D822,TARIFAS!A:K,4,FALSE) + IF(I822="Sí",VLOOKUP(D822,TARIFAS!A:K,5,FALSE),0)
   ),
   IF(H822="Presencial",
      VLOOKUP(D822,TARIFAS!A:K,9,FALSE) + IF(I822="Sí",VLOOKUP(D822,TARIFAS!A:K,11,FALSE),0),
      VLOOKUP(D822,TARIFAS!A:K,10,FALSE) + IF(I822="Sí",VLOOKUP(D822,TARIFAS!A:K,11,FALSE),0)
   )
 )
)
</f>
        <v>0</v>
      </c>
      <c r="M822" s="45">
        <f>IF(J822="",0,MAX(0,J822 - TARIFAS!G$2) * TARIFAS!F$2)
</f>
        <v>0</v>
      </c>
      <c r="N822" s="45">
        <f>+L822*TARIFAS!$K$2</f>
        <v>0</v>
      </c>
      <c r="O822" s="45">
        <f t="shared" si="1"/>
        <v>0</v>
      </c>
      <c r="P822" s="45">
        <f>+M822+O822+K822+(+I822-(I822*TARIFAS!$K$2))</f>
        <v>0</v>
      </c>
      <c r="Q822" s="42" t="str">
        <f>CONFERENCIAS!T822</f>
        <v/>
      </c>
      <c r="R822" s="45" t="str">
        <f>CONFERENCIAS!U822</f>
        <v/>
      </c>
      <c r="S822" s="45" t="str">
        <f>CONFERENCIAS!W822</f>
        <v/>
      </c>
      <c r="T822" s="48">
        <f>IF(Q822="",0,
   IF(E822=1,
      IF(H822="Presencial",
         VLOOKUP(D822,TARIFAS!A:K,3,FALSE) + IF(I822="Sí",VLOOKUP(D822,TARIFAS!A:K,5,FALSE),0),
         VLOOKUP(D822,TARIFAS!A:K,4,FALSE) + IF(I822="Sí",VLOOKUP(D822,TARIFAS!A:K,5,FALSE),0)
      ),
      IF(H822="Presencial",
         VLOOKUP(D822,TARIFAS!A:K,9,FALSE) + IF(I822="Sí",VLOOKUP(D822,TARIFAS!A:K,11,FALSE),0),
         VLOOKUP(D822,TARIFAS!A:K,10,FALSE) + IF(I822="Sí",VLOOKUP(D822,TARIFAS!A:K,11,FALSE),0)
      )
   )
)
</f>
        <v>0</v>
      </c>
      <c r="U822" s="45">
        <f>IF(R822="",0,MAX(0,R822 - TARIFAS!G$2) * TARIFAS!F$2)
</f>
        <v>0</v>
      </c>
      <c r="V822" s="45">
        <f>+T822*TARIFAS!$K$2</f>
        <v>0</v>
      </c>
      <c r="W822" s="45">
        <f t="shared" si="2"/>
        <v>0</v>
      </c>
      <c r="X822" s="45">
        <f t="shared" si="3"/>
        <v>0</v>
      </c>
      <c r="Y822" s="45">
        <f t="shared" si="4"/>
        <v>0</v>
      </c>
      <c r="Z822" s="42" t="str">
        <f>CONFERENCIAS!AB822</f>
        <v/>
      </c>
      <c r="AA822" s="42" t="str">
        <f>CONFERENCIAS!AC822</f>
        <v/>
      </c>
      <c r="AB822" s="47" t="str">
        <f t="shared" si="5"/>
        <v/>
      </c>
      <c r="AC822" s="9" t="str">
        <f t="shared" si="6"/>
        <v/>
      </c>
    </row>
    <row r="823">
      <c r="A823" s="42" t="str">
        <f>CONFERENCIAS!A823</f>
        <v/>
      </c>
      <c r="D823" s="42" t="str">
        <f>CONFERENCIAS!C823</f>
        <v/>
      </c>
      <c r="E823" s="42" t="str">
        <f>CONFERENCIAS!K823</f>
        <v/>
      </c>
      <c r="F823" s="49" t="str">
        <f>CONFERENCIAS!J823</f>
        <v/>
      </c>
      <c r="G823" s="42" t="str">
        <f>CONFERENCIAS!O823</f>
        <v/>
      </c>
      <c r="H823" s="42" t="str">
        <f>CONFERENCIAS!X823</f>
        <v/>
      </c>
      <c r="I823" s="42" t="str">
        <f>CONFERENCIAS!AA823</f>
        <v/>
      </c>
      <c r="J823" s="44" t="str">
        <f>CONFERENCIAS!P823</f>
        <v/>
      </c>
      <c r="K823" s="45" t="str">
        <f>CONFERENCIAS!R823</f>
        <v/>
      </c>
      <c r="L823" s="45">
        <f>IF(D823="",0,
 IF(E823=1,
   IF(H823="Presencial",
      VLOOKUP(D823,TARIFAS!A:K,3,FALSE) + IF(I823="Sí",VLOOKUP(D823,TARIFAS!A:K,5,FALSE),0),
      VLOOKUP(D823,TARIFAS!A:K,4,FALSE) + IF(I823="Sí",VLOOKUP(D823,TARIFAS!A:K,5,FALSE),0)
   ),
   IF(H823="Presencial",
      VLOOKUP(D823,TARIFAS!A:K,9,FALSE) + IF(I823="Sí",VLOOKUP(D823,TARIFAS!A:K,11,FALSE),0),
      VLOOKUP(D823,TARIFAS!A:K,10,FALSE) + IF(I823="Sí",VLOOKUP(D823,TARIFAS!A:K,11,FALSE),0)
   )
 )
)
</f>
        <v>0</v>
      </c>
      <c r="M823" s="45">
        <f>IF(J823="",0,MAX(0,J823 - TARIFAS!G$2) * TARIFAS!F$2)
</f>
        <v>0</v>
      </c>
      <c r="N823" s="45">
        <f>+L823*TARIFAS!$K$2</f>
        <v>0</v>
      </c>
      <c r="O823" s="45">
        <f t="shared" si="1"/>
        <v>0</v>
      </c>
      <c r="P823" s="45">
        <f>+M823+O823+K823+(+I823-(I823*TARIFAS!$K$2))</f>
        <v>0</v>
      </c>
      <c r="Q823" s="42" t="str">
        <f>CONFERENCIAS!T823</f>
        <v/>
      </c>
      <c r="R823" s="45" t="str">
        <f>CONFERENCIAS!U823</f>
        <v/>
      </c>
      <c r="S823" s="45" t="str">
        <f>CONFERENCIAS!W823</f>
        <v/>
      </c>
      <c r="T823" s="48">
        <f>IF(Q823="",0,
   IF(E823=1,
      IF(H823="Presencial",
         VLOOKUP(D823,TARIFAS!A:K,3,FALSE) + IF(I823="Sí",VLOOKUP(D823,TARIFAS!A:K,5,FALSE),0),
         VLOOKUP(D823,TARIFAS!A:K,4,FALSE) + IF(I823="Sí",VLOOKUP(D823,TARIFAS!A:K,5,FALSE),0)
      ),
      IF(H823="Presencial",
         VLOOKUP(D823,TARIFAS!A:K,9,FALSE) + IF(I823="Sí",VLOOKUP(D823,TARIFAS!A:K,11,FALSE),0),
         VLOOKUP(D823,TARIFAS!A:K,10,FALSE) + IF(I823="Sí",VLOOKUP(D823,TARIFAS!A:K,11,FALSE),0)
      )
   )
)
</f>
        <v>0</v>
      </c>
      <c r="U823" s="45">
        <f>IF(R823="",0,MAX(0,R823 - TARIFAS!G$2) * TARIFAS!F$2)
</f>
        <v>0</v>
      </c>
      <c r="V823" s="45">
        <f>+T823*TARIFAS!$K$2</f>
        <v>0</v>
      </c>
      <c r="W823" s="45">
        <f t="shared" si="2"/>
        <v>0</v>
      </c>
      <c r="X823" s="45">
        <f t="shared" si="3"/>
        <v>0</v>
      </c>
      <c r="Y823" s="45">
        <f t="shared" si="4"/>
        <v>0</v>
      </c>
      <c r="Z823" s="42" t="str">
        <f>CONFERENCIAS!AB823</f>
        <v/>
      </c>
      <c r="AA823" s="42" t="str">
        <f>CONFERENCIAS!AC823</f>
        <v/>
      </c>
      <c r="AB823" s="47" t="str">
        <f t="shared" si="5"/>
        <v/>
      </c>
      <c r="AC823" s="9" t="str">
        <f t="shared" si="6"/>
        <v/>
      </c>
    </row>
    <row r="824">
      <c r="A824" s="42" t="str">
        <f>CONFERENCIAS!A824</f>
        <v/>
      </c>
      <c r="D824" s="42" t="str">
        <f>CONFERENCIAS!C824</f>
        <v/>
      </c>
      <c r="E824" s="42" t="str">
        <f>CONFERENCIAS!K824</f>
        <v/>
      </c>
      <c r="F824" s="49" t="str">
        <f>CONFERENCIAS!J824</f>
        <v/>
      </c>
      <c r="G824" s="42" t="str">
        <f>CONFERENCIAS!O824</f>
        <v/>
      </c>
      <c r="H824" s="42" t="str">
        <f>CONFERENCIAS!X824</f>
        <v/>
      </c>
      <c r="I824" s="42" t="str">
        <f>CONFERENCIAS!AA824</f>
        <v/>
      </c>
      <c r="J824" s="44" t="str">
        <f>CONFERENCIAS!P824</f>
        <v/>
      </c>
      <c r="K824" s="45" t="str">
        <f>CONFERENCIAS!R824</f>
        <v/>
      </c>
      <c r="L824" s="45">
        <f>IF(D824="",0,
 IF(E824=1,
   IF(H824="Presencial",
      VLOOKUP(D824,TARIFAS!A:K,3,FALSE) + IF(I824="Sí",VLOOKUP(D824,TARIFAS!A:K,5,FALSE),0),
      VLOOKUP(D824,TARIFAS!A:K,4,FALSE) + IF(I824="Sí",VLOOKUP(D824,TARIFAS!A:K,5,FALSE),0)
   ),
   IF(H824="Presencial",
      VLOOKUP(D824,TARIFAS!A:K,9,FALSE) + IF(I824="Sí",VLOOKUP(D824,TARIFAS!A:K,11,FALSE),0),
      VLOOKUP(D824,TARIFAS!A:K,10,FALSE) + IF(I824="Sí",VLOOKUP(D824,TARIFAS!A:K,11,FALSE),0)
   )
 )
)
</f>
        <v>0</v>
      </c>
      <c r="M824" s="45">
        <f>IF(J824="",0,MAX(0,J824 - TARIFAS!G$2) * TARIFAS!F$2)
</f>
        <v>0</v>
      </c>
      <c r="N824" s="45">
        <f>+L824*TARIFAS!$K$2</f>
        <v>0</v>
      </c>
      <c r="O824" s="45">
        <f t="shared" si="1"/>
        <v>0</v>
      </c>
      <c r="P824" s="45">
        <f>+M824+O824+K824+(+I824-(I824*TARIFAS!$K$2))</f>
        <v>0</v>
      </c>
      <c r="Q824" s="42" t="str">
        <f>CONFERENCIAS!T824</f>
        <v/>
      </c>
      <c r="R824" s="45" t="str">
        <f>CONFERENCIAS!U824</f>
        <v/>
      </c>
      <c r="S824" s="45" t="str">
        <f>CONFERENCIAS!W824</f>
        <v/>
      </c>
      <c r="T824" s="48">
        <f>IF(Q824="",0,
   IF(E824=1,
      IF(H824="Presencial",
         VLOOKUP(D824,TARIFAS!A:K,3,FALSE) + IF(I824="Sí",VLOOKUP(D824,TARIFAS!A:K,5,FALSE),0),
         VLOOKUP(D824,TARIFAS!A:K,4,FALSE) + IF(I824="Sí",VLOOKUP(D824,TARIFAS!A:K,5,FALSE),0)
      ),
      IF(H824="Presencial",
         VLOOKUP(D824,TARIFAS!A:K,9,FALSE) + IF(I824="Sí",VLOOKUP(D824,TARIFAS!A:K,11,FALSE),0),
         VLOOKUP(D824,TARIFAS!A:K,10,FALSE) + IF(I824="Sí",VLOOKUP(D824,TARIFAS!A:K,11,FALSE),0)
      )
   )
)
</f>
        <v>0</v>
      </c>
      <c r="U824" s="45">
        <f>IF(R824="",0,MAX(0,R824 - TARIFAS!G$2) * TARIFAS!F$2)
</f>
        <v>0</v>
      </c>
      <c r="V824" s="45">
        <f>+T824*TARIFAS!$K$2</f>
        <v>0</v>
      </c>
      <c r="W824" s="45">
        <f t="shared" si="2"/>
        <v>0</v>
      </c>
      <c r="X824" s="45">
        <f t="shared" si="3"/>
        <v>0</v>
      </c>
      <c r="Y824" s="45">
        <f t="shared" si="4"/>
        <v>0</v>
      </c>
      <c r="Z824" s="42" t="str">
        <f>CONFERENCIAS!AB824</f>
        <v/>
      </c>
      <c r="AA824" s="42" t="str">
        <f>CONFERENCIAS!AC824</f>
        <v/>
      </c>
      <c r="AB824" s="47" t="str">
        <f t="shared" si="5"/>
        <v/>
      </c>
      <c r="AC824" s="9" t="str">
        <f t="shared" si="6"/>
        <v/>
      </c>
    </row>
    <row r="825">
      <c r="A825" s="42" t="str">
        <f>CONFERENCIAS!A825</f>
        <v/>
      </c>
      <c r="D825" s="42" t="str">
        <f>CONFERENCIAS!C825</f>
        <v/>
      </c>
      <c r="E825" s="42" t="str">
        <f>CONFERENCIAS!K825</f>
        <v/>
      </c>
      <c r="F825" s="49" t="str">
        <f>CONFERENCIAS!J825</f>
        <v/>
      </c>
      <c r="G825" s="42" t="str">
        <f>CONFERENCIAS!O825</f>
        <v/>
      </c>
      <c r="H825" s="42" t="str">
        <f>CONFERENCIAS!X825</f>
        <v/>
      </c>
      <c r="I825" s="42" t="str">
        <f>CONFERENCIAS!AA825</f>
        <v/>
      </c>
      <c r="J825" s="44" t="str">
        <f>CONFERENCIAS!P825</f>
        <v/>
      </c>
      <c r="K825" s="45" t="str">
        <f>CONFERENCIAS!R825</f>
        <v/>
      </c>
      <c r="L825" s="45">
        <f>IF(D825="",0,
 IF(E825=1,
   IF(H825="Presencial",
      VLOOKUP(D825,TARIFAS!A:K,3,FALSE) + IF(I825="Sí",VLOOKUP(D825,TARIFAS!A:K,5,FALSE),0),
      VLOOKUP(D825,TARIFAS!A:K,4,FALSE) + IF(I825="Sí",VLOOKUP(D825,TARIFAS!A:K,5,FALSE),0)
   ),
   IF(H825="Presencial",
      VLOOKUP(D825,TARIFAS!A:K,9,FALSE) + IF(I825="Sí",VLOOKUP(D825,TARIFAS!A:K,11,FALSE),0),
      VLOOKUP(D825,TARIFAS!A:K,10,FALSE) + IF(I825="Sí",VLOOKUP(D825,TARIFAS!A:K,11,FALSE),0)
   )
 )
)
</f>
        <v>0</v>
      </c>
      <c r="M825" s="45">
        <f>IF(J825="",0,MAX(0,J825 - TARIFAS!G$2) * TARIFAS!F$2)
</f>
        <v>0</v>
      </c>
      <c r="N825" s="45">
        <f>+L825*TARIFAS!$K$2</f>
        <v>0</v>
      </c>
      <c r="O825" s="45">
        <f t="shared" si="1"/>
        <v>0</v>
      </c>
      <c r="P825" s="45">
        <f>+M825+O825+K825+(+I825-(I825*TARIFAS!$K$2))</f>
        <v>0</v>
      </c>
      <c r="Q825" s="42" t="str">
        <f>CONFERENCIAS!T825</f>
        <v/>
      </c>
      <c r="R825" s="45" t="str">
        <f>CONFERENCIAS!U825</f>
        <v/>
      </c>
      <c r="S825" s="45" t="str">
        <f>CONFERENCIAS!W825</f>
        <v/>
      </c>
      <c r="T825" s="48">
        <f>IF(Q825="",0,
   IF(E825=1,
      IF(H825="Presencial",
         VLOOKUP(D825,TARIFAS!A:K,3,FALSE) + IF(I825="Sí",VLOOKUP(D825,TARIFAS!A:K,5,FALSE),0),
         VLOOKUP(D825,TARIFAS!A:K,4,FALSE) + IF(I825="Sí",VLOOKUP(D825,TARIFAS!A:K,5,FALSE),0)
      ),
      IF(H825="Presencial",
         VLOOKUP(D825,TARIFAS!A:K,9,FALSE) + IF(I825="Sí",VLOOKUP(D825,TARIFAS!A:K,11,FALSE),0),
         VLOOKUP(D825,TARIFAS!A:K,10,FALSE) + IF(I825="Sí",VLOOKUP(D825,TARIFAS!A:K,11,FALSE),0)
      )
   )
)
</f>
        <v>0</v>
      </c>
      <c r="U825" s="45">
        <f>IF(R825="",0,MAX(0,R825 - TARIFAS!G$2) * TARIFAS!F$2)
</f>
        <v>0</v>
      </c>
      <c r="V825" s="45">
        <f>+T825*TARIFAS!$K$2</f>
        <v>0</v>
      </c>
      <c r="W825" s="45">
        <f t="shared" si="2"/>
        <v>0</v>
      </c>
      <c r="X825" s="45">
        <f t="shared" si="3"/>
        <v>0</v>
      </c>
      <c r="Y825" s="45">
        <f t="shared" si="4"/>
        <v>0</v>
      </c>
      <c r="Z825" s="42" t="str">
        <f>CONFERENCIAS!AB825</f>
        <v/>
      </c>
      <c r="AA825" s="42" t="str">
        <f>CONFERENCIAS!AC825</f>
        <v/>
      </c>
      <c r="AB825" s="47" t="str">
        <f t="shared" si="5"/>
        <v/>
      </c>
      <c r="AC825" s="9" t="str">
        <f t="shared" si="6"/>
        <v/>
      </c>
    </row>
    <row r="826">
      <c r="A826" s="42" t="str">
        <f>CONFERENCIAS!A826</f>
        <v/>
      </c>
      <c r="D826" s="42" t="str">
        <f>CONFERENCIAS!C826</f>
        <v/>
      </c>
      <c r="E826" s="42" t="str">
        <f>CONFERENCIAS!K826</f>
        <v/>
      </c>
      <c r="F826" s="49" t="str">
        <f>CONFERENCIAS!J826</f>
        <v/>
      </c>
      <c r="G826" s="42" t="str">
        <f>CONFERENCIAS!O826</f>
        <v/>
      </c>
      <c r="H826" s="42" t="str">
        <f>CONFERENCIAS!X826</f>
        <v/>
      </c>
      <c r="I826" s="42" t="str">
        <f>CONFERENCIAS!AA826</f>
        <v/>
      </c>
      <c r="J826" s="44" t="str">
        <f>CONFERENCIAS!P826</f>
        <v/>
      </c>
      <c r="K826" s="45" t="str">
        <f>CONFERENCIAS!R826</f>
        <v/>
      </c>
      <c r="L826" s="45">
        <f>IF(D826="",0,
 IF(E826=1,
   IF(H826="Presencial",
      VLOOKUP(D826,TARIFAS!A:K,3,FALSE) + IF(I826="Sí",VLOOKUP(D826,TARIFAS!A:K,5,FALSE),0),
      VLOOKUP(D826,TARIFAS!A:K,4,FALSE) + IF(I826="Sí",VLOOKUP(D826,TARIFAS!A:K,5,FALSE),0)
   ),
   IF(H826="Presencial",
      VLOOKUP(D826,TARIFAS!A:K,9,FALSE) + IF(I826="Sí",VLOOKUP(D826,TARIFAS!A:K,11,FALSE),0),
      VLOOKUP(D826,TARIFAS!A:K,10,FALSE) + IF(I826="Sí",VLOOKUP(D826,TARIFAS!A:K,11,FALSE),0)
   )
 )
)
</f>
        <v>0</v>
      </c>
      <c r="M826" s="45">
        <f>IF(J826="",0,MAX(0,J826 - TARIFAS!G$2) * TARIFAS!F$2)
</f>
        <v>0</v>
      </c>
      <c r="N826" s="45">
        <f>+L826*TARIFAS!$K$2</f>
        <v>0</v>
      </c>
      <c r="O826" s="45">
        <f t="shared" si="1"/>
        <v>0</v>
      </c>
      <c r="P826" s="45">
        <f>+M826+O826+K826+(+I826-(I826*TARIFAS!$K$2))</f>
        <v>0</v>
      </c>
      <c r="Q826" s="42" t="str">
        <f>CONFERENCIAS!T826</f>
        <v/>
      </c>
      <c r="R826" s="45" t="str">
        <f>CONFERENCIAS!U826</f>
        <v/>
      </c>
      <c r="S826" s="45" t="str">
        <f>CONFERENCIAS!W826</f>
        <v/>
      </c>
      <c r="T826" s="48">
        <f>IF(Q826="",0,
   IF(E826=1,
      IF(H826="Presencial",
         VLOOKUP(D826,TARIFAS!A:K,3,FALSE) + IF(I826="Sí",VLOOKUP(D826,TARIFAS!A:K,5,FALSE),0),
         VLOOKUP(D826,TARIFAS!A:K,4,FALSE) + IF(I826="Sí",VLOOKUP(D826,TARIFAS!A:K,5,FALSE),0)
      ),
      IF(H826="Presencial",
         VLOOKUP(D826,TARIFAS!A:K,9,FALSE) + IF(I826="Sí",VLOOKUP(D826,TARIFAS!A:K,11,FALSE),0),
         VLOOKUP(D826,TARIFAS!A:K,10,FALSE) + IF(I826="Sí",VLOOKUP(D826,TARIFAS!A:K,11,FALSE),0)
      )
   )
)
</f>
        <v>0</v>
      </c>
      <c r="U826" s="45">
        <f>IF(R826="",0,MAX(0,R826 - TARIFAS!G$2) * TARIFAS!F$2)
</f>
        <v>0</v>
      </c>
      <c r="V826" s="45">
        <f>+T826*TARIFAS!$K$2</f>
        <v>0</v>
      </c>
      <c r="W826" s="45">
        <f t="shared" si="2"/>
        <v>0</v>
      </c>
      <c r="X826" s="45">
        <f t="shared" si="3"/>
        <v>0</v>
      </c>
      <c r="Y826" s="45">
        <f t="shared" si="4"/>
        <v>0</v>
      </c>
      <c r="Z826" s="42" t="str">
        <f>CONFERENCIAS!AB826</f>
        <v/>
      </c>
      <c r="AA826" s="42" t="str">
        <f>CONFERENCIAS!AC826</f>
        <v/>
      </c>
      <c r="AB826" s="47" t="str">
        <f t="shared" si="5"/>
        <v/>
      </c>
      <c r="AC826" s="9" t="str">
        <f t="shared" si="6"/>
        <v/>
      </c>
    </row>
    <row r="827">
      <c r="A827" s="42" t="str">
        <f>CONFERENCIAS!A827</f>
        <v/>
      </c>
      <c r="D827" s="42" t="str">
        <f>CONFERENCIAS!C827</f>
        <v/>
      </c>
      <c r="E827" s="42" t="str">
        <f>CONFERENCIAS!K827</f>
        <v/>
      </c>
      <c r="F827" s="49" t="str">
        <f>CONFERENCIAS!J827</f>
        <v/>
      </c>
      <c r="G827" s="42" t="str">
        <f>CONFERENCIAS!O827</f>
        <v/>
      </c>
      <c r="H827" s="42" t="str">
        <f>CONFERENCIAS!X827</f>
        <v/>
      </c>
      <c r="I827" s="42" t="str">
        <f>CONFERENCIAS!AA827</f>
        <v/>
      </c>
      <c r="J827" s="44" t="str">
        <f>CONFERENCIAS!P827</f>
        <v/>
      </c>
      <c r="K827" s="45" t="str">
        <f>CONFERENCIAS!R827</f>
        <v/>
      </c>
      <c r="L827" s="45">
        <f>IF(D827="",0,
 IF(E827=1,
   IF(H827="Presencial",
      VLOOKUP(D827,TARIFAS!A:K,3,FALSE) + IF(I827="Sí",VLOOKUP(D827,TARIFAS!A:K,5,FALSE),0),
      VLOOKUP(D827,TARIFAS!A:K,4,FALSE) + IF(I827="Sí",VLOOKUP(D827,TARIFAS!A:K,5,FALSE),0)
   ),
   IF(H827="Presencial",
      VLOOKUP(D827,TARIFAS!A:K,9,FALSE) + IF(I827="Sí",VLOOKUP(D827,TARIFAS!A:K,11,FALSE),0),
      VLOOKUP(D827,TARIFAS!A:K,10,FALSE) + IF(I827="Sí",VLOOKUP(D827,TARIFAS!A:K,11,FALSE),0)
   )
 )
)
</f>
        <v>0</v>
      </c>
      <c r="M827" s="45">
        <f>IF(J827="",0,MAX(0,J827 - TARIFAS!G$2) * TARIFAS!F$2)
</f>
        <v>0</v>
      </c>
      <c r="N827" s="45">
        <f>+L827*TARIFAS!$K$2</f>
        <v>0</v>
      </c>
      <c r="O827" s="45">
        <f t="shared" si="1"/>
        <v>0</v>
      </c>
      <c r="P827" s="45">
        <f>+M827+O827+K827+(+I827-(I827*TARIFAS!$K$2))</f>
        <v>0</v>
      </c>
      <c r="Q827" s="42" t="str">
        <f>CONFERENCIAS!T827</f>
        <v/>
      </c>
      <c r="R827" s="45" t="str">
        <f>CONFERENCIAS!U827</f>
        <v/>
      </c>
      <c r="S827" s="45" t="str">
        <f>CONFERENCIAS!W827</f>
        <v/>
      </c>
      <c r="T827" s="48">
        <f>IF(Q827="",0,
   IF(E827=1,
      IF(H827="Presencial",
         VLOOKUP(D827,TARIFAS!A:K,3,FALSE) + IF(I827="Sí",VLOOKUP(D827,TARIFAS!A:K,5,FALSE),0),
         VLOOKUP(D827,TARIFAS!A:K,4,FALSE) + IF(I827="Sí",VLOOKUP(D827,TARIFAS!A:K,5,FALSE),0)
      ),
      IF(H827="Presencial",
         VLOOKUP(D827,TARIFAS!A:K,9,FALSE) + IF(I827="Sí",VLOOKUP(D827,TARIFAS!A:K,11,FALSE),0),
         VLOOKUP(D827,TARIFAS!A:K,10,FALSE) + IF(I827="Sí",VLOOKUP(D827,TARIFAS!A:K,11,FALSE),0)
      )
   )
)
</f>
        <v>0</v>
      </c>
      <c r="U827" s="45">
        <f>IF(R827="",0,MAX(0,R827 - TARIFAS!G$2) * TARIFAS!F$2)
</f>
        <v>0</v>
      </c>
      <c r="V827" s="45">
        <f>+T827*TARIFAS!$K$2</f>
        <v>0</v>
      </c>
      <c r="W827" s="45">
        <f t="shared" si="2"/>
        <v>0</v>
      </c>
      <c r="X827" s="45">
        <f t="shared" si="3"/>
        <v>0</v>
      </c>
      <c r="Y827" s="45">
        <f t="shared" si="4"/>
        <v>0</v>
      </c>
      <c r="Z827" s="42" t="str">
        <f>CONFERENCIAS!AB827</f>
        <v/>
      </c>
      <c r="AA827" s="42" t="str">
        <f>CONFERENCIAS!AC827</f>
        <v/>
      </c>
      <c r="AB827" s="47" t="str">
        <f t="shared" si="5"/>
        <v/>
      </c>
      <c r="AC827" s="9" t="str">
        <f t="shared" si="6"/>
        <v/>
      </c>
    </row>
    <row r="828">
      <c r="A828" s="42" t="str">
        <f>CONFERENCIAS!A828</f>
        <v/>
      </c>
      <c r="D828" s="42" t="str">
        <f>CONFERENCIAS!C828</f>
        <v/>
      </c>
      <c r="E828" s="42" t="str">
        <f>CONFERENCIAS!K828</f>
        <v/>
      </c>
      <c r="F828" s="49" t="str">
        <f>CONFERENCIAS!J828</f>
        <v/>
      </c>
      <c r="G828" s="42" t="str">
        <f>CONFERENCIAS!O828</f>
        <v/>
      </c>
      <c r="H828" s="42" t="str">
        <f>CONFERENCIAS!X828</f>
        <v/>
      </c>
      <c r="I828" s="42" t="str">
        <f>CONFERENCIAS!AA828</f>
        <v/>
      </c>
      <c r="J828" s="44" t="str">
        <f>CONFERENCIAS!P828</f>
        <v/>
      </c>
      <c r="K828" s="45" t="str">
        <f>CONFERENCIAS!R828</f>
        <v/>
      </c>
      <c r="L828" s="45">
        <f>IF(D828="",0,
 IF(E828=1,
   IF(H828="Presencial",
      VLOOKUP(D828,TARIFAS!A:K,3,FALSE) + IF(I828="Sí",VLOOKUP(D828,TARIFAS!A:K,5,FALSE),0),
      VLOOKUP(D828,TARIFAS!A:K,4,FALSE) + IF(I828="Sí",VLOOKUP(D828,TARIFAS!A:K,5,FALSE),0)
   ),
   IF(H828="Presencial",
      VLOOKUP(D828,TARIFAS!A:K,9,FALSE) + IF(I828="Sí",VLOOKUP(D828,TARIFAS!A:K,11,FALSE),0),
      VLOOKUP(D828,TARIFAS!A:K,10,FALSE) + IF(I828="Sí",VLOOKUP(D828,TARIFAS!A:K,11,FALSE),0)
   )
 )
)
</f>
        <v>0</v>
      </c>
      <c r="M828" s="45">
        <f>IF(J828="",0,MAX(0,J828 - TARIFAS!G$2) * TARIFAS!F$2)
</f>
        <v>0</v>
      </c>
      <c r="N828" s="45">
        <f>+L828*TARIFAS!$K$2</f>
        <v>0</v>
      </c>
      <c r="O828" s="45">
        <f t="shared" si="1"/>
        <v>0</v>
      </c>
      <c r="P828" s="45">
        <f>+M828+O828+K828+(+I828-(I828*TARIFAS!$K$2))</f>
        <v>0</v>
      </c>
      <c r="Q828" s="42" t="str">
        <f>CONFERENCIAS!T828</f>
        <v/>
      </c>
      <c r="R828" s="45" t="str">
        <f>CONFERENCIAS!U828</f>
        <v/>
      </c>
      <c r="S828" s="45" t="str">
        <f>CONFERENCIAS!W828</f>
        <v/>
      </c>
      <c r="T828" s="48">
        <f>IF(Q828="",0,
   IF(E828=1,
      IF(H828="Presencial",
         VLOOKUP(D828,TARIFAS!A:K,3,FALSE) + IF(I828="Sí",VLOOKUP(D828,TARIFAS!A:K,5,FALSE),0),
         VLOOKUP(D828,TARIFAS!A:K,4,FALSE) + IF(I828="Sí",VLOOKUP(D828,TARIFAS!A:K,5,FALSE),0)
      ),
      IF(H828="Presencial",
         VLOOKUP(D828,TARIFAS!A:K,9,FALSE) + IF(I828="Sí",VLOOKUP(D828,TARIFAS!A:K,11,FALSE),0),
         VLOOKUP(D828,TARIFAS!A:K,10,FALSE) + IF(I828="Sí",VLOOKUP(D828,TARIFAS!A:K,11,FALSE),0)
      )
   )
)
</f>
        <v>0</v>
      </c>
      <c r="U828" s="45">
        <f>IF(R828="",0,MAX(0,R828 - TARIFAS!G$2) * TARIFAS!F$2)
</f>
        <v>0</v>
      </c>
      <c r="V828" s="45">
        <f>+T828*TARIFAS!$K$2</f>
        <v>0</v>
      </c>
      <c r="W828" s="45">
        <f t="shared" si="2"/>
        <v>0</v>
      </c>
      <c r="X828" s="45">
        <f t="shared" si="3"/>
        <v>0</v>
      </c>
      <c r="Y828" s="45">
        <f t="shared" si="4"/>
        <v>0</v>
      </c>
      <c r="Z828" s="42" t="str">
        <f>CONFERENCIAS!AB828</f>
        <v/>
      </c>
      <c r="AA828" s="42" t="str">
        <f>CONFERENCIAS!AC828</f>
        <v/>
      </c>
      <c r="AB828" s="47" t="str">
        <f t="shared" si="5"/>
        <v/>
      </c>
      <c r="AC828" s="9" t="str">
        <f t="shared" si="6"/>
        <v/>
      </c>
    </row>
    <row r="829">
      <c r="A829" s="42" t="str">
        <f>CONFERENCIAS!A829</f>
        <v/>
      </c>
      <c r="D829" s="42" t="str">
        <f>CONFERENCIAS!C829</f>
        <v/>
      </c>
      <c r="E829" s="42" t="str">
        <f>CONFERENCIAS!K829</f>
        <v/>
      </c>
      <c r="F829" s="49" t="str">
        <f>CONFERENCIAS!J829</f>
        <v/>
      </c>
      <c r="G829" s="42" t="str">
        <f>CONFERENCIAS!O829</f>
        <v/>
      </c>
      <c r="H829" s="42" t="str">
        <f>CONFERENCIAS!X829</f>
        <v/>
      </c>
      <c r="I829" s="42" t="str">
        <f>CONFERENCIAS!AA829</f>
        <v/>
      </c>
      <c r="J829" s="44" t="str">
        <f>CONFERENCIAS!P829</f>
        <v/>
      </c>
      <c r="K829" s="45" t="str">
        <f>CONFERENCIAS!R829</f>
        <v/>
      </c>
      <c r="L829" s="45">
        <f>IF(D829="",0,
 IF(E829=1,
   IF(H829="Presencial",
      VLOOKUP(D829,TARIFAS!A:K,3,FALSE) + IF(I829="Sí",VLOOKUP(D829,TARIFAS!A:K,5,FALSE),0),
      VLOOKUP(D829,TARIFAS!A:K,4,FALSE) + IF(I829="Sí",VLOOKUP(D829,TARIFAS!A:K,5,FALSE),0)
   ),
   IF(H829="Presencial",
      VLOOKUP(D829,TARIFAS!A:K,9,FALSE) + IF(I829="Sí",VLOOKUP(D829,TARIFAS!A:K,11,FALSE),0),
      VLOOKUP(D829,TARIFAS!A:K,10,FALSE) + IF(I829="Sí",VLOOKUP(D829,TARIFAS!A:K,11,FALSE),0)
   )
 )
)
</f>
        <v>0</v>
      </c>
      <c r="M829" s="45">
        <f>IF(J829="",0,MAX(0,J829 - TARIFAS!G$2) * TARIFAS!F$2)
</f>
        <v>0</v>
      </c>
      <c r="N829" s="45">
        <f>+L829*TARIFAS!$K$2</f>
        <v>0</v>
      </c>
      <c r="O829" s="45">
        <f t="shared" si="1"/>
        <v>0</v>
      </c>
      <c r="P829" s="45">
        <f>+M829+O829+K829+(+I829-(I829*TARIFAS!$K$2))</f>
        <v>0</v>
      </c>
      <c r="Q829" s="42" t="str">
        <f>CONFERENCIAS!T829</f>
        <v/>
      </c>
      <c r="R829" s="45" t="str">
        <f>CONFERENCIAS!U829</f>
        <v/>
      </c>
      <c r="S829" s="45" t="str">
        <f>CONFERENCIAS!W829</f>
        <v/>
      </c>
      <c r="T829" s="48">
        <f>IF(Q829="",0,
   IF(E829=1,
      IF(H829="Presencial",
         VLOOKUP(D829,TARIFAS!A:K,3,FALSE) + IF(I829="Sí",VLOOKUP(D829,TARIFAS!A:K,5,FALSE),0),
         VLOOKUP(D829,TARIFAS!A:K,4,FALSE) + IF(I829="Sí",VLOOKUP(D829,TARIFAS!A:K,5,FALSE),0)
      ),
      IF(H829="Presencial",
         VLOOKUP(D829,TARIFAS!A:K,9,FALSE) + IF(I829="Sí",VLOOKUP(D829,TARIFAS!A:K,11,FALSE),0),
         VLOOKUP(D829,TARIFAS!A:K,10,FALSE) + IF(I829="Sí",VLOOKUP(D829,TARIFAS!A:K,11,FALSE),0)
      )
   )
)
</f>
        <v>0</v>
      </c>
      <c r="U829" s="45">
        <f>IF(R829="",0,MAX(0,R829 - TARIFAS!G$2) * TARIFAS!F$2)
</f>
        <v>0</v>
      </c>
      <c r="V829" s="45">
        <f>+T829*TARIFAS!$K$2</f>
        <v>0</v>
      </c>
      <c r="W829" s="45">
        <f t="shared" si="2"/>
        <v>0</v>
      </c>
      <c r="X829" s="45">
        <f t="shared" si="3"/>
        <v>0</v>
      </c>
      <c r="Y829" s="45">
        <f t="shared" si="4"/>
        <v>0</v>
      </c>
      <c r="Z829" s="42" t="str">
        <f>CONFERENCIAS!AB829</f>
        <v/>
      </c>
      <c r="AA829" s="42" t="str">
        <f>CONFERENCIAS!AC829</f>
        <v/>
      </c>
      <c r="AB829" s="47" t="str">
        <f t="shared" si="5"/>
        <v/>
      </c>
      <c r="AC829" s="9" t="str">
        <f t="shared" si="6"/>
        <v/>
      </c>
    </row>
    <row r="830">
      <c r="A830" s="42" t="str">
        <f>CONFERENCIAS!A830</f>
        <v/>
      </c>
      <c r="D830" s="42" t="str">
        <f>CONFERENCIAS!C830</f>
        <v/>
      </c>
      <c r="E830" s="42" t="str">
        <f>CONFERENCIAS!K830</f>
        <v/>
      </c>
      <c r="F830" s="49" t="str">
        <f>CONFERENCIAS!J830</f>
        <v/>
      </c>
      <c r="G830" s="42" t="str">
        <f>CONFERENCIAS!O830</f>
        <v/>
      </c>
      <c r="H830" s="42" t="str">
        <f>CONFERENCIAS!X830</f>
        <v/>
      </c>
      <c r="I830" s="42" t="str">
        <f>CONFERENCIAS!AA830</f>
        <v/>
      </c>
      <c r="J830" s="44" t="str">
        <f>CONFERENCIAS!P830</f>
        <v/>
      </c>
      <c r="K830" s="45" t="str">
        <f>CONFERENCIAS!R830</f>
        <v/>
      </c>
      <c r="L830" s="45">
        <f>IF(D830="",0,
 IF(E830=1,
   IF(H830="Presencial",
      VLOOKUP(D830,TARIFAS!A:K,3,FALSE) + IF(I830="Sí",VLOOKUP(D830,TARIFAS!A:K,5,FALSE),0),
      VLOOKUP(D830,TARIFAS!A:K,4,FALSE) + IF(I830="Sí",VLOOKUP(D830,TARIFAS!A:K,5,FALSE),0)
   ),
   IF(H830="Presencial",
      VLOOKUP(D830,TARIFAS!A:K,9,FALSE) + IF(I830="Sí",VLOOKUP(D830,TARIFAS!A:K,11,FALSE),0),
      VLOOKUP(D830,TARIFAS!A:K,10,FALSE) + IF(I830="Sí",VLOOKUP(D830,TARIFAS!A:K,11,FALSE),0)
   )
 )
)
</f>
        <v>0</v>
      </c>
      <c r="M830" s="45">
        <f>IF(J830="",0,MAX(0,J830 - TARIFAS!G$2) * TARIFAS!F$2)
</f>
        <v>0</v>
      </c>
      <c r="N830" s="45">
        <f>+L830*TARIFAS!$K$2</f>
        <v>0</v>
      </c>
      <c r="O830" s="45">
        <f t="shared" si="1"/>
        <v>0</v>
      </c>
      <c r="P830" s="45">
        <f>+M830+O830+K830+(+I830-(I830*TARIFAS!$K$2))</f>
        <v>0</v>
      </c>
      <c r="Q830" s="42" t="str">
        <f>CONFERENCIAS!T830</f>
        <v/>
      </c>
      <c r="R830" s="45" t="str">
        <f>CONFERENCIAS!U830</f>
        <v/>
      </c>
      <c r="S830" s="45" t="str">
        <f>CONFERENCIAS!W830</f>
        <v/>
      </c>
      <c r="T830" s="48">
        <f>IF(Q830="",0,
   IF(E830=1,
      IF(H830="Presencial",
         VLOOKUP(D830,TARIFAS!A:K,3,FALSE) + IF(I830="Sí",VLOOKUP(D830,TARIFAS!A:K,5,FALSE),0),
         VLOOKUP(D830,TARIFAS!A:K,4,FALSE) + IF(I830="Sí",VLOOKUP(D830,TARIFAS!A:K,5,FALSE),0)
      ),
      IF(H830="Presencial",
         VLOOKUP(D830,TARIFAS!A:K,9,FALSE) + IF(I830="Sí",VLOOKUP(D830,TARIFAS!A:K,11,FALSE),0),
         VLOOKUP(D830,TARIFAS!A:K,10,FALSE) + IF(I830="Sí",VLOOKUP(D830,TARIFAS!A:K,11,FALSE),0)
      )
   )
)
</f>
        <v>0</v>
      </c>
      <c r="U830" s="45">
        <f>IF(R830="",0,MAX(0,R830 - TARIFAS!G$2) * TARIFAS!F$2)
</f>
        <v>0</v>
      </c>
      <c r="V830" s="45">
        <f>+T830*TARIFAS!$K$2</f>
        <v>0</v>
      </c>
      <c r="W830" s="45">
        <f t="shared" si="2"/>
        <v>0</v>
      </c>
      <c r="X830" s="45">
        <f t="shared" si="3"/>
        <v>0</v>
      </c>
      <c r="Y830" s="45">
        <f t="shared" si="4"/>
        <v>0</v>
      </c>
      <c r="Z830" s="42" t="str">
        <f>CONFERENCIAS!AB830</f>
        <v/>
      </c>
      <c r="AA830" s="42" t="str">
        <f>CONFERENCIAS!AC830</f>
        <v/>
      </c>
      <c r="AB830" s="47" t="str">
        <f t="shared" si="5"/>
        <v/>
      </c>
      <c r="AC830" s="9" t="str">
        <f t="shared" si="6"/>
        <v/>
      </c>
    </row>
    <row r="831">
      <c r="A831" s="42" t="str">
        <f>CONFERENCIAS!A831</f>
        <v/>
      </c>
      <c r="D831" s="42" t="str">
        <f>CONFERENCIAS!C831</f>
        <v/>
      </c>
      <c r="E831" s="42" t="str">
        <f>CONFERENCIAS!K831</f>
        <v/>
      </c>
      <c r="F831" s="49" t="str">
        <f>CONFERENCIAS!J831</f>
        <v/>
      </c>
      <c r="G831" s="42" t="str">
        <f>CONFERENCIAS!O831</f>
        <v/>
      </c>
      <c r="H831" s="42" t="str">
        <f>CONFERENCIAS!X831</f>
        <v/>
      </c>
      <c r="I831" s="42" t="str">
        <f>CONFERENCIAS!AA831</f>
        <v/>
      </c>
      <c r="J831" s="44" t="str">
        <f>CONFERENCIAS!P831</f>
        <v/>
      </c>
      <c r="K831" s="45" t="str">
        <f>CONFERENCIAS!R831</f>
        <v/>
      </c>
      <c r="L831" s="45">
        <f>IF(D831="",0,
 IF(E831=1,
   IF(H831="Presencial",
      VLOOKUP(D831,TARIFAS!A:K,3,FALSE) + IF(I831="Sí",VLOOKUP(D831,TARIFAS!A:K,5,FALSE),0),
      VLOOKUP(D831,TARIFAS!A:K,4,FALSE) + IF(I831="Sí",VLOOKUP(D831,TARIFAS!A:K,5,FALSE),0)
   ),
   IF(H831="Presencial",
      VLOOKUP(D831,TARIFAS!A:K,9,FALSE) + IF(I831="Sí",VLOOKUP(D831,TARIFAS!A:K,11,FALSE),0),
      VLOOKUP(D831,TARIFAS!A:K,10,FALSE) + IF(I831="Sí",VLOOKUP(D831,TARIFAS!A:K,11,FALSE),0)
   )
 )
)
</f>
        <v>0</v>
      </c>
      <c r="M831" s="45">
        <f>IF(J831="",0,MAX(0,J831 - TARIFAS!G$2) * TARIFAS!F$2)
</f>
        <v>0</v>
      </c>
      <c r="N831" s="45">
        <f>+L831*TARIFAS!$K$2</f>
        <v>0</v>
      </c>
      <c r="O831" s="45">
        <f t="shared" si="1"/>
        <v>0</v>
      </c>
      <c r="P831" s="45">
        <f>+M831+O831+K831+(+I831-(I831*TARIFAS!$K$2))</f>
        <v>0</v>
      </c>
      <c r="Q831" s="42" t="str">
        <f>CONFERENCIAS!T831</f>
        <v/>
      </c>
      <c r="R831" s="45" t="str">
        <f>CONFERENCIAS!U831</f>
        <v/>
      </c>
      <c r="S831" s="45" t="str">
        <f>CONFERENCIAS!W831</f>
        <v/>
      </c>
      <c r="T831" s="48">
        <f>IF(Q831="",0,
   IF(E831=1,
      IF(H831="Presencial",
         VLOOKUP(D831,TARIFAS!A:K,3,FALSE) + IF(I831="Sí",VLOOKUP(D831,TARIFAS!A:K,5,FALSE),0),
         VLOOKUP(D831,TARIFAS!A:K,4,FALSE) + IF(I831="Sí",VLOOKUP(D831,TARIFAS!A:K,5,FALSE),0)
      ),
      IF(H831="Presencial",
         VLOOKUP(D831,TARIFAS!A:K,9,FALSE) + IF(I831="Sí",VLOOKUP(D831,TARIFAS!A:K,11,FALSE),0),
         VLOOKUP(D831,TARIFAS!A:K,10,FALSE) + IF(I831="Sí",VLOOKUP(D831,TARIFAS!A:K,11,FALSE),0)
      )
   )
)
</f>
        <v>0</v>
      </c>
      <c r="U831" s="45">
        <f>IF(R831="",0,MAX(0,R831 - TARIFAS!G$2) * TARIFAS!F$2)
</f>
        <v>0</v>
      </c>
      <c r="V831" s="45">
        <f>+T831*TARIFAS!$K$2</f>
        <v>0</v>
      </c>
      <c r="W831" s="45">
        <f t="shared" si="2"/>
        <v>0</v>
      </c>
      <c r="X831" s="45">
        <f t="shared" si="3"/>
        <v>0</v>
      </c>
      <c r="Y831" s="45">
        <f t="shared" si="4"/>
        <v>0</v>
      </c>
      <c r="Z831" s="42" t="str">
        <f>CONFERENCIAS!AB831</f>
        <v/>
      </c>
      <c r="AA831" s="42" t="str">
        <f>CONFERENCIAS!AC831</f>
        <v/>
      </c>
      <c r="AB831" s="47" t="str">
        <f t="shared" si="5"/>
        <v/>
      </c>
      <c r="AC831" s="9" t="str">
        <f t="shared" si="6"/>
        <v/>
      </c>
    </row>
    <row r="832">
      <c r="A832" s="42" t="str">
        <f>CONFERENCIAS!A832</f>
        <v/>
      </c>
      <c r="D832" s="42" t="str">
        <f>CONFERENCIAS!C832</f>
        <v/>
      </c>
      <c r="E832" s="42" t="str">
        <f>CONFERENCIAS!K832</f>
        <v/>
      </c>
      <c r="F832" s="49" t="str">
        <f>CONFERENCIAS!J832</f>
        <v/>
      </c>
      <c r="G832" s="42" t="str">
        <f>CONFERENCIAS!O832</f>
        <v/>
      </c>
      <c r="H832" s="42" t="str">
        <f>CONFERENCIAS!X832</f>
        <v/>
      </c>
      <c r="I832" s="42" t="str">
        <f>CONFERENCIAS!AA832</f>
        <v/>
      </c>
      <c r="J832" s="44" t="str">
        <f>CONFERENCIAS!P832</f>
        <v/>
      </c>
      <c r="K832" s="45" t="str">
        <f>CONFERENCIAS!R832</f>
        <v/>
      </c>
      <c r="L832" s="45">
        <f>IF(D832="",0,
 IF(E832=1,
   IF(H832="Presencial",
      VLOOKUP(D832,TARIFAS!A:K,3,FALSE) + IF(I832="Sí",VLOOKUP(D832,TARIFAS!A:K,5,FALSE),0),
      VLOOKUP(D832,TARIFAS!A:K,4,FALSE) + IF(I832="Sí",VLOOKUP(D832,TARIFAS!A:K,5,FALSE),0)
   ),
   IF(H832="Presencial",
      VLOOKUP(D832,TARIFAS!A:K,9,FALSE) + IF(I832="Sí",VLOOKUP(D832,TARIFAS!A:K,11,FALSE),0),
      VLOOKUP(D832,TARIFAS!A:K,10,FALSE) + IF(I832="Sí",VLOOKUP(D832,TARIFAS!A:K,11,FALSE),0)
   )
 )
)
</f>
        <v>0</v>
      </c>
      <c r="M832" s="45">
        <f>IF(J832="",0,MAX(0,J832 - TARIFAS!G$2) * TARIFAS!F$2)
</f>
        <v>0</v>
      </c>
      <c r="N832" s="45">
        <f>+L832*TARIFAS!$K$2</f>
        <v>0</v>
      </c>
      <c r="O832" s="45">
        <f t="shared" si="1"/>
        <v>0</v>
      </c>
      <c r="P832" s="45">
        <f>+M832+O832+K832+(+I832-(I832*TARIFAS!$K$2))</f>
        <v>0</v>
      </c>
      <c r="Q832" s="42" t="str">
        <f>CONFERENCIAS!T832</f>
        <v/>
      </c>
      <c r="R832" s="45" t="str">
        <f>CONFERENCIAS!U832</f>
        <v/>
      </c>
      <c r="S832" s="45" t="str">
        <f>CONFERENCIAS!W832</f>
        <v/>
      </c>
      <c r="T832" s="48">
        <f>IF(Q832="",0,
   IF(E832=1,
      IF(H832="Presencial",
         VLOOKUP(D832,TARIFAS!A:K,3,FALSE) + IF(I832="Sí",VLOOKUP(D832,TARIFAS!A:K,5,FALSE),0),
         VLOOKUP(D832,TARIFAS!A:K,4,FALSE) + IF(I832="Sí",VLOOKUP(D832,TARIFAS!A:K,5,FALSE),0)
      ),
      IF(H832="Presencial",
         VLOOKUP(D832,TARIFAS!A:K,9,FALSE) + IF(I832="Sí",VLOOKUP(D832,TARIFAS!A:K,11,FALSE),0),
         VLOOKUP(D832,TARIFAS!A:K,10,FALSE) + IF(I832="Sí",VLOOKUP(D832,TARIFAS!A:K,11,FALSE),0)
      )
   )
)
</f>
        <v>0</v>
      </c>
      <c r="U832" s="45">
        <f>IF(R832="",0,MAX(0,R832 - TARIFAS!G$2) * TARIFAS!F$2)
</f>
        <v>0</v>
      </c>
      <c r="V832" s="45">
        <f>+T832*TARIFAS!$K$2</f>
        <v>0</v>
      </c>
      <c r="W832" s="45">
        <f t="shared" si="2"/>
        <v>0</v>
      </c>
      <c r="X832" s="45">
        <f t="shared" si="3"/>
        <v>0</v>
      </c>
      <c r="Y832" s="45">
        <f t="shared" si="4"/>
        <v>0</v>
      </c>
      <c r="Z832" s="42" t="str">
        <f>CONFERENCIAS!AB832</f>
        <v/>
      </c>
      <c r="AA832" s="42" t="str">
        <f>CONFERENCIAS!AC832</f>
        <v/>
      </c>
      <c r="AB832" s="47" t="str">
        <f t="shared" si="5"/>
        <v/>
      </c>
      <c r="AC832" s="9" t="str">
        <f t="shared" si="6"/>
        <v/>
      </c>
    </row>
    <row r="833">
      <c r="A833" s="42" t="str">
        <f>CONFERENCIAS!A833</f>
        <v/>
      </c>
      <c r="D833" s="42" t="str">
        <f>CONFERENCIAS!C833</f>
        <v/>
      </c>
      <c r="E833" s="42" t="str">
        <f>CONFERENCIAS!K833</f>
        <v/>
      </c>
      <c r="F833" s="49" t="str">
        <f>CONFERENCIAS!J833</f>
        <v/>
      </c>
      <c r="G833" s="42" t="str">
        <f>CONFERENCIAS!O833</f>
        <v/>
      </c>
      <c r="H833" s="42" t="str">
        <f>CONFERENCIAS!X833</f>
        <v/>
      </c>
      <c r="I833" s="42" t="str">
        <f>CONFERENCIAS!AA833</f>
        <v/>
      </c>
      <c r="J833" s="44" t="str">
        <f>CONFERENCIAS!P833</f>
        <v/>
      </c>
      <c r="K833" s="45" t="str">
        <f>CONFERENCIAS!R833</f>
        <v/>
      </c>
      <c r="L833" s="45">
        <f>IF(D833="",0,
 IF(E833=1,
   IF(H833="Presencial",
      VLOOKUP(D833,TARIFAS!A:K,3,FALSE) + IF(I833="Sí",VLOOKUP(D833,TARIFAS!A:K,5,FALSE),0),
      VLOOKUP(D833,TARIFAS!A:K,4,FALSE) + IF(I833="Sí",VLOOKUP(D833,TARIFAS!A:K,5,FALSE),0)
   ),
   IF(H833="Presencial",
      VLOOKUP(D833,TARIFAS!A:K,9,FALSE) + IF(I833="Sí",VLOOKUP(D833,TARIFAS!A:K,11,FALSE),0),
      VLOOKUP(D833,TARIFAS!A:K,10,FALSE) + IF(I833="Sí",VLOOKUP(D833,TARIFAS!A:K,11,FALSE),0)
   )
 )
)
</f>
        <v>0</v>
      </c>
      <c r="M833" s="45">
        <f>IF(J833="",0,MAX(0,J833 - TARIFAS!G$2) * TARIFAS!F$2)
</f>
        <v>0</v>
      </c>
      <c r="N833" s="45">
        <f>+L833*TARIFAS!$K$2</f>
        <v>0</v>
      </c>
      <c r="O833" s="45">
        <f t="shared" si="1"/>
        <v>0</v>
      </c>
      <c r="P833" s="45">
        <f>+M833+O833+K833+(+I833-(I833*TARIFAS!$K$2))</f>
        <v>0</v>
      </c>
      <c r="Q833" s="42" t="str">
        <f>CONFERENCIAS!T833</f>
        <v/>
      </c>
      <c r="R833" s="45" t="str">
        <f>CONFERENCIAS!U833</f>
        <v/>
      </c>
      <c r="S833" s="45" t="str">
        <f>CONFERENCIAS!W833</f>
        <v/>
      </c>
      <c r="T833" s="48">
        <f>IF(Q833="",0,
   IF(E833=1,
      IF(H833="Presencial",
         VLOOKUP(D833,TARIFAS!A:K,3,FALSE) + IF(I833="Sí",VLOOKUP(D833,TARIFAS!A:K,5,FALSE),0),
         VLOOKUP(D833,TARIFAS!A:K,4,FALSE) + IF(I833="Sí",VLOOKUP(D833,TARIFAS!A:K,5,FALSE),0)
      ),
      IF(H833="Presencial",
         VLOOKUP(D833,TARIFAS!A:K,9,FALSE) + IF(I833="Sí",VLOOKUP(D833,TARIFAS!A:K,11,FALSE),0),
         VLOOKUP(D833,TARIFAS!A:K,10,FALSE) + IF(I833="Sí",VLOOKUP(D833,TARIFAS!A:K,11,FALSE),0)
      )
   )
)
</f>
        <v>0</v>
      </c>
      <c r="U833" s="45">
        <f>IF(R833="",0,MAX(0,R833 - TARIFAS!G$2) * TARIFAS!F$2)
</f>
        <v>0</v>
      </c>
      <c r="V833" s="45">
        <f>+T833*TARIFAS!$K$2</f>
        <v>0</v>
      </c>
      <c r="W833" s="45">
        <f t="shared" si="2"/>
        <v>0</v>
      </c>
      <c r="X833" s="45">
        <f t="shared" si="3"/>
        <v>0</v>
      </c>
      <c r="Y833" s="45">
        <f t="shared" si="4"/>
        <v>0</v>
      </c>
      <c r="Z833" s="42" t="str">
        <f>CONFERENCIAS!AB833</f>
        <v/>
      </c>
      <c r="AA833" s="42" t="str">
        <f>CONFERENCIAS!AC833</f>
        <v/>
      </c>
      <c r="AB833" s="47" t="str">
        <f t="shared" si="5"/>
        <v/>
      </c>
      <c r="AC833" s="9" t="str">
        <f t="shared" si="6"/>
        <v/>
      </c>
    </row>
    <row r="834">
      <c r="A834" s="42" t="str">
        <f>CONFERENCIAS!A834</f>
        <v/>
      </c>
      <c r="D834" s="42" t="str">
        <f>CONFERENCIAS!C834</f>
        <v/>
      </c>
      <c r="E834" s="42" t="str">
        <f>CONFERENCIAS!K834</f>
        <v/>
      </c>
      <c r="F834" s="49" t="str">
        <f>CONFERENCIAS!J834</f>
        <v/>
      </c>
      <c r="G834" s="42" t="str">
        <f>CONFERENCIAS!O834</f>
        <v/>
      </c>
      <c r="H834" s="42" t="str">
        <f>CONFERENCIAS!X834</f>
        <v/>
      </c>
      <c r="I834" s="42" t="str">
        <f>CONFERENCIAS!AA834</f>
        <v/>
      </c>
      <c r="J834" s="44" t="str">
        <f>CONFERENCIAS!P834</f>
        <v/>
      </c>
      <c r="K834" s="45" t="str">
        <f>CONFERENCIAS!R834</f>
        <v/>
      </c>
      <c r="L834" s="45">
        <f>IF(D834="",0,
 IF(E834=1,
   IF(H834="Presencial",
      VLOOKUP(D834,TARIFAS!A:K,3,FALSE) + IF(I834="Sí",VLOOKUP(D834,TARIFAS!A:K,5,FALSE),0),
      VLOOKUP(D834,TARIFAS!A:K,4,FALSE) + IF(I834="Sí",VLOOKUP(D834,TARIFAS!A:K,5,FALSE),0)
   ),
   IF(H834="Presencial",
      VLOOKUP(D834,TARIFAS!A:K,9,FALSE) + IF(I834="Sí",VLOOKUP(D834,TARIFAS!A:K,11,FALSE),0),
      VLOOKUP(D834,TARIFAS!A:K,10,FALSE) + IF(I834="Sí",VLOOKUP(D834,TARIFAS!A:K,11,FALSE),0)
   )
 )
)
</f>
        <v>0</v>
      </c>
      <c r="M834" s="45">
        <f>IF(J834="",0,MAX(0,J834 - TARIFAS!G$2) * TARIFAS!F$2)
</f>
        <v>0</v>
      </c>
      <c r="N834" s="45">
        <f>+L834*TARIFAS!$K$2</f>
        <v>0</v>
      </c>
      <c r="O834" s="45">
        <f t="shared" si="1"/>
        <v>0</v>
      </c>
      <c r="P834" s="45">
        <f>+M834+O834+K834+(+I834-(I834*TARIFAS!$K$2))</f>
        <v>0</v>
      </c>
      <c r="Q834" s="42" t="str">
        <f>CONFERENCIAS!T834</f>
        <v/>
      </c>
      <c r="R834" s="45" t="str">
        <f>CONFERENCIAS!U834</f>
        <v/>
      </c>
      <c r="S834" s="45" t="str">
        <f>CONFERENCIAS!W834</f>
        <v/>
      </c>
      <c r="T834" s="48">
        <f>IF(Q834="",0,
   IF(E834=1,
      IF(H834="Presencial",
         VLOOKUP(D834,TARIFAS!A:K,3,FALSE) + IF(I834="Sí",VLOOKUP(D834,TARIFAS!A:K,5,FALSE),0),
         VLOOKUP(D834,TARIFAS!A:K,4,FALSE) + IF(I834="Sí",VLOOKUP(D834,TARIFAS!A:K,5,FALSE),0)
      ),
      IF(H834="Presencial",
         VLOOKUP(D834,TARIFAS!A:K,9,FALSE) + IF(I834="Sí",VLOOKUP(D834,TARIFAS!A:K,11,FALSE),0),
         VLOOKUP(D834,TARIFAS!A:K,10,FALSE) + IF(I834="Sí",VLOOKUP(D834,TARIFAS!A:K,11,FALSE),0)
      )
   )
)
</f>
        <v>0</v>
      </c>
      <c r="U834" s="45">
        <f>IF(R834="",0,MAX(0,R834 - TARIFAS!G$2) * TARIFAS!F$2)
</f>
        <v>0</v>
      </c>
      <c r="V834" s="45">
        <f>+T834*TARIFAS!$K$2</f>
        <v>0</v>
      </c>
      <c r="W834" s="45">
        <f t="shared" si="2"/>
        <v>0</v>
      </c>
      <c r="X834" s="45">
        <f t="shared" si="3"/>
        <v>0</v>
      </c>
      <c r="Y834" s="45">
        <f t="shared" si="4"/>
        <v>0</v>
      </c>
      <c r="Z834" s="42" t="str">
        <f>CONFERENCIAS!AB834</f>
        <v/>
      </c>
      <c r="AA834" s="42" t="str">
        <f>CONFERENCIAS!AC834</f>
        <v/>
      </c>
      <c r="AB834" s="47" t="str">
        <f t="shared" si="5"/>
        <v/>
      </c>
      <c r="AC834" s="9" t="str">
        <f t="shared" si="6"/>
        <v/>
      </c>
    </row>
    <row r="835">
      <c r="A835" s="42" t="str">
        <f>CONFERENCIAS!A835</f>
        <v/>
      </c>
      <c r="D835" s="42" t="str">
        <f>CONFERENCIAS!C835</f>
        <v/>
      </c>
      <c r="E835" s="42" t="str">
        <f>CONFERENCIAS!K835</f>
        <v/>
      </c>
      <c r="F835" s="49" t="str">
        <f>CONFERENCIAS!J835</f>
        <v/>
      </c>
      <c r="G835" s="42" t="str">
        <f>CONFERENCIAS!O835</f>
        <v/>
      </c>
      <c r="H835" s="42" t="str">
        <f>CONFERENCIAS!X835</f>
        <v/>
      </c>
      <c r="I835" s="42" t="str">
        <f>CONFERENCIAS!AA835</f>
        <v/>
      </c>
      <c r="J835" s="44" t="str">
        <f>CONFERENCIAS!P835</f>
        <v/>
      </c>
      <c r="K835" s="45" t="str">
        <f>CONFERENCIAS!R835</f>
        <v/>
      </c>
      <c r="L835" s="45">
        <f>IF(D835="",0,
 IF(E835=1,
   IF(H835="Presencial",
      VLOOKUP(D835,TARIFAS!A:K,3,FALSE) + IF(I835="Sí",VLOOKUP(D835,TARIFAS!A:K,5,FALSE),0),
      VLOOKUP(D835,TARIFAS!A:K,4,FALSE) + IF(I835="Sí",VLOOKUP(D835,TARIFAS!A:K,5,FALSE),0)
   ),
   IF(H835="Presencial",
      VLOOKUP(D835,TARIFAS!A:K,9,FALSE) + IF(I835="Sí",VLOOKUP(D835,TARIFAS!A:K,11,FALSE),0),
      VLOOKUP(D835,TARIFAS!A:K,10,FALSE) + IF(I835="Sí",VLOOKUP(D835,TARIFAS!A:K,11,FALSE),0)
   )
 )
)
</f>
        <v>0</v>
      </c>
      <c r="M835" s="45">
        <f>IF(J835="",0,MAX(0,J835 - TARIFAS!G$2) * TARIFAS!F$2)
</f>
        <v>0</v>
      </c>
      <c r="N835" s="45">
        <f>+L835*TARIFAS!$K$2</f>
        <v>0</v>
      </c>
      <c r="O835" s="45">
        <f t="shared" si="1"/>
        <v>0</v>
      </c>
      <c r="P835" s="45">
        <f>+M835+O835+K835+(+I835-(I835*TARIFAS!$K$2))</f>
        <v>0</v>
      </c>
      <c r="Q835" s="42" t="str">
        <f>CONFERENCIAS!T835</f>
        <v/>
      </c>
      <c r="R835" s="45" t="str">
        <f>CONFERENCIAS!U835</f>
        <v/>
      </c>
      <c r="S835" s="45" t="str">
        <f>CONFERENCIAS!W835</f>
        <v/>
      </c>
      <c r="T835" s="48">
        <f>IF(Q835="",0,
   IF(E835=1,
      IF(H835="Presencial",
         VLOOKUP(D835,TARIFAS!A:K,3,FALSE) + IF(I835="Sí",VLOOKUP(D835,TARIFAS!A:K,5,FALSE),0),
         VLOOKUP(D835,TARIFAS!A:K,4,FALSE) + IF(I835="Sí",VLOOKUP(D835,TARIFAS!A:K,5,FALSE),0)
      ),
      IF(H835="Presencial",
         VLOOKUP(D835,TARIFAS!A:K,9,FALSE) + IF(I835="Sí",VLOOKUP(D835,TARIFAS!A:K,11,FALSE),0),
         VLOOKUP(D835,TARIFAS!A:K,10,FALSE) + IF(I835="Sí",VLOOKUP(D835,TARIFAS!A:K,11,FALSE),0)
      )
   )
)
</f>
        <v>0</v>
      </c>
      <c r="U835" s="45">
        <f>IF(R835="",0,MAX(0,R835 - TARIFAS!G$2) * TARIFAS!F$2)
</f>
        <v>0</v>
      </c>
      <c r="V835" s="45">
        <f>+T835*TARIFAS!$K$2</f>
        <v>0</v>
      </c>
      <c r="W835" s="45">
        <f t="shared" si="2"/>
        <v>0</v>
      </c>
      <c r="X835" s="45">
        <f t="shared" si="3"/>
        <v>0</v>
      </c>
      <c r="Y835" s="45">
        <f t="shared" si="4"/>
        <v>0</v>
      </c>
      <c r="Z835" s="42" t="str">
        <f>CONFERENCIAS!AB835</f>
        <v/>
      </c>
      <c r="AA835" s="42" t="str">
        <f>CONFERENCIAS!AC835</f>
        <v/>
      </c>
      <c r="AB835" s="47" t="str">
        <f t="shared" si="5"/>
        <v/>
      </c>
      <c r="AC835" s="9" t="str">
        <f t="shared" si="6"/>
        <v/>
      </c>
    </row>
    <row r="836">
      <c r="A836" s="42" t="str">
        <f>CONFERENCIAS!A836</f>
        <v/>
      </c>
      <c r="D836" s="42" t="str">
        <f>CONFERENCIAS!C836</f>
        <v/>
      </c>
      <c r="E836" s="42" t="str">
        <f>CONFERENCIAS!K836</f>
        <v/>
      </c>
      <c r="F836" s="49" t="str">
        <f>CONFERENCIAS!J836</f>
        <v/>
      </c>
      <c r="G836" s="42" t="str">
        <f>CONFERENCIAS!O836</f>
        <v/>
      </c>
      <c r="H836" s="42" t="str">
        <f>CONFERENCIAS!X836</f>
        <v/>
      </c>
      <c r="I836" s="42" t="str">
        <f>CONFERENCIAS!AA836</f>
        <v/>
      </c>
      <c r="J836" s="44" t="str">
        <f>CONFERENCIAS!P836</f>
        <v/>
      </c>
      <c r="K836" s="45" t="str">
        <f>CONFERENCIAS!R836</f>
        <v/>
      </c>
      <c r="L836" s="45">
        <f>IF(D836="",0,
 IF(E836=1,
   IF(H836="Presencial",
      VLOOKUP(D836,TARIFAS!A:K,3,FALSE) + IF(I836="Sí",VLOOKUP(D836,TARIFAS!A:K,5,FALSE),0),
      VLOOKUP(D836,TARIFAS!A:K,4,FALSE) + IF(I836="Sí",VLOOKUP(D836,TARIFAS!A:K,5,FALSE),0)
   ),
   IF(H836="Presencial",
      VLOOKUP(D836,TARIFAS!A:K,9,FALSE) + IF(I836="Sí",VLOOKUP(D836,TARIFAS!A:K,11,FALSE),0),
      VLOOKUP(D836,TARIFAS!A:K,10,FALSE) + IF(I836="Sí",VLOOKUP(D836,TARIFAS!A:K,11,FALSE),0)
   )
 )
)
</f>
        <v>0</v>
      </c>
      <c r="M836" s="45">
        <f>IF(J836="",0,MAX(0,J836 - TARIFAS!G$2) * TARIFAS!F$2)
</f>
        <v>0</v>
      </c>
      <c r="N836" s="45">
        <f>+L836*TARIFAS!$K$2</f>
        <v>0</v>
      </c>
      <c r="O836" s="45">
        <f t="shared" si="1"/>
        <v>0</v>
      </c>
      <c r="P836" s="45">
        <f>+M836+O836+K836+(+I836-(I836*TARIFAS!$K$2))</f>
        <v>0</v>
      </c>
      <c r="Q836" s="42" t="str">
        <f>CONFERENCIAS!T836</f>
        <v/>
      </c>
      <c r="R836" s="45" t="str">
        <f>CONFERENCIAS!U836</f>
        <v/>
      </c>
      <c r="S836" s="45" t="str">
        <f>CONFERENCIAS!W836</f>
        <v/>
      </c>
      <c r="T836" s="48">
        <f>IF(Q836="",0,
   IF(E836=1,
      IF(H836="Presencial",
         VLOOKUP(D836,TARIFAS!A:K,3,FALSE) + IF(I836="Sí",VLOOKUP(D836,TARIFAS!A:K,5,FALSE),0),
         VLOOKUP(D836,TARIFAS!A:K,4,FALSE) + IF(I836="Sí",VLOOKUP(D836,TARIFAS!A:K,5,FALSE),0)
      ),
      IF(H836="Presencial",
         VLOOKUP(D836,TARIFAS!A:K,9,FALSE) + IF(I836="Sí",VLOOKUP(D836,TARIFAS!A:K,11,FALSE),0),
         VLOOKUP(D836,TARIFAS!A:K,10,FALSE) + IF(I836="Sí",VLOOKUP(D836,TARIFAS!A:K,11,FALSE),0)
      )
   )
)
</f>
        <v>0</v>
      </c>
      <c r="U836" s="45">
        <f>IF(R836="",0,MAX(0,R836 - TARIFAS!G$2) * TARIFAS!F$2)
</f>
        <v>0</v>
      </c>
      <c r="V836" s="45">
        <f>+T836*TARIFAS!$K$2</f>
        <v>0</v>
      </c>
      <c r="W836" s="45">
        <f t="shared" si="2"/>
        <v>0</v>
      </c>
      <c r="X836" s="45">
        <f t="shared" si="3"/>
        <v>0</v>
      </c>
      <c r="Y836" s="45">
        <f t="shared" si="4"/>
        <v>0</v>
      </c>
      <c r="Z836" s="42" t="str">
        <f>CONFERENCIAS!AB836</f>
        <v/>
      </c>
      <c r="AA836" s="42" t="str">
        <f>CONFERENCIAS!AC836</f>
        <v/>
      </c>
      <c r="AB836" s="47" t="str">
        <f t="shared" si="5"/>
        <v/>
      </c>
      <c r="AC836" s="9" t="str">
        <f t="shared" si="6"/>
        <v/>
      </c>
    </row>
    <row r="837">
      <c r="A837" s="42" t="str">
        <f>CONFERENCIAS!A837</f>
        <v/>
      </c>
      <c r="D837" s="42" t="str">
        <f>CONFERENCIAS!C837</f>
        <v/>
      </c>
      <c r="E837" s="42" t="str">
        <f>CONFERENCIAS!K837</f>
        <v/>
      </c>
      <c r="F837" s="49" t="str">
        <f>CONFERENCIAS!J837</f>
        <v/>
      </c>
      <c r="G837" s="42" t="str">
        <f>CONFERENCIAS!O837</f>
        <v/>
      </c>
      <c r="H837" s="42" t="str">
        <f>CONFERENCIAS!X837</f>
        <v/>
      </c>
      <c r="I837" s="42" t="str">
        <f>CONFERENCIAS!AA837</f>
        <v/>
      </c>
      <c r="J837" s="44" t="str">
        <f>CONFERENCIAS!P837</f>
        <v/>
      </c>
      <c r="K837" s="45" t="str">
        <f>CONFERENCIAS!R837</f>
        <v/>
      </c>
      <c r="L837" s="45">
        <f>IF(D837="",0,
 IF(E837=1,
   IF(H837="Presencial",
      VLOOKUP(D837,TARIFAS!A:K,3,FALSE) + IF(I837="Sí",VLOOKUP(D837,TARIFAS!A:K,5,FALSE),0),
      VLOOKUP(D837,TARIFAS!A:K,4,FALSE) + IF(I837="Sí",VLOOKUP(D837,TARIFAS!A:K,5,FALSE),0)
   ),
   IF(H837="Presencial",
      VLOOKUP(D837,TARIFAS!A:K,9,FALSE) + IF(I837="Sí",VLOOKUP(D837,TARIFAS!A:K,11,FALSE),0),
      VLOOKUP(D837,TARIFAS!A:K,10,FALSE) + IF(I837="Sí",VLOOKUP(D837,TARIFAS!A:K,11,FALSE),0)
   )
 )
)
</f>
        <v>0</v>
      </c>
      <c r="M837" s="45">
        <f>IF(J837="",0,MAX(0,J837 - TARIFAS!G$2) * TARIFAS!F$2)
</f>
        <v>0</v>
      </c>
      <c r="N837" s="45">
        <f>+L837*TARIFAS!$K$2</f>
        <v>0</v>
      </c>
      <c r="O837" s="45">
        <f t="shared" si="1"/>
        <v>0</v>
      </c>
      <c r="P837" s="45">
        <f>+M837+O837+K837+(+I837-(I837*TARIFAS!$K$2))</f>
        <v>0</v>
      </c>
      <c r="Q837" s="42" t="str">
        <f>CONFERENCIAS!T837</f>
        <v/>
      </c>
      <c r="R837" s="45" t="str">
        <f>CONFERENCIAS!U837</f>
        <v/>
      </c>
      <c r="S837" s="45" t="str">
        <f>CONFERENCIAS!W837</f>
        <v/>
      </c>
      <c r="T837" s="48">
        <f>IF(Q837="",0,
   IF(E837=1,
      IF(H837="Presencial",
         VLOOKUP(D837,TARIFAS!A:K,3,FALSE) + IF(I837="Sí",VLOOKUP(D837,TARIFAS!A:K,5,FALSE),0),
         VLOOKUP(D837,TARIFAS!A:K,4,FALSE) + IF(I837="Sí",VLOOKUP(D837,TARIFAS!A:K,5,FALSE),0)
      ),
      IF(H837="Presencial",
         VLOOKUP(D837,TARIFAS!A:K,9,FALSE) + IF(I837="Sí",VLOOKUP(D837,TARIFAS!A:K,11,FALSE),0),
         VLOOKUP(D837,TARIFAS!A:K,10,FALSE) + IF(I837="Sí",VLOOKUP(D837,TARIFAS!A:K,11,FALSE),0)
      )
   )
)
</f>
        <v>0</v>
      </c>
      <c r="U837" s="45">
        <f>IF(R837="",0,MAX(0,R837 - TARIFAS!G$2) * TARIFAS!F$2)
</f>
        <v>0</v>
      </c>
      <c r="V837" s="45">
        <f>+T837*TARIFAS!$K$2</f>
        <v>0</v>
      </c>
      <c r="W837" s="45">
        <f t="shared" si="2"/>
        <v>0</v>
      </c>
      <c r="X837" s="45">
        <f t="shared" si="3"/>
        <v>0</v>
      </c>
      <c r="Y837" s="45">
        <f t="shared" si="4"/>
        <v>0</v>
      </c>
      <c r="Z837" s="42" t="str">
        <f>CONFERENCIAS!AB837</f>
        <v/>
      </c>
      <c r="AA837" s="42" t="str">
        <f>CONFERENCIAS!AC837</f>
        <v/>
      </c>
      <c r="AB837" s="47" t="str">
        <f t="shared" si="5"/>
        <v/>
      </c>
      <c r="AC837" s="9" t="str">
        <f t="shared" si="6"/>
        <v/>
      </c>
    </row>
    <row r="838">
      <c r="A838" s="42" t="str">
        <f>CONFERENCIAS!A838</f>
        <v/>
      </c>
      <c r="D838" s="42" t="str">
        <f>CONFERENCIAS!C838</f>
        <v/>
      </c>
      <c r="E838" s="42" t="str">
        <f>CONFERENCIAS!K838</f>
        <v/>
      </c>
      <c r="F838" s="49" t="str">
        <f>CONFERENCIAS!J838</f>
        <v/>
      </c>
      <c r="G838" s="42" t="str">
        <f>CONFERENCIAS!O838</f>
        <v/>
      </c>
      <c r="H838" s="42" t="str">
        <f>CONFERENCIAS!X838</f>
        <v/>
      </c>
      <c r="I838" s="42" t="str">
        <f>CONFERENCIAS!AA838</f>
        <v/>
      </c>
      <c r="J838" s="44" t="str">
        <f>CONFERENCIAS!P838</f>
        <v/>
      </c>
      <c r="K838" s="45" t="str">
        <f>CONFERENCIAS!R838</f>
        <v/>
      </c>
      <c r="L838" s="45">
        <f>IF(D838="",0,
 IF(E838=1,
   IF(H838="Presencial",
      VLOOKUP(D838,TARIFAS!A:K,3,FALSE) + IF(I838="Sí",VLOOKUP(D838,TARIFAS!A:K,5,FALSE),0),
      VLOOKUP(D838,TARIFAS!A:K,4,FALSE) + IF(I838="Sí",VLOOKUP(D838,TARIFAS!A:K,5,FALSE),0)
   ),
   IF(H838="Presencial",
      VLOOKUP(D838,TARIFAS!A:K,9,FALSE) + IF(I838="Sí",VLOOKUP(D838,TARIFAS!A:K,11,FALSE),0),
      VLOOKUP(D838,TARIFAS!A:K,10,FALSE) + IF(I838="Sí",VLOOKUP(D838,TARIFAS!A:K,11,FALSE),0)
   )
 )
)
</f>
        <v>0</v>
      </c>
      <c r="M838" s="45">
        <f>IF(J838="",0,MAX(0,J838 - TARIFAS!G$2) * TARIFAS!F$2)
</f>
        <v>0</v>
      </c>
      <c r="N838" s="45">
        <f>+L838*TARIFAS!$K$2</f>
        <v>0</v>
      </c>
      <c r="O838" s="45">
        <f t="shared" si="1"/>
        <v>0</v>
      </c>
      <c r="P838" s="45">
        <f>+M838+O838+K838+(+I838-(I838*TARIFAS!$K$2))</f>
        <v>0</v>
      </c>
      <c r="Q838" s="42" t="str">
        <f>CONFERENCIAS!T838</f>
        <v/>
      </c>
      <c r="R838" s="45" t="str">
        <f>CONFERENCIAS!U838</f>
        <v/>
      </c>
      <c r="S838" s="45" t="str">
        <f>CONFERENCIAS!W838</f>
        <v/>
      </c>
      <c r="T838" s="48">
        <f>IF(Q838="",0,
   IF(E838=1,
      IF(H838="Presencial",
         VLOOKUP(D838,TARIFAS!A:K,3,FALSE) + IF(I838="Sí",VLOOKUP(D838,TARIFAS!A:K,5,FALSE),0),
         VLOOKUP(D838,TARIFAS!A:K,4,FALSE) + IF(I838="Sí",VLOOKUP(D838,TARIFAS!A:K,5,FALSE),0)
      ),
      IF(H838="Presencial",
         VLOOKUP(D838,TARIFAS!A:K,9,FALSE) + IF(I838="Sí",VLOOKUP(D838,TARIFAS!A:K,11,FALSE),0),
         VLOOKUP(D838,TARIFAS!A:K,10,FALSE) + IF(I838="Sí",VLOOKUP(D838,TARIFAS!A:K,11,FALSE),0)
      )
   )
)
</f>
        <v>0</v>
      </c>
      <c r="U838" s="45">
        <f>IF(R838="",0,MAX(0,R838 - TARIFAS!G$2) * TARIFAS!F$2)
</f>
        <v>0</v>
      </c>
      <c r="V838" s="45">
        <f>+T838*TARIFAS!$K$2</f>
        <v>0</v>
      </c>
      <c r="W838" s="45">
        <f t="shared" si="2"/>
        <v>0</v>
      </c>
      <c r="X838" s="45">
        <f t="shared" si="3"/>
        <v>0</v>
      </c>
      <c r="Y838" s="45">
        <f t="shared" si="4"/>
        <v>0</v>
      </c>
      <c r="Z838" s="42" t="str">
        <f>CONFERENCIAS!AB838</f>
        <v/>
      </c>
      <c r="AA838" s="42" t="str">
        <f>CONFERENCIAS!AC838</f>
        <v/>
      </c>
      <c r="AB838" s="47" t="str">
        <f t="shared" si="5"/>
        <v/>
      </c>
      <c r="AC838" s="9" t="str">
        <f t="shared" si="6"/>
        <v/>
      </c>
    </row>
    <row r="839">
      <c r="A839" s="42" t="str">
        <f>CONFERENCIAS!A839</f>
        <v/>
      </c>
      <c r="D839" s="42" t="str">
        <f>CONFERENCIAS!C839</f>
        <v/>
      </c>
      <c r="E839" s="42" t="str">
        <f>CONFERENCIAS!K839</f>
        <v/>
      </c>
      <c r="F839" s="49" t="str">
        <f>CONFERENCIAS!J839</f>
        <v/>
      </c>
      <c r="G839" s="42" t="str">
        <f>CONFERENCIAS!O839</f>
        <v/>
      </c>
      <c r="H839" s="42" t="str">
        <f>CONFERENCIAS!X839</f>
        <v/>
      </c>
      <c r="I839" s="42" t="str">
        <f>CONFERENCIAS!AA839</f>
        <v/>
      </c>
      <c r="J839" s="44" t="str">
        <f>CONFERENCIAS!P839</f>
        <v/>
      </c>
      <c r="K839" s="45" t="str">
        <f>CONFERENCIAS!R839</f>
        <v/>
      </c>
      <c r="L839" s="45">
        <f>IF(D839="",0,
 IF(E839=1,
   IF(H839="Presencial",
      VLOOKUP(D839,TARIFAS!A:K,3,FALSE) + IF(I839="Sí",VLOOKUP(D839,TARIFAS!A:K,5,FALSE),0),
      VLOOKUP(D839,TARIFAS!A:K,4,FALSE) + IF(I839="Sí",VLOOKUP(D839,TARIFAS!A:K,5,FALSE),0)
   ),
   IF(H839="Presencial",
      VLOOKUP(D839,TARIFAS!A:K,9,FALSE) + IF(I839="Sí",VLOOKUP(D839,TARIFAS!A:K,11,FALSE),0),
      VLOOKUP(D839,TARIFAS!A:K,10,FALSE) + IF(I839="Sí",VLOOKUP(D839,TARIFAS!A:K,11,FALSE),0)
   )
 )
)
</f>
        <v>0</v>
      </c>
      <c r="M839" s="45">
        <f>IF(J839="",0,MAX(0,J839 - TARIFAS!G$2) * TARIFAS!F$2)
</f>
        <v>0</v>
      </c>
      <c r="N839" s="45">
        <f>+L839*TARIFAS!$K$2</f>
        <v>0</v>
      </c>
      <c r="O839" s="45">
        <f t="shared" si="1"/>
        <v>0</v>
      </c>
      <c r="P839" s="45">
        <f>+M839+O839+K839+(+I839-(I839*TARIFAS!$K$2))</f>
        <v>0</v>
      </c>
      <c r="Q839" s="42" t="str">
        <f>CONFERENCIAS!T839</f>
        <v/>
      </c>
      <c r="R839" s="45" t="str">
        <f>CONFERENCIAS!U839</f>
        <v/>
      </c>
      <c r="S839" s="45" t="str">
        <f>CONFERENCIAS!W839</f>
        <v/>
      </c>
      <c r="T839" s="48">
        <f>IF(Q839="",0,
   IF(E839=1,
      IF(H839="Presencial",
         VLOOKUP(D839,TARIFAS!A:K,3,FALSE) + IF(I839="Sí",VLOOKUP(D839,TARIFAS!A:K,5,FALSE),0),
         VLOOKUP(D839,TARIFAS!A:K,4,FALSE) + IF(I839="Sí",VLOOKUP(D839,TARIFAS!A:K,5,FALSE),0)
      ),
      IF(H839="Presencial",
         VLOOKUP(D839,TARIFAS!A:K,9,FALSE) + IF(I839="Sí",VLOOKUP(D839,TARIFAS!A:K,11,FALSE),0),
         VLOOKUP(D839,TARIFAS!A:K,10,FALSE) + IF(I839="Sí",VLOOKUP(D839,TARIFAS!A:K,11,FALSE),0)
      )
   )
)
</f>
        <v>0</v>
      </c>
      <c r="U839" s="45">
        <f>IF(R839="",0,MAX(0,R839 - TARIFAS!G$2) * TARIFAS!F$2)
</f>
        <v>0</v>
      </c>
      <c r="V839" s="45">
        <f>+T839*TARIFAS!$K$2</f>
        <v>0</v>
      </c>
      <c r="W839" s="45">
        <f t="shared" si="2"/>
        <v>0</v>
      </c>
      <c r="X839" s="45">
        <f t="shared" si="3"/>
        <v>0</v>
      </c>
      <c r="Y839" s="45">
        <f t="shared" si="4"/>
        <v>0</v>
      </c>
      <c r="Z839" s="42" t="str">
        <f>CONFERENCIAS!AB839</f>
        <v/>
      </c>
      <c r="AA839" s="42" t="str">
        <f>CONFERENCIAS!AC839</f>
        <v/>
      </c>
      <c r="AB839" s="47" t="str">
        <f t="shared" si="5"/>
        <v/>
      </c>
      <c r="AC839" s="9" t="str">
        <f t="shared" si="6"/>
        <v/>
      </c>
    </row>
    <row r="840">
      <c r="A840" s="42" t="str">
        <f>CONFERENCIAS!A840</f>
        <v/>
      </c>
      <c r="D840" s="42" t="str">
        <f>CONFERENCIAS!C840</f>
        <v/>
      </c>
      <c r="E840" s="42" t="str">
        <f>CONFERENCIAS!K840</f>
        <v/>
      </c>
      <c r="F840" s="49" t="str">
        <f>CONFERENCIAS!J840</f>
        <v/>
      </c>
      <c r="G840" s="42" t="str">
        <f>CONFERENCIAS!O840</f>
        <v/>
      </c>
      <c r="H840" s="42" t="str">
        <f>CONFERENCIAS!X840</f>
        <v/>
      </c>
      <c r="I840" s="42" t="str">
        <f>CONFERENCIAS!AA840</f>
        <v/>
      </c>
      <c r="J840" s="44" t="str">
        <f>CONFERENCIAS!P840</f>
        <v/>
      </c>
      <c r="K840" s="45" t="str">
        <f>CONFERENCIAS!R840</f>
        <v/>
      </c>
      <c r="L840" s="45">
        <f>IF(D840="",0,
 IF(E840=1,
   IF(H840="Presencial",
      VLOOKUP(D840,TARIFAS!A:K,3,FALSE) + IF(I840="Sí",VLOOKUP(D840,TARIFAS!A:K,5,FALSE),0),
      VLOOKUP(D840,TARIFAS!A:K,4,FALSE) + IF(I840="Sí",VLOOKUP(D840,TARIFAS!A:K,5,FALSE),0)
   ),
   IF(H840="Presencial",
      VLOOKUP(D840,TARIFAS!A:K,9,FALSE) + IF(I840="Sí",VLOOKUP(D840,TARIFAS!A:K,11,FALSE),0),
      VLOOKUP(D840,TARIFAS!A:K,10,FALSE) + IF(I840="Sí",VLOOKUP(D840,TARIFAS!A:K,11,FALSE),0)
   )
 )
)
</f>
        <v>0</v>
      </c>
      <c r="M840" s="45">
        <f>IF(J840="",0,MAX(0,J840 - TARIFAS!G$2) * TARIFAS!F$2)
</f>
        <v>0</v>
      </c>
      <c r="N840" s="45">
        <f>+L840*TARIFAS!$K$2</f>
        <v>0</v>
      </c>
      <c r="O840" s="45">
        <f t="shared" si="1"/>
        <v>0</v>
      </c>
      <c r="P840" s="45">
        <f>+M840+O840+K840+(+I840-(I840*TARIFAS!$K$2))</f>
        <v>0</v>
      </c>
      <c r="Q840" s="42" t="str">
        <f>CONFERENCIAS!T840</f>
        <v/>
      </c>
      <c r="R840" s="45" t="str">
        <f>CONFERENCIAS!U840</f>
        <v/>
      </c>
      <c r="S840" s="45" t="str">
        <f>CONFERENCIAS!W840</f>
        <v/>
      </c>
      <c r="T840" s="48">
        <f>IF(Q840="",0,
   IF(E840=1,
      IF(H840="Presencial",
         VLOOKUP(D840,TARIFAS!A:K,3,FALSE) + IF(I840="Sí",VLOOKUP(D840,TARIFAS!A:K,5,FALSE),0),
         VLOOKUP(D840,TARIFAS!A:K,4,FALSE) + IF(I840="Sí",VLOOKUP(D840,TARIFAS!A:K,5,FALSE),0)
      ),
      IF(H840="Presencial",
         VLOOKUP(D840,TARIFAS!A:K,9,FALSE) + IF(I840="Sí",VLOOKUP(D840,TARIFAS!A:K,11,FALSE),0),
         VLOOKUP(D840,TARIFAS!A:K,10,FALSE) + IF(I840="Sí",VLOOKUP(D840,TARIFAS!A:K,11,FALSE),0)
      )
   )
)
</f>
        <v>0</v>
      </c>
      <c r="U840" s="45">
        <f>IF(R840="",0,MAX(0,R840 - TARIFAS!G$2) * TARIFAS!F$2)
</f>
        <v>0</v>
      </c>
      <c r="V840" s="45">
        <f>+T840*TARIFAS!$K$2</f>
        <v>0</v>
      </c>
      <c r="W840" s="45">
        <f t="shared" si="2"/>
        <v>0</v>
      </c>
      <c r="X840" s="45">
        <f t="shared" si="3"/>
        <v>0</v>
      </c>
      <c r="Y840" s="45">
        <f t="shared" si="4"/>
        <v>0</v>
      </c>
      <c r="Z840" s="42" t="str">
        <f>CONFERENCIAS!AB840</f>
        <v/>
      </c>
      <c r="AA840" s="42" t="str">
        <f>CONFERENCIAS!AC840</f>
        <v/>
      </c>
      <c r="AB840" s="47" t="str">
        <f t="shared" si="5"/>
        <v/>
      </c>
      <c r="AC840" s="9" t="str">
        <f t="shared" si="6"/>
        <v/>
      </c>
    </row>
    <row r="841">
      <c r="A841" s="42" t="str">
        <f>CONFERENCIAS!A841</f>
        <v/>
      </c>
      <c r="D841" s="42" t="str">
        <f>CONFERENCIAS!C841</f>
        <v/>
      </c>
      <c r="E841" s="42" t="str">
        <f>CONFERENCIAS!K841</f>
        <v/>
      </c>
      <c r="F841" s="49" t="str">
        <f>CONFERENCIAS!J841</f>
        <v/>
      </c>
      <c r="G841" s="42" t="str">
        <f>CONFERENCIAS!O841</f>
        <v/>
      </c>
      <c r="H841" s="42" t="str">
        <f>CONFERENCIAS!X841</f>
        <v/>
      </c>
      <c r="I841" s="42" t="str">
        <f>CONFERENCIAS!AA841</f>
        <v/>
      </c>
      <c r="J841" s="44" t="str">
        <f>CONFERENCIAS!P841</f>
        <v/>
      </c>
      <c r="K841" s="45" t="str">
        <f>CONFERENCIAS!R841</f>
        <v/>
      </c>
      <c r="L841" s="45">
        <f>IF(D841="",0,
 IF(E841=1,
   IF(H841="Presencial",
      VLOOKUP(D841,TARIFAS!A:K,3,FALSE) + IF(I841="Sí",VLOOKUP(D841,TARIFAS!A:K,5,FALSE),0),
      VLOOKUP(D841,TARIFAS!A:K,4,FALSE) + IF(I841="Sí",VLOOKUP(D841,TARIFAS!A:K,5,FALSE),0)
   ),
   IF(H841="Presencial",
      VLOOKUP(D841,TARIFAS!A:K,9,FALSE) + IF(I841="Sí",VLOOKUP(D841,TARIFAS!A:K,11,FALSE),0),
      VLOOKUP(D841,TARIFAS!A:K,10,FALSE) + IF(I841="Sí",VLOOKUP(D841,TARIFAS!A:K,11,FALSE),0)
   )
 )
)
</f>
        <v>0</v>
      </c>
      <c r="M841" s="45">
        <f>IF(J841="",0,MAX(0,J841 - TARIFAS!G$2) * TARIFAS!F$2)
</f>
        <v>0</v>
      </c>
      <c r="N841" s="45">
        <f>+L841*TARIFAS!$K$2</f>
        <v>0</v>
      </c>
      <c r="O841" s="45">
        <f t="shared" si="1"/>
        <v>0</v>
      </c>
      <c r="P841" s="45">
        <f>+M841+O841+K841+(+I841-(I841*TARIFAS!$K$2))</f>
        <v>0</v>
      </c>
      <c r="Q841" s="42" t="str">
        <f>CONFERENCIAS!T841</f>
        <v/>
      </c>
      <c r="R841" s="45" t="str">
        <f>CONFERENCIAS!U841</f>
        <v/>
      </c>
      <c r="S841" s="45" t="str">
        <f>CONFERENCIAS!W841</f>
        <v/>
      </c>
      <c r="T841" s="48">
        <f>IF(Q841="",0,
   IF(E841=1,
      IF(H841="Presencial",
         VLOOKUP(D841,TARIFAS!A:K,3,FALSE) + IF(I841="Sí",VLOOKUP(D841,TARIFAS!A:K,5,FALSE),0),
         VLOOKUP(D841,TARIFAS!A:K,4,FALSE) + IF(I841="Sí",VLOOKUP(D841,TARIFAS!A:K,5,FALSE),0)
      ),
      IF(H841="Presencial",
         VLOOKUP(D841,TARIFAS!A:K,9,FALSE) + IF(I841="Sí",VLOOKUP(D841,TARIFAS!A:K,11,FALSE),0),
         VLOOKUP(D841,TARIFAS!A:K,10,FALSE) + IF(I841="Sí",VLOOKUP(D841,TARIFAS!A:K,11,FALSE),0)
      )
   )
)
</f>
        <v>0</v>
      </c>
      <c r="U841" s="45">
        <f>IF(R841="",0,MAX(0,R841 - TARIFAS!G$2) * TARIFAS!F$2)
</f>
        <v>0</v>
      </c>
      <c r="V841" s="45">
        <f>+T841*TARIFAS!$K$2</f>
        <v>0</v>
      </c>
      <c r="W841" s="45">
        <f t="shared" si="2"/>
        <v>0</v>
      </c>
      <c r="X841" s="45">
        <f t="shared" si="3"/>
        <v>0</v>
      </c>
      <c r="Y841" s="45">
        <f t="shared" si="4"/>
        <v>0</v>
      </c>
      <c r="Z841" s="42" t="str">
        <f>CONFERENCIAS!AB841</f>
        <v/>
      </c>
      <c r="AA841" s="42" t="str">
        <f>CONFERENCIAS!AC841</f>
        <v/>
      </c>
      <c r="AB841" s="47" t="str">
        <f t="shared" si="5"/>
        <v/>
      </c>
      <c r="AC841" s="9" t="str">
        <f t="shared" si="6"/>
        <v/>
      </c>
    </row>
    <row r="842">
      <c r="A842" s="42" t="str">
        <f>CONFERENCIAS!A842</f>
        <v/>
      </c>
      <c r="D842" s="42" t="str">
        <f>CONFERENCIAS!C842</f>
        <v/>
      </c>
      <c r="E842" s="42" t="str">
        <f>CONFERENCIAS!K842</f>
        <v/>
      </c>
      <c r="F842" s="49" t="str">
        <f>CONFERENCIAS!J842</f>
        <v/>
      </c>
      <c r="G842" s="42" t="str">
        <f>CONFERENCIAS!O842</f>
        <v/>
      </c>
      <c r="H842" s="42" t="str">
        <f>CONFERENCIAS!X842</f>
        <v/>
      </c>
      <c r="I842" s="42" t="str">
        <f>CONFERENCIAS!AA842</f>
        <v/>
      </c>
      <c r="J842" s="44" t="str">
        <f>CONFERENCIAS!P842</f>
        <v/>
      </c>
      <c r="K842" s="45" t="str">
        <f>CONFERENCIAS!R842</f>
        <v/>
      </c>
      <c r="L842" s="45">
        <f>IF(D842="",0,
 IF(E842=1,
   IF(H842="Presencial",
      VLOOKUP(D842,TARIFAS!A:K,3,FALSE) + IF(I842="Sí",VLOOKUP(D842,TARIFAS!A:K,5,FALSE),0),
      VLOOKUP(D842,TARIFAS!A:K,4,FALSE) + IF(I842="Sí",VLOOKUP(D842,TARIFAS!A:K,5,FALSE),0)
   ),
   IF(H842="Presencial",
      VLOOKUP(D842,TARIFAS!A:K,9,FALSE) + IF(I842="Sí",VLOOKUP(D842,TARIFAS!A:K,11,FALSE),0),
      VLOOKUP(D842,TARIFAS!A:K,10,FALSE) + IF(I842="Sí",VLOOKUP(D842,TARIFAS!A:K,11,FALSE),0)
   )
 )
)
</f>
        <v>0</v>
      </c>
      <c r="M842" s="45">
        <f>IF(J842="",0,MAX(0,J842 - TARIFAS!G$2) * TARIFAS!F$2)
</f>
        <v>0</v>
      </c>
      <c r="N842" s="45">
        <f>+L842*TARIFAS!$K$2</f>
        <v>0</v>
      </c>
      <c r="O842" s="45">
        <f t="shared" si="1"/>
        <v>0</v>
      </c>
      <c r="P842" s="45">
        <f>+M842+O842+K842+(+I842-(I842*TARIFAS!$K$2))</f>
        <v>0</v>
      </c>
      <c r="Q842" s="42" t="str">
        <f>CONFERENCIAS!T842</f>
        <v/>
      </c>
      <c r="R842" s="45" t="str">
        <f>CONFERENCIAS!U842</f>
        <v/>
      </c>
      <c r="S842" s="45" t="str">
        <f>CONFERENCIAS!W842</f>
        <v/>
      </c>
      <c r="T842" s="48">
        <f>IF(Q842="",0,
   IF(E842=1,
      IF(H842="Presencial",
         VLOOKUP(D842,TARIFAS!A:K,3,FALSE) + IF(I842="Sí",VLOOKUP(D842,TARIFAS!A:K,5,FALSE),0),
         VLOOKUP(D842,TARIFAS!A:K,4,FALSE) + IF(I842="Sí",VLOOKUP(D842,TARIFAS!A:K,5,FALSE),0)
      ),
      IF(H842="Presencial",
         VLOOKUP(D842,TARIFAS!A:K,9,FALSE) + IF(I842="Sí",VLOOKUP(D842,TARIFAS!A:K,11,FALSE),0),
         VLOOKUP(D842,TARIFAS!A:K,10,FALSE) + IF(I842="Sí",VLOOKUP(D842,TARIFAS!A:K,11,FALSE),0)
      )
   )
)
</f>
        <v>0</v>
      </c>
      <c r="U842" s="45">
        <f>IF(R842="",0,MAX(0,R842 - TARIFAS!G$2) * TARIFAS!F$2)
</f>
        <v>0</v>
      </c>
      <c r="V842" s="45">
        <f>+T842*TARIFAS!$K$2</f>
        <v>0</v>
      </c>
      <c r="W842" s="45">
        <f t="shared" si="2"/>
        <v>0</v>
      </c>
      <c r="X842" s="45">
        <f t="shared" si="3"/>
        <v>0</v>
      </c>
      <c r="Y842" s="45">
        <f t="shared" si="4"/>
        <v>0</v>
      </c>
      <c r="Z842" s="42" t="str">
        <f>CONFERENCIAS!AB842</f>
        <v/>
      </c>
      <c r="AA842" s="42" t="str">
        <f>CONFERENCIAS!AC842</f>
        <v/>
      </c>
      <c r="AB842" s="47" t="str">
        <f t="shared" si="5"/>
        <v/>
      </c>
      <c r="AC842" s="9" t="str">
        <f t="shared" si="6"/>
        <v/>
      </c>
    </row>
    <row r="843">
      <c r="A843" s="42" t="str">
        <f>CONFERENCIAS!A843</f>
        <v/>
      </c>
      <c r="D843" s="42" t="str">
        <f>CONFERENCIAS!C843</f>
        <v/>
      </c>
      <c r="E843" s="42" t="str">
        <f>CONFERENCIAS!K843</f>
        <v/>
      </c>
      <c r="F843" s="49" t="str">
        <f>CONFERENCIAS!J843</f>
        <v/>
      </c>
      <c r="G843" s="42" t="str">
        <f>CONFERENCIAS!O843</f>
        <v/>
      </c>
      <c r="H843" s="42" t="str">
        <f>CONFERENCIAS!X843</f>
        <v/>
      </c>
      <c r="I843" s="42" t="str">
        <f>CONFERENCIAS!AA843</f>
        <v/>
      </c>
      <c r="J843" s="44" t="str">
        <f>CONFERENCIAS!P843</f>
        <v/>
      </c>
      <c r="K843" s="45" t="str">
        <f>CONFERENCIAS!R843</f>
        <v/>
      </c>
      <c r="L843" s="45">
        <f>IF(D843="",0,
 IF(E843=1,
   IF(H843="Presencial",
      VLOOKUP(D843,TARIFAS!A:K,3,FALSE) + IF(I843="Sí",VLOOKUP(D843,TARIFAS!A:K,5,FALSE),0),
      VLOOKUP(D843,TARIFAS!A:K,4,FALSE) + IF(I843="Sí",VLOOKUP(D843,TARIFAS!A:K,5,FALSE),0)
   ),
   IF(H843="Presencial",
      VLOOKUP(D843,TARIFAS!A:K,9,FALSE) + IF(I843="Sí",VLOOKUP(D843,TARIFAS!A:K,11,FALSE),0),
      VLOOKUP(D843,TARIFAS!A:K,10,FALSE) + IF(I843="Sí",VLOOKUP(D843,TARIFAS!A:K,11,FALSE),0)
   )
 )
)
</f>
        <v>0</v>
      </c>
      <c r="M843" s="45">
        <f>IF(J843="",0,MAX(0,J843 - TARIFAS!G$2) * TARIFAS!F$2)
</f>
        <v>0</v>
      </c>
      <c r="N843" s="45">
        <f>+L843*TARIFAS!$K$2</f>
        <v>0</v>
      </c>
      <c r="O843" s="45">
        <f t="shared" si="1"/>
        <v>0</v>
      </c>
      <c r="P843" s="45">
        <f>+M843+O843+K843+(+I843-(I843*TARIFAS!$K$2))</f>
        <v>0</v>
      </c>
      <c r="Q843" s="42" t="str">
        <f>CONFERENCIAS!T843</f>
        <v/>
      </c>
      <c r="R843" s="45" t="str">
        <f>CONFERENCIAS!U843</f>
        <v/>
      </c>
      <c r="S843" s="45" t="str">
        <f>CONFERENCIAS!W843</f>
        <v/>
      </c>
      <c r="T843" s="48">
        <f>IF(Q843="",0,
   IF(E843=1,
      IF(H843="Presencial",
         VLOOKUP(D843,TARIFAS!A:K,3,FALSE) + IF(I843="Sí",VLOOKUP(D843,TARIFAS!A:K,5,FALSE),0),
         VLOOKUP(D843,TARIFAS!A:K,4,FALSE) + IF(I843="Sí",VLOOKUP(D843,TARIFAS!A:K,5,FALSE),0)
      ),
      IF(H843="Presencial",
         VLOOKUP(D843,TARIFAS!A:K,9,FALSE) + IF(I843="Sí",VLOOKUP(D843,TARIFAS!A:K,11,FALSE),0),
         VLOOKUP(D843,TARIFAS!A:K,10,FALSE) + IF(I843="Sí",VLOOKUP(D843,TARIFAS!A:K,11,FALSE),0)
      )
   )
)
</f>
        <v>0</v>
      </c>
      <c r="U843" s="45">
        <f>IF(R843="",0,MAX(0,R843 - TARIFAS!G$2) * TARIFAS!F$2)
</f>
        <v>0</v>
      </c>
      <c r="V843" s="45">
        <f>+T843*TARIFAS!$K$2</f>
        <v>0</v>
      </c>
      <c r="W843" s="45">
        <f t="shared" si="2"/>
        <v>0</v>
      </c>
      <c r="X843" s="45">
        <f t="shared" si="3"/>
        <v>0</v>
      </c>
      <c r="Y843" s="45">
        <f t="shared" si="4"/>
        <v>0</v>
      </c>
      <c r="Z843" s="42" t="str">
        <f>CONFERENCIAS!AB843</f>
        <v/>
      </c>
      <c r="AA843" s="42" t="str">
        <f>CONFERENCIAS!AC843</f>
        <v/>
      </c>
      <c r="AB843" s="47" t="str">
        <f t="shared" si="5"/>
        <v/>
      </c>
      <c r="AC843" s="9" t="str">
        <f t="shared" si="6"/>
        <v/>
      </c>
    </row>
    <row r="844">
      <c r="A844" s="42" t="str">
        <f>CONFERENCIAS!A844</f>
        <v/>
      </c>
      <c r="D844" s="42" t="str">
        <f>CONFERENCIAS!C844</f>
        <v/>
      </c>
      <c r="E844" s="42" t="str">
        <f>CONFERENCIAS!K844</f>
        <v/>
      </c>
      <c r="F844" s="49" t="str">
        <f>CONFERENCIAS!J844</f>
        <v/>
      </c>
      <c r="G844" s="42" t="str">
        <f>CONFERENCIAS!O844</f>
        <v/>
      </c>
      <c r="H844" s="42" t="str">
        <f>CONFERENCIAS!X844</f>
        <v/>
      </c>
      <c r="I844" s="42" t="str">
        <f>CONFERENCIAS!AA844</f>
        <v/>
      </c>
      <c r="J844" s="44" t="str">
        <f>CONFERENCIAS!P844</f>
        <v/>
      </c>
      <c r="K844" s="45" t="str">
        <f>CONFERENCIAS!R844</f>
        <v/>
      </c>
      <c r="L844" s="45">
        <f>IF(D844="",0,
 IF(E844=1,
   IF(H844="Presencial",
      VLOOKUP(D844,TARIFAS!A:K,3,FALSE) + IF(I844="Sí",VLOOKUP(D844,TARIFAS!A:K,5,FALSE),0),
      VLOOKUP(D844,TARIFAS!A:K,4,FALSE) + IF(I844="Sí",VLOOKUP(D844,TARIFAS!A:K,5,FALSE),0)
   ),
   IF(H844="Presencial",
      VLOOKUP(D844,TARIFAS!A:K,9,FALSE) + IF(I844="Sí",VLOOKUP(D844,TARIFAS!A:K,11,FALSE),0),
      VLOOKUP(D844,TARIFAS!A:K,10,FALSE) + IF(I844="Sí",VLOOKUP(D844,TARIFAS!A:K,11,FALSE),0)
   )
 )
)
</f>
        <v>0</v>
      </c>
      <c r="M844" s="45">
        <f>IF(J844="",0,MAX(0,J844 - TARIFAS!G$2) * TARIFAS!F$2)
</f>
        <v>0</v>
      </c>
      <c r="N844" s="45">
        <f>+L844*TARIFAS!$K$2</f>
        <v>0</v>
      </c>
      <c r="O844" s="45">
        <f t="shared" si="1"/>
        <v>0</v>
      </c>
      <c r="P844" s="45">
        <f>+M844+O844+K844+(+I844-(I844*TARIFAS!$K$2))</f>
        <v>0</v>
      </c>
      <c r="Q844" s="42" t="str">
        <f>CONFERENCIAS!T844</f>
        <v/>
      </c>
      <c r="R844" s="45" t="str">
        <f>CONFERENCIAS!U844</f>
        <v/>
      </c>
      <c r="S844" s="45" t="str">
        <f>CONFERENCIAS!W844</f>
        <v/>
      </c>
      <c r="T844" s="48">
        <f>IF(Q844="",0,
   IF(E844=1,
      IF(H844="Presencial",
         VLOOKUP(D844,TARIFAS!A:K,3,FALSE) + IF(I844="Sí",VLOOKUP(D844,TARIFAS!A:K,5,FALSE),0),
         VLOOKUP(D844,TARIFAS!A:K,4,FALSE) + IF(I844="Sí",VLOOKUP(D844,TARIFAS!A:K,5,FALSE),0)
      ),
      IF(H844="Presencial",
         VLOOKUP(D844,TARIFAS!A:K,9,FALSE) + IF(I844="Sí",VLOOKUP(D844,TARIFAS!A:K,11,FALSE),0),
         VLOOKUP(D844,TARIFAS!A:K,10,FALSE) + IF(I844="Sí",VLOOKUP(D844,TARIFAS!A:K,11,FALSE),0)
      )
   )
)
</f>
        <v>0</v>
      </c>
      <c r="U844" s="45">
        <f>IF(R844="",0,MAX(0,R844 - TARIFAS!G$2) * TARIFAS!F$2)
</f>
        <v>0</v>
      </c>
      <c r="V844" s="45">
        <f>+T844*TARIFAS!$K$2</f>
        <v>0</v>
      </c>
      <c r="W844" s="45">
        <f t="shared" si="2"/>
        <v>0</v>
      </c>
      <c r="X844" s="45">
        <f t="shared" si="3"/>
        <v>0</v>
      </c>
      <c r="Y844" s="45">
        <f t="shared" si="4"/>
        <v>0</v>
      </c>
      <c r="Z844" s="42" t="str">
        <f>CONFERENCIAS!AB844</f>
        <v/>
      </c>
      <c r="AA844" s="42" t="str">
        <f>CONFERENCIAS!AC844</f>
        <v/>
      </c>
      <c r="AB844" s="47" t="str">
        <f t="shared" si="5"/>
        <v/>
      </c>
      <c r="AC844" s="9" t="str">
        <f t="shared" si="6"/>
        <v/>
      </c>
    </row>
    <row r="845">
      <c r="A845" s="42" t="str">
        <f>CONFERENCIAS!A845</f>
        <v/>
      </c>
      <c r="D845" s="42" t="str">
        <f>CONFERENCIAS!C845</f>
        <v/>
      </c>
      <c r="E845" s="42" t="str">
        <f>CONFERENCIAS!K845</f>
        <v/>
      </c>
      <c r="F845" s="49" t="str">
        <f>CONFERENCIAS!J845</f>
        <v/>
      </c>
      <c r="G845" s="42" t="str">
        <f>CONFERENCIAS!O845</f>
        <v/>
      </c>
      <c r="H845" s="42" t="str">
        <f>CONFERENCIAS!X845</f>
        <v/>
      </c>
      <c r="I845" s="42" t="str">
        <f>CONFERENCIAS!AA845</f>
        <v/>
      </c>
      <c r="J845" s="44" t="str">
        <f>CONFERENCIAS!P845</f>
        <v/>
      </c>
      <c r="K845" s="45" t="str">
        <f>CONFERENCIAS!R845</f>
        <v/>
      </c>
      <c r="L845" s="45">
        <f>IF(D845="",0,
 IF(E845=1,
   IF(H845="Presencial",
      VLOOKUP(D845,TARIFAS!A:K,3,FALSE) + IF(I845="Sí",VLOOKUP(D845,TARIFAS!A:K,5,FALSE),0),
      VLOOKUP(D845,TARIFAS!A:K,4,FALSE) + IF(I845="Sí",VLOOKUP(D845,TARIFAS!A:K,5,FALSE),0)
   ),
   IF(H845="Presencial",
      VLOOKUP(D845,TARIFAS!A:K,9,FALSE) + IF(I845="Sí",VLOOKUP(D845,TARIFAS!A:K,11,FALSE),0),
      VLOOKUP(D845,TARIFAS!A:K,10,FALSE) + IF(I845="Sí",VLOOKUP(D845,TARIFAS!A:K,11,FALSE),0)
   )
 )
)
</f>
        <v>0</v>
      </c>
      <c r="M845" s="45">
        <f>IF(J845="",0,MAX(0,J845 - TARIFAS!G$2) * TARIFAS!F$2)
</f>
        <v>0</v>
      </c>
      <c r="N845" s="45">
        <f>+L845*TARIFAS!$K$2</f>
        <v>0</v>
      </c>
      <c r="O845" s="45">
        <f t="shared" si="1"/>
        <v>0</v>
      </c>
      <c r="P845" s="45">
        <f>+M845+O845+K845+(+I845-(I845*TARIFAS!$K$2))</f>
        <v>0</v>
      </c>
      <c r="Q845" s="42" t="str">
        <f>CONFERENCIAS!T845</f>
        <v/>
      </c>
      <c r="R845" s="45" t="str">
        <f>CONFERENCIAS!U845</f>
        <v/>
      </c>
      <c r="S845" s="45" t="str">
        <f>CONFERENCIAS!W845</f>
        <v/>
      </c>
      <c r="T845" s="48">
        <f>IF(Q845="",0,
   IF(E845=1,
      IF(H845="Presencial",
         VLOOKUP(D845,TARIFAS!A:K,3,FALSE) + IF(I845="Sí",VLOOKUP(D845,TARIFAS!A:K,5,FALSE),0),
         VLOOKUP(D845,TARIFAS!A:K,4,FALSE) + IF(I845="Sí",VLOOKUP(D845,TARIFAS!A:K,5,FALSE),0)
      ),
      IF(H845="Presencial",
         VLOOKUP(D845,TARIFAS!A:K,9,FALSE) + IF(I845="Sí",VLOOKUP(D845,TARIFAS!A:K,11,FALSE),0),
         VLOOKUP(D845,TARIFAS!A:K,10,FALSE) + IF(I845="Sí",VLOOKUP(D845,TARIFAS!A:K,11,FALSE),0)
      )
   )
)
</f>
        <v>0</v>
      </c>
      <c r="U845" s="45">
        <f>IF(R845="",0,MAX(0,R845 - TARIFAS!G$2) * TARIFAS!F$2)
</f>
        <v>0</v>
      </c>
      <c r="V845" s="45">
        <f>+T845*TARIFAS!$K$2</f>
        <v>0</v>
      </c>
      <c r="W845" s="45">
        <f t="shared" si="2"/>
        <v>0</v>
      </c>
      <c r="X845" s="45">
        <f t="shared" si="3"/>
        <v>0</v>
      </c>
      <c r="Y845" s="45">
        <f t="shared" si="4"/>
        <v>0</v>
      </c>
      <c r="Z845" s="42" t="str">
        <f>CONFERENCIAS!AB845</f>
        <v/>
      </c>
      <c r="AA845" s="42" t="str">
        <f>CONFERENCIAS!AC845</f>
        <v/>
      </c>
      <c r="AB845" s="47" t="str">
        <f t="shared" si="5"/>
        <v/>
      </c>
      <c r="AC845" s="9" t="str">
        <f t="shared" si="6"/>
        <v/>
      </c>
    </row>
    <row r="846">
      <c r="A846" s="42" t="str">
        <f>CONFERENCIAS!A846</f>
        <v/>
      </c>
      <c r="D846" s="42" t="str">
        <f>CONFERENCIAS!C846</f>
        <v/>
      </c>
      <c r="E846" s="42" t="str">
        <f>CONFERENCIAS!K846</f>
        <v/>
      </c>
      <c r="F846" s="49" t="str">
        <f>CONFERENCIAS!J846</f>
        <v/>
      </c>
      <c r="G846" s="42" t="str">
        <f>CONFERENCIAS!O846</f>
        <v/>
      </c>
      <c r="H846" s="42" t="str">
        <f>CONFERENCIAS!X846</f>
        <v/>
      </c>
      <c r="I846" s="42" t="str">
        <f>CONFERENCIAS!AA846</f>
        <v/>
      </c>
      <c r="J846" s="44" t="str">
        <f>CONFERENCIAS!P846</f>
        <v/>
      </c>
      <c r="K846" s="45" t="str">
        <f>CONFERENCIAS!R846</f>
        <v/>
      </c>
      <c r="L846" s="45">
        <f>IF(D846="",0,
 IF(E846=1,
   IF(H846="Presencial",
      VLOOKUP(D846,TARIFAS!A:K,3,FALSE) + IF(I846="Sí",VLOOKUP(D846,TARIFAS!A:K,5,FALSE),0),
      VLOOKUP(D846,TARIFAS!A:K,4,FALSE) + IF(I846="Sí",VLOOKUP(D846,TARIFAS!A:K,5,FALSE),0)
   ),
   IF(H846="Presencial",
      VLOOKUP(D846,TARIFAS!A:K,9,FALSE) + IF(I846="Sí",VLOOKUP(D846,TARIFAS!A:K,11,FALSE),0),
      VLOOKUP(D846,TARIFAS!A:K,10,FALSE) + IF(I846="Sí",VLOOKUP(D846,TARIFAS!A:K,11,FALSE),0)
   )
 )
)
</f>
        <v>0</v>
      </c>
      <c r="M846" s="45">
        <f>IF(J846="",0,MAX(0,J846 - TARIFAS!G$2) * TARIFAS!F$2)
</f>
        <v>0</v>
      </c>
      <c r="N846" s="45">
        <f>+L846*TARIFAS!$K$2</f>
        <v>0</v>
      </c>
      <c r="O846" s="45">
        <f t="shared" si="1"/>
        <v>0</v>
      </c>
      <c r="P846" s="45">
        <f>+M846+O846+K846+(+I846-(I846*TARIFAS!$K$2))</f>
        <v>0</v>
      </c>
      <c r="Q846" s="42" t="str">
        <f>CONFERENCIAS!T846</f>
        <v/>
      </c>
      <c r="R846" s="45" t="str">
        <f>CONFERENCIAS!U846</f>
        <v/>
      </c>
      <c r="S846" s="45" t="str">
        <f>CONFERENCIAS!W846</f>
        <v/>
      </c>
      <c r="T846" s="48">
        <f>IF(Q846="",0,
   IF(E846=1,
      IF(H846="Presencial",
         VLOOKUP(D846,TARIFAS!A:K,3,FALSE) + IF(I846="Sí",VLOOKUP(D846,TARIFAS!A:K,5,FALSE),0),
         VLOOKUP(D846,TARIFAS!A:K,4,FALSE) + IF(I846="Sí",VLOOKUP(D846,TARIFAS!A:K,5,FALSE),0)
      ),
      IF(H846="Presencial",
         VLOOKUP(D846,TARIFAS!A:K,9,FALSE) + IF(I846="Sí",VLOOKUP(D846,TARIFAS!A:K,11,FALSE),0),
         VLOOKUP(D846,TARIFAS!A:K,10,FALSE) + IF(I846="Sí",VLOOKUP(D846,TARIFAS!A:K,11,FALSE),0)
      )
   )
)
</f>
        <v>0</v>
      </c>
      <c r="U846" s="45">
        <f>IF(R846="",0,MAX(0,R846 - TARIFAS!G$2) * TARIFAS!F$2)
</f>
        <v>0</v>
      </c>
      <c r="V846" s="45">
        <f>+T846*TARIFAS!$K$2</f>
        <v>0</v>
      </c>
      <c r="W846" s="45">
        <f t="shared" si="2"/>
        <v>0</v>
      </c>
      <c r="X846" s="45">
        <f t="shared" si="3"/>
        <v>0</v>
      </c>
      <c r="Y846" s="45">
        <f t="shared" si="4"/>
        <v>0</v>
      </c>
      <c r="Z846" s="42" t="str">
        <f>CONFERENCIAS!AB846</f>
        <v/>
      </c>
      <c r="AA846" s="42" t="str">
        <f>CONFERENCIAS!AC846</f>
        <v/>
      </c>
      <c r="AB846" s="47" t="str">
        <f t="shared" si="5"/>
        <v/>
      </c>
      <c r="AC846" s="9" t="str">
        <f t="shared" si="6"/>
        <v/>
      </c>
    </row>
    <row r="847">
      <c r="A847" s="42" t="str">
        <f>CONFERENCIAS!A847</f>
        <v/>
      </c>
      <c r="D847" s="42" t="str">
        <f>CONFERENCIAS!C847</f>
        <v/>
      </c>
      <c r="E847" s="42" t="str">
        <f>CONFERENCIAS!K847</f>
        <v/>
      </c>
      <c r="F847" s="49" t="str">
        <f>CONFERENCIAS!J847</f>
        <v/>
      </c>
      <c r="G847" s="42" t="str">
        <f>CONFERENCIAS!O847</f>
        <v/>
      </c>
      <c r="H847" s="42" t="str">
        <f>CONFERENCIAS!X847</f>
        <v/>
      </c>
      <c r="I847" s="42" t="str">
        <f>CONFERENCIAS!AA847</f>
        <v/>
      </c>
      <c r="J847" s="44" t="str">
        <f>CONFERENCIAS!P847</f>
        <v/>
      </c>
      <c r="K847" s="45" t="str">
        <f>CONFERENCIAS!R847</f>
        <v/>
      </c>
      <c r="L847" s="45">
        <f>IF(D847="",0,
 IF(E847=1,
   IF(H847="Presencial",
      VLOOKUP(D847,TARIFAS!A:K,3,FALSE) + IF(I847="Sí",VLOOKUP(D847,TARIFAS!A:K,5,FALSE),0),
      VLOOKUP(D847,TARIFAS!A:K,4,FALSE) + IF(I847="Sí",VLOOKUP(D847,TARIFAS!A:K,5,FALSE),0)
   ),
   IF(H847="Presencial",
      VLOOKUP(D847,TARIFAS!A:K,9,FALSE) + IF(I847="Sí",VLOOKUP(D847,TARIFAS!A:K,11,FALSE),0),
      VLOOKUP(D847,TARIFAS!A:K,10,FALSE) + IF(I847="Sí",VLOOKUP(D847,TARIFAS!A:K,11,FALSE),0)
   )
 )
)
</f>
        <v>0</v>
      </c>
      <c r="M847" s="45">
        <f>IF(J847="",0,MAX(0,J847 - TARIFAS!G$2) * TARIFAS!F$2)
</f>
        <v>0</v>
      </c>
      <c r="N847" s="45">
        <f>+L847*TARIFAS!$K$2</f>
        <v>0</v>
      </c>
      <c r="O847" s="45">
        <f t="shared" si="1"/>
        <v>0</v>
      </c>
      <c r="P847" s="45">
        <f>+M847+O847+K847+(+I847-(I847*TARIFAS!$K$2))</f>
        <v>0</v>
      </c>
      <c r="Q847" s="42" t="str">
        <f>CONFERENCIAS!T847</f>
        <v/>
      </c>
      <c r="R847" s="45" t="str">
        <f>CONFERENCIAS!U847</f>
        <v/>
      </c>
      <c r="S847" s="45" t="str">
        <f>CONFERENCIAS!W847</f>
        <v/>
      </c>
      <c r="T847" s="48">
        <f>IF(Q847="",0,
   IF(E847=1,
      IF(H847="Presencial",
         VLOOKUP(D847,TARIFAS!A:K,3,FALSE) + IF(I847="Sí",VLOOKUP(D847,TARIFAS!A:K,5,FALSE),0),
         VLOOKUP(D847,TARIFAS!A:K,4,FALSE) + IF(I847="Sí",VLOOKUP(D847,TARIFAS!A:K,5,FALSE),0)
      ),
      IF(H847="Presencial",
         VLOOKUP(D847,TARIFAS!A:K,9,FALSE) + IF(I847="Sí",VLOOKUP(D847,TARIFAS!A:K,11,FALSE),0),
         VLOOKUP(D847,TARIFAS!A:K,10,FALSE) + IF(I847="Sí",VLOOKUP(D847,TARIFAS!A:K,11,FALSE),0)
      )
   )
)
</f>
        <v>0</v>
      </c>
      <c r="U847" s="45">
        <f>IF(R847="",0,MAX(0,R847 - TARIFAS!G$2) * TARIFAS!F$2)
</f>
        <v>0</v>
      </c>
      <c r="V847" s="45">
        <f>+T847*TARIFAS!$K$2</f>
        <v>0</v>
      </c>
      <c r="W847" s="45">
        <f t="shared" si="2"/>
        <v>0</v>
      </c>
      <c r="X847" s="45">
        <f t="shared" si="3"/>
        <v>0</v>
      </c>
      <c r="Y847" s="45">
        <f t="shared" si="4"/>
        <v>0</v>
      </c>
      <c r="Z847" s="42" t="str">
        <f>CONFERENCIAS!AB847</f>
        <v/>
      </c>
      <c r="AA847" s="42" t="str">
        <f>CONFERENCIAS!AC847</f>
        <v/>
      </c>
      <c r="AB847" s="47" t="str">
        <f t="shared" si="5"/>
        <v/>
      </c>
      <c r="AC847" s="9" t="str">
        <f t="shared" si="6"/>
        <v/>
      </c>
    </row>
    <row r="848">
      <c r="A848" s="42" t="str">
        <f>CONFERENCIAS!A848</f>
        <v/>
      </c>
      <c r="D848" s="42" t="str">
        <f>CONFERENCIAS!C848</f>
        <v/>
      </c>
      <c r="E848" s="42" t="str">
        <f>CONFERENCIAS!K848</f>
        <v/>
      </c>
      <c r="F848" s="49" t="str">
        <f>CONFERENCIAS!J848</f>
        <v/>
      </c>
      <c r="G848" s="42" t="str">
        <f>CONFERENCIAS!O848</f>
        <v/>
      </c>
      <c r="H848" s="42" t="str">
        <f>CONFERENCIAS!X848</f>
        <v/>
      </c>
      <c r="I848" s="42" t="str">
        <f>CONFERENCIAS!AA848</f>
        <v/>
      </c>
      <c r="J848" s="44" t="str">
        <f>CONFERENCIAS!P848</f>
        <v/>
      </c>
      <c r="K848" s="45" t="str">
        <f>CONFERENCIAS!R848</f>
        <v/>
      </c>
      <c r="L848" s="45">
        <f>IF(D848="",0,
 IF(E848=1,
   IF(H848="Presencial",
      VLOOKUP(D848,TARIFAS!A:K,3,FALSE) + IF(I848="Sí",VLOOKUP(D848,TARIFAS!A:K,5,FALSE),0),
      VLOOKUP(D848,TARIFAS!A:K,4,FALSE) + IF(I848="Sí",VLOOKUP(D848,TARIFAS!A:K,5,FALSE),0)
   ),
   IF(H848="Presencial",
      VLOOKUP(D848,TARIFAS!A:K,9,FALSE) + IF(I848="Sí",VLOOKUP(D848,TARIFAS!A:K,11,FALSE),0),
      VLOOKUP(D848,TARIFAS!A:K,10,FALSE) + IF(I848="Sí",VLOOKUP(D848,TARIFAS!A:K,11,FALSE),0)
   )
 )
)
</f>
        <v>0</v>
      </c>
      <c r="M848" s="45">
        <f>IF(J848="",0,MAX(0,J848 - TARIFAS!G$2) * TARIFAS!F$2)
</f>
        <v>0</v>
      </c>
      <c r="N848" s="45">
        <f>+L848*TARIFAS!$K$2</f>
        <v>0</v>
      </c>
      <c r="O848" s="45">
        <f t="shared" si="1"/>
        <v>0</v>
      </c>
      <c r="P848" s="45">
        <f>+M848+O848+K848+(+I848-(I848*TARIFAS!$K$2))</f>
        <v>0</v>
      </c>
      <c r="Q848" s="42" t="str">
        <f>CONFERENCIAS!T848</f>
        <v/>
      </c>
      <c r="R848" s="45" t="str">
        <f>CONFERENCIAS!U848</f>
        <v/>
      </c>
      <c r="S848" s="45" t="str">
        <f>CONFERENCIAS!W848</f>
        <v/>
      </c>
      <c r="T848" s="48">
        <f>IF(Q848="",0,
   IF(E848=1,
      IF(H848="Presencial",
         VLOOKUP(D848,TARIFAS!A:K,3,FALSE) + IF(I848="Sí",VLOOKUP(D848,TARIFAS!A:K,5,FALSE),0),
         VLOOKUP(D848,TARIFAS!A:K,4,FALSE) + IF(I848="Sí",VLOOKUP(D848,TARIFAS!A:K,5,FALSE),0)
      ),
      IF(H848="Presencial",
         VLOOKUP(D848,TARIFAS!A:K,9,FALSE) + IF(I848="Sí",VLOOKUP(D848,TARIFAS!A:K,11,FALSE),0),
         VLOOKUP(D848,TARIFAS!A:K,10,FALSE) + IF(I848="Sí",VLOOKUP(D848,TARIFAS!A:K,11,FALSE),0)
      )
   )
)
</f>
        <v>0</v>
      </c>
      <c r="U848" s="45">
        <f>IF(R848="",0,MAX(0,R848 - TARIFAS!G$2) * TARIFAS!F$2)
</f>
        <v>0</v>
      </c>
      <c r="V848" s="45">
        <f>+T848*TARIFAS!$K$2</f>
        <v>0</v>
      </c>
      <c r="W848" s="45">
        <f t="shared" si="2"/>
        <v>0</v>
      </c>
      <c r="X848" s="45">
        <f t="shared" si="3"/>
        <v>0</v>
      </c>
      <c r="Y848" s="45">
        <f t="shared" si="4"/>
        <v>0</v>
      </c>
      <c r="Z848" s="42" t="str">
        <f>CONFERENCIAS!AB848</f>
        <v/>
      </c>
      <c r="AA848" s="42" t="str">
        <f>CONFERENCIAS!AC848</f>
        <v/>
      </c>
      <c r="AB848" s="47" t="str">
        <f t="shared" si="5"/>
        <v/>
      </c>
      <c r="AC848" s="9" t="str">
        <f t="shared" si="6"/>
        <v/>
      </c>
    </row>
    <row r="849">
      <c r="A849" s="42" t="str">
        <f>CONFERENCIAS!A849</f>
        <v/>
      </c>
      <c r="D849" s="42" t="str">
        <f>CONFERENCIAS!C849</f>
        <v/>
      </c>
      <c r="E849" s="42" t="str">
        <f>CONFERENCIAS!K849</f>
        <v/>
      </c>
      <c r="F849" s="49" t="str">
        <f>CONFERENCIAS!J849</f>
        <v/>
      </c>
      <c r="G849" s="42" t="str">
        <f>CONFERENCIAS!O849</f>
        <v/>
      </c>
      <c r="H849" s="42" t="str">
        <f>CONFERENCIAS!X849</f>
        <v/>
      </c>
      <c r="I849" s="42" t="str">
        <f>CONFERENCIAS!AA849</f>
        <v/>
      </c>
      <c r="J849" s="44" t="str">
        <f>CONFERENCIAS!P849</f>
        <v/>
      </c>
      <c r="K849" s="45" t="str">
        <f>CONFERENCIAS!R849</f>
        <v/>
      </c>
      <c r="L849" s="45">
        <f>IF(D849="",0,
 IF(E849=1,
   IF(H849="Presencial",
      VLOOKUP(D849,TARIFAS!A:K,3,FALSE) + IF(I849="Sí",VLOOKUP(D849,TARIFAS!A:K,5,FALSE),0),
      VLOOKUP(D849,TARIFAS!A:K,4,FALSE) + IF(I849="Sí",VLOOKUP(D849,TARIFAS!A:K,5,FALSE),0)
   ),
   IF(H849="Presencial",
      VLOOKUP(D849,TARIFAS!A:K,9,FALSE) + IF(I849="Sí",VLOOKUP(D849,TARIFAS!A:K,11,FALSE),0),
      VLOOKUP(D849,TARIFAS!A:K,10,FALSE) + IF(I849="Sí",VLOOKUP(D849,TARIFAS!A:K,11,FALSE),0)
   )
 )
)
</f>
        <v>0</v>
      </c>
      <c r="M849" s="45">
        <f>IF(J849="",0,MAX(0,J849 - TARIFAS!G$2) * TARIFAS!F$2)
</f>
        <v>0</v>
      </c>
      <c r="N849" s="45">
        <f>+L849*TARIFAS!$K$2</f>
        <v>0</v>
      </c>
      <c r="O849" s="45">
        <f t="shared" si="1"/>
        <v>0</v>
      </c>
      <c r="P849" s="45">
        <f>+M849+O849+K849+(+I849-(I849*TARIFAS!$K$2))</f>
        <v>0</v>
      </c>
      <c r="Q849" s="42" t="str">
        <f>CONFERENCIAS!T849</f>
        <v/>
      </c>
      <c r="R849" s="45" t="str">
        <f>CONFERENCIAS!U849</f>
        <v/>
      </c>
      <c r="S849" s="45" t="str">
        <f>CONFERENCIAS!W849</f>
        <v/>
      </c>
      <c r="T849" s="48">
        <f>IF(Q849="",0,
   IF(E849=1,
      IF(H849="Presencial",
         VLOOKUP(D849,TARIFAS!A:K,3,FALSE) + IF(I849="Sí",VLOOKUP(D849,TARIFAS!A:K,5,FALSE),0),
         VLOOKUP(D849,TARIFAS!A:K,4,FALSE) + IF(I849="Sí",VLOOKUP(D849,TARIFAS!A:K,5,FALSE),0)
      ),
      IF(H849="Presencial",
         VLOOKUP(D849,TARIFAS!A:K,9,FALSE) + IF(I849="Sí",VLOOKUP(D849,TARIFAS!A:K,11,FALSE),0),
         VLOOKUP(D849,TARIFAS!A:K,10,FALSE) + IF(I849="Sí",VLOOKUP(D849,TARIFAS!A:K,11,FALSE),0)
      )
   )
)
</f>
        <v>0</v>
      </c>
      <c r="U849" s="45">
        <f>IF(R849="",0,MAX(0,R849 - TARIFAS!G$2) * TARIFAS!F$2)
</f>
        <v>0</v>
      </c>
      <c r="V849" s="45">
        <f>+T849*TARIFAS!$K$2</f>
        <v>0</v>
      </c>
      <c r="W849" s="45">
        <f t="shared" si="2"/>
        <v>0</v>
      </c>
      <c r="X849" s="45">
        <f t="shared" si="3"/>
        <v>0</v>
      </c>
      <c r="Y849" s="45">
        <f t="shared" si="4"/>
        <v>0</v>
      </c>
      <c r="Z849" s="42" t="str">
        <f>CONFERENCIAS!AB849</f>
        <v/>
      </c>
      <c r="AA849" s="42" t="str">
        <f>CONFERENCIAS!AC849</f>
        <v/>
      </c>
      <c r="AB849" s="47" t="str">
        <f t="shared" si="5"/>
        <v/>
      </c>
      <c r="AC849" s="9" t="str">
        <f t="shared" si="6"/>
        <v/>
      </c>
    </row>
    <row r="850">
      <c r="A850" s="42" t="str">
        <f>CONFERENCIAS!A850</f>
        <v/>
      </c>
      <c r="D850" s="42" t="str">
        <f>CONFERENCIAS!C850</f>
        <v/>
      </c>
      <c r="E850" s="42" t="str">
        <f>CONFERENCIAS!K850</f>
        <v/>
      </c>
      <c r="F850" s="49" t="str">
        <f>CONFERENCIAS!J850</f>
        <v/>
      </c>
      <c r="G850" s="42" t="str">
        <f>CONFERENCIAS!O850</f>
        <v/>
      </c>
      <c r="H850" s="42" t="str">
        <f>CONFERENCIAS!X850</f>
        <v/>
      </c>
      <c r="I850" s="42" t="str">
        <f>CONFERENCIAS!AA850</f>
        <v/>
      </c>
      <c r="J850" s="44" t="str">
        <f>CONFERENCIAS!P850</f>
        <v/>
      </c>
      <c r="K850" s="45" t="str">
        <f>CONFERENCIAS!R850</f>
        <v/>
      </c>
      <c r="L850" s="45">
        <f>IF(D850="",0,
 IF(E850=1,
   IF(H850="Presencial",
      VLOOKUP(D850,TARIFAS!A:K,3,FALSE) + IF(I850="Sí",VLOOKUP(D850,TARIFAS!A:K,5,FALSE),0),
      VLOOKUP(D850,TARIFAS!A:K,4,FALSE) + IF(I850="Sí",VLOOKUP(D850,TARIFAS!A:K,5,FALSE),0)
   ),
   IF(H850="Presencial",
      VLOOKUP(D850,TARIFAS!A:K,9,FALSE) + IF(I850="Sí",VLOOKUP(D850,TARIFAS!A:K,11,FALSE),0),
      VLOOKUP(D850,TARIFAS!A:K,10,FALSE) + IF(I850="Sí",VLOOKUP(D850,TARIFAS!A:K,11,FALSE),0)
   )
 )
)
</f>
        <v>0</v>
      </c>
      <c r="M850" s="45">
        <f>IF(J850="",0,MAX(0,J850 - TARIFAS!G$2) * TARIFAS!F$2)
</f>
        <v>0</v>
      </c>
      <c r="N850" s="45">
        <f>+L850*TARIFAS!$K$2</f>
        <v>0</v>
      </c>
      <c r="O850" s="45">
        <f t="shared" si="1"/>
        <v>0</v>
      </c>
      <c r="P850" s="45">
        <f>+M850+O850+K850+(+I850-(I850*TARIFAS!$K$2))</f>
        <v>0</v>
      </c>
      <c r="Q850" s="42" t="str">
        <f>CONFERENCIAS!T850</f>
        <v/>
      </c>
      <c r="R850" s="45" t="str">
        <f>CONFERENCIAS!U850</f>
        <v/>
      </c>
      <c r="S850" s="45" t="str">
        <f>CONFERENCIAS!W850</f>
        <v/>
      </c>
      <c r="T850" s="48">
        <f>IF(Q850="",0,
   IF(E850=1,
      IF(H850="Presencial",
         VLOOKUP(D850,TARIFAS!A:K,3,FALSE) + IF(I850="Sí",VLOOKUP(D850,TARIFAS!A:K,5,FALSE),0),
         VLOOKUP(D850,TARIFAS!A:K,4,FALSE) + IF(I850="Sí",VLOOKUP(D850,TARIFAS!A:K,5,FALSE),0)
      ),
      IF(H850="Presencial",
         VLOOKUP(D850,TARIFAS!A:K,9,FALSE) + IF(I850="Sí",VLOOKUP(D850,TARIFAS!A:K,11,FALSE),0),
         VLOOKUP(D850,TARIFAS!A:K,10,FALSE) + IF(I850="Sí",VLOOKUP(D850,TARIFAS!A:K,11,FALSE),0)
      )
   )
)
</f>
        <v>0</v>
      </c>
      <c r="U850" s="45">
        <f>IF(R850="",0,MAX(0,R850 - TARIFAS!G$2) * TARIFAS!F$2)
</f>
        <v>0</v>
      </c>
      <c r="V850" s="45">
        <f>+T850*TARIFAS!$K$2</f>
        <v>0</v>
      </c>
      <c r="W850" s="45">
        <f t="shared" si="2"/>
        <v>0</v>
      </c>
      <c r="X850" s="45">
        <f t="shared" si="3"/>
        <v>0</v>
      </c>
      <c r="Y850" s="45">
        <f t="shared" si="4"/>
        <v>0</v>
      </c>
      <c r="Z850" s="42" t="str">
        <f>CONFERENCIAS!AB850</f>
        <v/>
      </c>
      <c r="AA850" s="42" t="str">
        <f>CONFERENCIAS!AC850</f>
        <v/>
      </c>
      <c r="AB850" s="47" t="str">
        <f t="shared" si="5"/>
        <v/>
      </c>
      <c r="AC850" s="9" t="str">
        <f t="shared" si="6"/>
        <v/>
      </c>
    </row>
    <row r="851">
      <c r="A851" s="42" t="str">
        <f>CONFERENCIAS!A851</f>
        <v/>
      </c>
      <c r="D851" s="42" t="str">
        <f>CONFERENCIAS!C851</f>
        <v/>
      </c>
      <c r="E851" s="42" t="str">
        <f>CONFERENCIAS!K851</f>
        <v/>
      </c>
      <c r="F851" s="49" t="str">
        <f>CONFERENCIAS!J851</f>
        <v/>
      </c>
      <c r="G851" s="42" t="str">
        <f>CONFERENCIAS!O851</f>
        <v/>
      </c>
      <c r="H851" s="42" t="str">
        <f>CONFERENCIAS!X851</f>
        <v/>
      </c>
      <c r="I851" s="42" t="str">
        <f>CONFERENCIAS!AA851</f>
        <v/>
      </c>
      <c r="J851" s="44" t="str">
        <f>CONFERENCIAS!P851</f>
        <v/>
      </c>
      <c r="K851" s="45" t="str">
        <f>CONFERENCIAS!R851</f>
        <v/>
      </c>
      <c r="L851" s="45">
        <f>IF(D851="",0,
 IF(E851=1,
   IF(H851="Presencial",
      VLOOKUP(D851,TARIFAS!A:K,3,FALSE) + IF(I851="Sí",VLOOKUP(D851,TARIFAS!A:K,5,FALSE),0),
      VLOOKUP(D851,TARIFAS!A:K,4,FALSE) + IF(I851="Sí",VLOOKUP(D851,TARIFAS!A:K,5,FALSE),0)
   ),
   IF(H851="Presencial",
      VLOOKUP(D851,TARIFAS!A:K,9,FALSE) + IF(I851="Sí",VLOOKUP(D851,TARIFAS!A:K,11,FALSE),0),
      VLOOKUP(D851,TARIFAS!A:K,10,FALSE) + IF(I851="Sí",VLOOKUP(D851,TARIFAS!A:K,11,FALSE),0)
   )
 )
)
</f>
        <v>0</v>
      </c>
      <c r="M851" s="45">
        <f>IF(J851="",0,MAX(0,J851 - TARIFAS!G$2) * TARIFAS!F$2)
</f>
        <v>0</v>
      </c>
      <c r="N851" s="45">
        <f>+L851*TARIFAS!$K$2</f>
        <v>0</v>
      </c>
      <c r="O851" s="45">
        <f t="shared" si="1"/>
        <v>0</v>
      </c>
      <c r="P851" s="45">
        <f>+M851+O851+K851+(+I851-(I851*TARIFAS!$K$2))</f>
        <v>0</v>
      </c>
      <c r="Q851" s="42" t="str">
        <f>CONFERENCIAS!T851</f>
        <v/>
      </c>
      <c r="R851" s="45" t="str">
        <f>CONFERENCIAS!U851</f>
        <v/>
      </c>
      <c r="S851" s="45" t="str">
        <f>CONFERENCIAS!W851</f>
        <v/>
      </c>
      <c r="T851" s="48">
        <f>IF(Q851="",0,
   IF(E851=1,
      IF(H851="Presencial",
         VLOOKUP(D851,TARIFAS!A:K,3,FALSE) + IF(I851="Sí",VLOOKUP(D851,TARIFAS!A:K,5,FALSE),0),
         VLOOKUP(D851,TARIFAS!A:K,4,FALSE) + IF(I851="Sí",VLOOKUP(D851,TARIFAS!A:K,5,FALSE),0)
      ),
      IF(H851="Presencial",
         VLOOKUP(D851,TARIFAS!A:K,9,FALSE) + IF(I851="Sí",VLOOKUP(D851,TARIFAS!A:K,11,FALSE),0),
         VLOOKUP(D851,TARIFAS!A:K,10,FALSE) + IF(I851="Sí",VLOOKUP(D851,TARIFAS!A:K,11,FALSE),0)
      )
   )
)
</f>
        <v>0</v>
      </c>
      <c r="U851" s="45">
        <f>IF(R851="",0,MAX(0,R851 - TARIFAS!G$2) * TARIFAS!F$2)
</f>
        <v>0</v>
      </c>
      <c r="V851" s="45">
        <f>+T851*TARIFAS!$K$2</f>
        <v>0</v>
      </c>
      <c r="W851" s="45">
        <f t="shared" si="2"/>
        <v>0</v>
      </c>
      <c r="X851" s="45">
        <f t="shared" si="3"/>
        <v>0</v>
      </c>
      <c r="Y851" s="45">
        <f t="shared" si="4"/>
        <v>0</v>
      </c>
      <c r="Z851" s="42" t="str">
        <f>CONFERENCIAS!AB851</f>
        <v/>
      </c>
      <c r="AA851" s="42" t="str">
        <f>CONFERENCIAS!AC851</f>
        <v/>
      </c>
      <c r="AB851" s="47" t="str">
        <f t="shared" si="5"/>
        <v/>
      </c>
      <c r="AC851" s="9" t="str">
        <f t="shared" si="6"/>
        <v/>
      </c>
    </row>
    <row r="852">
      <c r="A852" s="42" t="str">
        <f>CONFERENCIAS!A852</f>
        <v/>
      </c>
      <c r="D852" s="42" t="str">
        <f>CONFERENCIAS!C852</f>
        <v/>
      </c>
      <c r="E852" s="42" t="str">
        <f>CONFERENCIAS!K852</f>
        <v/>
      </c>
      <c r="F852" s="49" t="str">
        <f>CONFERENCIAS!J852</f>
        <v/>
      </c>
      <c r="G852" s="42" t="str">
        <f>CONFERENCIAS!O852</f>
        <v/>
      </c>
      <c r="H852" s="42" t="str">
        <f>CONFERENCIAS!X852</f>
        <v/>
      </c>
      <c r="I852" s="42" t="str">
        <f>CONFERENCIAS!AA852</f>
        <v/>
      </c>
      <c r="J852" s="44" t="str">
        <f>CONFERENCIAS!P852</f>
        <v/>
      </c>
      <c r="K852" s="45" t="str">
        <f>CONFERENCIAS!R852</f>
        <v/>
      </c>
      <c r="L852" s="45">
        <f>IF(D852="",0,
 IF(E852=1,
   IF(H852="Presencial",
      VLOOKUP(D852,TARIFAS!A:K,3,FALSE) + IF(I852="Sí",VLOOKUP(D852,TARIFAS!A:K,5,FALSE),0),
      VLOOKUP(D852,TARIFAS!A:K,4,FALSE) + IF(I852="Sí",VLOOKUP(D852,TARIFAS!A:K,5,FALSE),0)
   ),
   IF(H852="Presencial",
      VLOOKUP(D852,TARIFAS!A:K,9,FALSE) + IF(I852="Sí",VLOOKUP(D852,TARIFAS!A:K,11,FALSE),0),
      VLOOKUP(D852,TARIFAS!A:K,10,FALSE) + IF(I852="Sí",VLOOKUP(D852,TARIFAS!A:K,11,FALSE),0)
   )
 )
)
</f>
        <v>0</v>
      </c>
      <c r="M852" s="45">
        <f>IF(J852="",0,MAX(0,J852 - TARIFAS!G$2) * TARIFAS!F$2)
</f>
        <v>0</v>
      </c>
      <c r="N852" s="45">
        <f>+L852*TARIFAS!$K$2</f>
        <v>0</v>
      </c>
      <c r="O852" s="45">
        <f t="shared" si="1"/>
        <v>0</v>
      </c>
      <c r="P852" s="45">
        <f>+M852+O852+K852+(+I852-(I852*TARIFAS!$K$2))</f>
        <v>0</v>
      </c>
      <c r="Q852" s="42" t="str">
        <f>CONFERENCIAS!T852</f>
        <v/>
      </c>
      <c r="R852" s="45" t="str">
        <f>CONFERENCIAS!U852</f>
        <v/>
      </c>
      <c r="S852" s="45" t="str">
        <f>CONFERENCIAS!W852</f>
        <v/>
      </c>
      <c r="T852" s="48">
        <f>IF(Q852="",0,
   IF(E852=1,
      IF(H852="Presencial",
         VLOOKUP(D852,TARIFAS!A:K,3,FALSE) + IF(I852="Sí",VLOOKUP(D852,TARIFAS!A:K,5,FALSE),0),
         VLOOKUP(D852,TARIFAS!A:K,4,FALSE) + IF(I852="Sí",VLOOKUP(D852,TARIFAS!A:K,5,FALSE),0)
      ),
      IF(H852="Presencial",
         VLOOKUP(D852,TARIFAS!A:K,9,FALSE) + IF(I852="Sí",VLOOKUP(D852,TARIFAS!A:K,11,FALSE),0),
         VLOOKUP(D852,TARIFAS!A:K,10,FALSE) + IF(I852="Sí",VLOOKUP(D852,TARIFAS!A:K,11,FALSE),0)
      )
   )
)
</f>
        <v>0</v>
      </c>
      <c r="U852" s="45">
        <f>IF(R852="",0,MAX(0,R852 - TARIFAS!G$2) * TARIFAS!F$2)
</f>
        <v>0</v>
      </c>
      <c r="V852" s="45">
        <f>+T852*TARIFAS!$K$2</f>
        <v>0</v>
      </c>
      <c r="W852" s="45">
        <f t="shared" si="2"/>
        <v>0</v>
      </c>
      <c r="X852" s="45">
        <f t="shared" si="3"/>
        <v>0</v>
      </c>
      <c r="Y852" s="45">
        <f t="shared" si="4"/>
        <v>0</v>
      </c>
      <c r="Z852" s="42" t="str">
        <f>CONFERENCIAS!AB852</f>
        <v/>
      </c>
      <c r="AA852" s="42" t="str">
        <f>CONFERENCIAS!AC852</f>
        <v/>
      </c>
      <c r="AB852" s="47" t="str">
        <f t="shared" si="5"/>
        <v/>
      </c>
      <c r="AC852" s="9" t="str">
        <f t="shared" si="6"/>
        <v/>
      </c>
    </row>
    <row r="853">
      <c r="A853" s="42" t="str">
        <f>CONFERENCIAS!A853</f>
        <v/>
      </c>
      <c r="D853" s="42" t="str">
        <f>CONFERENCIAS!C853</f>
        <v/>
      </c>
      <c r="E853" s="42" t="str">
        <f>CONFERENCIAS!K853</f>
        <v/>
      </c>
      <c r="F853" s="49" t="str">
        <f>CONFERENCIAS!J853</f>
        <v/>
      </c>
      <c r="G853" s="42" t="str">
        <f>CONFERENCIAS!O853</f>
        <v/>
      </c>
      <c r="H853" s="42" t="str">
        <f>CONFERENCIAS!X853</f>
        <v/>
      </c>
      <c r="I853" s="42" t="str">
        <f>CONFERENCIAS!AA853</f>
        <v/>
      </c>
      <c r="J853" s="44" t="str">
        <f>CONFERENCIAS!P853</f>
        <v/>
      </c>
      <c r="K853" s="45" t="str">
        <f>CONFERENCIAS!R853</f>
        <v/>
      </c>
      <c r="L853" s="45">
        <f>IF(D853="",0,
 IF(E853=1,
   IF(H853="Presencial",
      VLOOKUP(D853,TARIFAS!A:K,3,FALSE) + IF(I853="Sí",VLOOKUP(D853,TARIFAS!A:K,5,FALSE),0),
      VLOOKUP(D853,TARIFAS!A:K,4,FALSE) + IF(I853="Sí",VLOOKUP(D853,TARIFAS!A:K,5,FALSE),0)
   ),
   IF(H853="Presencial",
      VLOOKUP(D853,TARIFAS!A:K,9,FALSE) + IF(I853="Sí",VLOOKUP(D853,TARIFAS!A:K,11,FALSE),0),
      VLOOKUP(D853,TARIFAS!A:K,10,FALSE) + IF(I853="Sí",VLOOKUP(D853,TARIFAS!A:K,11,FALSE),0)
   )
 )
)
</f>
        <v>0</v>
      </c>
      <c r="M853" s="45">
        <f>IF(J853="",0,MAX(0,J853 - TARIFAS!G$2) * TARIFAS!F$2)
</f>
        <v>0</v>
      </c>
      <c r="N853" s="45">
        <f>+L853*TARIFAS!$K$2</f>
        <v>0</v>
      </c>
      <c r="O853" s="45">
        <f t="shared" si="1"/>
        <v>0</v>
      </c>
      <c r="P853" s="45">
        <f>+M853+O853+K853+(+I853-(I853*TARIFAS!$K$2))</f>
        <v>0</v>
      </c>
      <c r="Q853" s="42" t="str">
        <f>CONFERENCIAS!T853</f>
        <v/>
      </c>
      <c r="R853" s="45" t="str">
        <f>CONFERENCIAS!U853</f>
        <v/>
      </c>
      <c r="S853" s="45" t="str">
        <f>CONFERENCIAS!W853</f>
        <v/>
      </c>
      <c r="T853" s="48">
        <f>IF(Q853="",0,
   IF(E853=1,
      IF(H853="Presencial",
         VLOOKUP(D853,TARIFAS!A:K,3,FALSE) + IF(I853="Sí",VLOOKUP(D853,TARIFAS!A:K,5,FALSE),0),
         VLOOKUP(D853,TARIFAS!A:K,4,FALSE) + IF(I853="Sí",VLOOKUP(D853,TARIFAS!A:K,5,FALSE),0)
      ),
      IF(H853="Presencial",
         VLOOKUP(D853,TARIFAS!A:K,9,FALSE) + IF(I853="Sí",VLOOKUP(D853,TARIFAS!A:K,11,FALSE),0),
         VLOOKUP(D853,TARIFAS!A:K,10,FALSE) + IF(I853="Sí",VLOOKUP(D853,TARIFAS!A:K,11,FALSE),0)
      )
   )
)
</f>
        <v>0</v>
      </c>
      <c r="U853" s="45">
        <f>IF(R853="",0,MAX(0,R853 - TARIFAS!G$2) * TARIFAS!F$2)
</f>
        <v>0</v>
      </c>
      <c r="V853" s="45">
        <f>+T853*TARIFAS!$K$2</f>
        <v>0</v>
      </c>
      <c r="W853" s="45">
        <f t="shared" si="2"/>
        <v>0</v>
      </c>
      <c r="X853" s="45">
        <f t="shared" si="3"/>
        <v>0</v>
      </c>
      <c r="Y853" s="45">
        <f t="shared" si="4"/>
        <v>0</v>
      </c>
      <c r="Z853" s="42" t="str">
        <f>CONFERENCIAS!AB853</f>
        <v/>
      </c>
      <c r="AA853" s="42" t="str">
        <f>CONFERENCIAS!AC853</f>
        <v/>
      </c>
      <c r="AB853" s="47" t="str">
        <f t="shared" si="5"/>
        <v/>
      </c>
      <c r="AC853" s="9" t="str">
        <f t="shared" si="6"/>
        <v/>
      </c>
    </row>
    <row r="854">
      <c r="A854" s="42" t="str">
        <f>CONFERENCIAS!A854</f>
        <v/>
      </c>
      <c r="D854" s="42" t="str">
        <f>CONFERENCIAS!C854</f>
        <v/>
      </c>
      <c r="E854" s="42" t="str">
        <f>CONFERENCIAS!K854</f>
        <v/>
      </c>
      <c r="F854" s="49" t="str">
        <f>CONFERENCIAS!J854</f>
        <v/>
      </c>
      <c r="G854" s="42" t="str">
        <f>CONFERENCIAS!O854</f>
        <v/>
      </c>
      <c r="H854" s="42" t="str">
        <f>CONFERENCIAS!X854</f>
        <v/>
      </c>
      <c r="I854" s="42" t="str">
        <f>CONFERENCIAS!AA854</f>
        <v/>
      </c>
      <c r="J854" s="44" t="str">
        <f>CONFERENCIAS!P854</f>
        <v/>
      </c>
      <c r="K854" s="45" t="str">
        <f>CONFERENCIAS!R854</f>
        <v/>
      </c>
      <c r="L854" s="45">
        <f>IF(D854="",0,
 IF(E854=1,
   IF(H854="Presencial",
      VLOOKUP(D854,TARIFAS!A:K,3,FALSE) + IF(I854="Sí",VLOOKUP(D854,TARIFAS!A:K,5,FALSE),0),
      VLOOKUP(D854,TARIFAS!A:K,4,FALSE) + IF(I854="Sí",VLOOKUP(D854,TARIFAS!A:K,5,FALSE),0)
   ),
   IF(H854="Presencial",
      VLOOKUP(D854,TARIFAS!A:K,9,FALSE) + IF(I854="Sí",VLOOKUP(D854,TARIFAS!A:K,11,FALSE),0),
      VLOOKUP(D854,TARIFAS!A:K,10,FALSE) + IF(I854="Sí",VLOOKUP(D854,TARIFAS!A:K,11,FALSE),0)
   )
 )
)
</f>
        <v>0</v>
      </c>
      <c r="M854" s="45">
        <f>IF(J854="",0,MAX(0,J854 - TARIFAS!G$2) * TARIFAS!F$2)
</f>
        <v>0</v>
      </c>
      <c r="N854" s="45">
        <f>+L854*TARIFAS!$K$2</f>
        <v>0</v>
      </c>
      <c r="O854" s="45">
        <f t="shared" si="1"/>
        <v>0</v>
      </c>
      <c r="P854" s="45">
        <f>+M854+O854+K854+(+I854-(I854*TARIFAS!$K$2))</f>
        <v>0</v>
      </c>
      <c r="Q854" s="42" t="str">
        <f>CONFERENCIAS!T854</f>
        <v/>
      </c>
      <c r="R854" s="45" t="str">
        <f>CONFERENCIAS!U854</f>
        <v/>
      </c>
      <c r="S854" s="45" t="str">
        <f>CONFERENCIAS!W854</f>
        <v/>
      </c>
      <c r="T854" s="48">
        <f>IF(Q854="",0,
   IF(E854=1,
      IF(H854="Presencial",
         VLOOKUP(D854,TARIFAS!A:K,3,FALSE) + IF(I854="Sí",VLOOKUP(D854,TARIFAS!A:K,5,FALSE),0),
         VLOOKUP(D854,TARIFAS!A:K,4,FALSE) + IF(I854="Sí",VLOOKUP(D854,TARIFAS!A:K,5,FALSE),0)
      ),
      IF(H854="Presencial",
         VLOOKUP(D854,TARIFAS!A:K,9,FALSE) + IF(I854="Sí",VLOOKUP(D854,TARIFAS!A:K,11,FALSE),0),
         VLOOKUP(D854,TARIFAS!A:K,10,FALSE) + IF(I854="Sí",VLOOKUP(D854,TARIFAS!A:K,11,FALSE),0)
      )
   )
)
</f>
        <v>0</v>
      </c>
      <c r="U854" s="45">
        <f>IF(R854="",0,MAX(0,R854 - TARIFAS!G$2) * TARIFAS!F$2)
</f>
        <v>0</v>
      </c>
      <c r="V854" s="45">
        <f>+T854*TARIFAS!$K$2</f>
        <v>0</v>
      </c>
      <c r="W854" s="45">
        <f t="shared" si="2"/>
        <v>0</v>
      </c>
      <c r="X854" s="45">
        <f t="shared" si="3"/>
        <v>0</v>
      </c>
      <c r="Y854" s="45">
        <f t="shared" si="4"/>
        <v>0</v>
      </c>
      <c r="Z854" s="42" t="str">
        <f>CONFERENCIAS!AB854</f>
        <v/>
      </c>
      <c r="AA854" s="42" t="str">
        <f>CONFERENCIAS!AC854</f>
        <v/>
      </c>
      <c r="AB854" s="47" t="str">
        <f t="shared" si="5"/>
        <v/>
      </c>
      <c r="AC854" s="9" t="str">
        <f t="shared" si="6"/>
        <v/>
      </c>
    </row>
    <row r="855">
      <c r="A855" s="42" t="str">
        <f>CONFERENCIAS!A855</f>
        <v/>
      </c>
      <c r="D855" s="42" t="str">
        <f>CONFERENCIAS!C855</f>
        <v/>
      </c>
      <c r="E855" s="42" t="str">
        <f>CONFERENCIAS!K855</f>
        <v/>
      </c>
      <c r="F855" s="49" t="str">
        <f>CONFERENCIAS!J855</f>
        <v/>
      </c>
      <c r="G855" s="42" t="str">
        <f>CONFERENCIAS!O855</f>
        <v/>
      </c>
      <c r="H855" s="42" t="str">
        <f>CONFERENCIAS!X855</f>
        <v/>
      </c>
      <c r="I855" s="42" t="str">
        <f>CONFERENCIAS!AA855</f>
        <v/>
      </c>
      <c r="J855" s="44" t="str">
        <f>CONFERENCIAS!P855</f>
        <v/>
      </c>
      <c r="K855" s="45" t="str">
        <f>CONFERENCIAS!R855</f>
        <v/>
      </c>
      <c r="L855" s="45">
        <f>IF(D855="",0,
 IF(E855=1,
   IF(H855="Presencial",
      VLOOKUP(D855,TARIFAS!A:K,3,FALSE) + IF(I855="Sí",VLOOKUP(D855,TARIFAS!A:K,5,FALSE),0),
      VLOOKUP(D855,TARIFAS!A:K,4,FALSE) + IF(I855="Sí",VLOOKUP(D855,TARIFAS!A:K,5,FALSE),0)
   ),
   IF(H855="Presencial",
      VLOOKUP(D855,TARIFAS!A:K,9,FALSE) + IF(I855="Sí",VLOOKUP(D855,TARIFAS!A:K,11,FALSE),0),
      VLOOKUP(D855,TARIFAS!A:K,10,FALSE) + IF(I855="Sí",VLOOKUP(D855,TARIFAS!A:K,11,FALSE),0)
   )
 )
)
</f>
        <v>0</v>
      </c>
      <c r="M855" s="45">
        <f>IF(J855="",0,MAX(0,J855 - TARIFAS!G$2) * TARIFAS!F$2)
</f>
        <v>0</v>
      </c>
      <c r="N855" s="45">
        <f>+L855*TARIFAS!$K$2</f>
        <v>0</v>
      </c>
      <c r="O855" s="45">
        <f t="shared" si="1"/>
        <v>0</v>
      </c>
      <c r="P855" s="45">
        <f>+M855+O855+K855+(+I855-(I855*TARIFAS!$K$2))</f>
        <v>0</v>
      </c>
      <c r="Q855" s="42" t="str">
        <f>CONFERENCIAS!T855</f>
        <v/>
      </c>
      <c r="R855" s="45" t="str">
        <f>CONFERENCIAS!U855</f>
        <v/>
      </c>
      <c r="S855" s="45" t="str">
        <f>CONFERENCIAS!W855</f>
        <v/>
      </c>
      <c r="T855" s="48">
        <f>IF(Q855="",0,
   IF(E855=1,
      IF(H855="Presencial",
         VLOOKUP(D855,TARIFAS!A:K,3,FALSE) + IF(I855="Sí",VLOOKUP(D855,TARIFAS!A:K,5,FALSE),0),
         VLOOKUP(D855,TARIFAS!A:K,4,FALSE) + IF(I855="Sí",VLOOKUP(D855,TARIFAS!A:K,5,FALSE),0)
      ),
      IF(H855="Presencial",
         VLOOKUP(D855,TARIFAS!A:K,9,FALSE) + IF(I855="Sí",VLOOKUP(D855,TARIFAS!A:K,11,FALSE),0),
         VLOOKUP(D855,TARIFAS!A:K,10,FALSE) + IF(I855="Sí",VLOOKUP(D855,TARIFAS!A:K,11,FALSE),0)
      )
   )
)
</f>
        <v>0</v>
      </c>
      <c r="U855" s="45">
        <f>IF(R855="",0,MAX(0,R855 - TARIFAS!G$2) * TARIFAS!F$2)
</f>
        <v>0</v>
      </c>
      <c r="V855" s="45">
        <f>+T855*TARIFAS!$K$2</f>
        <v>0</v>
      </c>
      <c r="W855" s="45">
        <f t="shared" si="2"/>
        <v>0</v>
      </c>
      <c r="X855" s="45">
        <f t="shared" si="3"/>
        <v>0</v>
      </c>
      <c r="Y855" s="45">
        <f t="shared" si="4"/>
        <v>0</v>
      </c>
      <c r="Z855" s="42" t="str">
        <f>CONFERENCIAS!AB855</f>
        <v/>
      </c>
      <c r="AA855" s="42" t="str">
        <f>CONFERENCIAS!AC855</f>
        <v/>
      </c>
      <c r="AB855" s="47" t="str">
        <f t="shared" si="5"/>
        <v/>
      </c>
      <c r="AC855" s="9" t="str">
        <f t="shared" si="6"/>
        <v/>
      </c>
    </row>
    <row r="856">
      <c r="A856" s="42" t="str">
        <f>CONFERENCIAS!A856</f>
        <v/>
      </c>
      <c r="D856" s="42" t="str">
        <f>CONFERENCIAS!C856</f>
        <v/>
      </c>
      <c r="E856" s="42" t="str">
        <f>CONFERENCIAS!K856</f>
        <v/>
      </c>
      <c r="F856" s="49" t="str">
        <f>CONFERENCIAS!J856</f>
        <v/>
      </c>
      <c r="G856" s="42" t="str">
        <f>CONFERENCIAS!O856</f>
        <v/>
      </c>
      <c r="H856" s="42" t="str">
        <f>CONFERENCIAS!X856</f>
        <v/>
      </c>
      <c r="I856" s="42" t="str">
        <f>CONFERENCIAS!AA856</f>
        <v/>
      </c>
      <c r="J856" s="44" t="str">
        <f>CONFERENCIAS!P856</f>
        <v/>
      </c>
      <c r="K856" s="45" t="str">
        <f>CONFERENCIAS!R856</f>
        <v/>
      </c>
      <c r="L856" s="45">
        <f>IF(D856="",0,
 IF(E856=1,
   IF(H856="Presencial",
      VLOOKUP(D856,TARIFAS!A:K,3,FALSE) + IF(I856="Sí",VLOOKUP(D856,TARIFAS!A:K,5,FALSE),0),
      VLOOKUP(D856,TARIFAS!A:K,4,FALSE) + IF(I856="Sí",VLOOKUP(D856,TARIFAS!A:K,5,FALSE),0)
   ),
   IF(H856="Presencial",
      VLOOKUP(D856,TARIFAS!A:K,9,FALSE) + IF(I856="Sí",VLOOKUP(D856,TARIFAS!A:K,11,FALSE),0),
      VLOOKUP(D856,TARIFAS!A:K,10,FALSE) + IF(I856="Sí",VLOOKUP(D856,TARIFAS!A:K,11,FALSE),0)
   )
 )
)
</f>
        <v>0</v>
      </c>
      <c r="M856" s="45">
        <f>IF(J856="",0,MAX(0,J856 - TARIFAS!G$2) * TARIFAS!F$2)
</f>
        <v>0</v>
      </c>
      <c r="N856" s="45">
        <f>+L856*TARIFAS!$K$2</f>
        <v>0</v>
      </c>
      <c r="O856" s="45">
        <f t="shared" si="1"/>
        <v>0</v>
      </c>
      <c r="P856" s="45">
        <f>+M856+O856+K856+(+I856-(I856*TARIFAS!$K$2))</f>
        <v>0</v>
      </c>
      <c r="Q856" s="42" t="str">
        <f>CONFERENCIAS!T856</f>
        <v/>
      </c>
      <c r="R856" s="45" t="str">
        <f>CONFERENCIAS!U856</f>
        <v/>
      </c>
      <c r="S856" s="45" t="str">
        <f>CONFERENCIAS!W856</f>
        <v/>
      </c>
      <c r="T856" s="48">
        <f>IF(Q856="",0,
   IF(E856=1,
      IF(H856="Presencial",
         VLOOKUP(D856,TARIFAS!A:K,3,FALSE) + IF(I856="Sí",VLOOKUP(D856,TARIFAS!A:K,5,FALSE),0),
         VLOOKUP(D856,TARIFAS!A:K,4,FALSE) + IF(I856="Sí",VLOOKUP(D856,TARIFAS!A:K,5,FALSE),0)
      ),
      IF(H856="Presencial",
         VLOOKUP(D856,TARIFAS!A:K,9,FALSE) + IF(I856="Sí",VLOOKUP(D856,TARIFAS!A:K,11,FALSE),0),
         VLOOKUP(D856,TARIFAS!A:K,10,FALSE) + IF(I856="Sí",VLOOKUP(D856,TARIFAS!A:K,11,FALSE),0)
      )
   )
)
</f>
        <v>0</v>
      </c>
      <c r="U856" s="45">
        <f>IF(R856="",0,MAX(0,R856 - TARIFAS!G$2) * TARIFAS!F$2)
</f>
        <v>0</v>
      </c>
      <c r="V856" s="45">
        <f>+T856*TARIFAS!$K$2</f>
        <v>0</v>
      </c>
      <c r="W856" s="45">
        <f t="shared" si="2"/>
        <v>0</v>
      </c>
      <c r="X856" s="45">
        <f t="shared" si="3"/>
        <v>0</v>
      </c>
      <c r="Y856" s="45">
        <f t="shared" si="4"/>
        <v>0</v>
      </c>
      <c r="Z856" s="42" t="str">
        <f>CONFERENCIAS!AB856</f>
        <v/>
      </c>
      <c r="AA856" s="42" t="str">
        <f>CONFERENCIAS!AC856</f>
        <v/>
      </c>
      <c r="AB856" s="47" t="str">
        <f t="shared" si="5"/>
        <v/>
      </c>
      <c r="AC856" s="9" t="str">
        <f t="shared" si="6"/>
        <v/>
      </c>
    </row>
    <row r="857">
      <c r="A857" s="42" t="str">
        <f>CONFERENCIAS!A857</f>
        <v/>
      </c>
      <c r="D857" s="42" t="str">
        <f>CONFERENCIAS!C857</f>
        <v/>
      </c>
      <c r="E857" s="42" t="str">
        <f>CONFERENCIAS!K857</f>
        <v/>
      </c>
      <c r="F857" s="49" t="str">
        <f>CONFERENCIAS!J857</f>
        <v/>
      </c>
      <c r="G857" s="42" t="str">
        <f>CONFERENCIAS!O857</f>
        <v/>
      </c>
      <c r="H857" s="42" t="str">
        <f>CONFERENCIAS!X857</f>
        <v/>
      </c>
      <c r="I857" s="42" t="str">
        <f>CONFERENCIAS!AA857</f>
        <v/>
      </c>
      <c r="J857" s="44" t="str">
        <f>CONFERENCIAS!P857</f>
        <v/>
      </c>
      <c r="K857" s="45" t="str">
        <f>CONFERENCIAS!R857</f>
        <v/>
      </c>
      <c r="L857" s="45">
        <f>IF(D857="",0,
 IF(E857=1,
   IF(H857="Presencial",
      VLOOKUP(D857,TARIFAS!A:K,3,FALSE) + IF(I857="Sí",VLOOKUP(D857,TARIFAS!A:K,5,FALSE),0),
      VLOOKUP(D857,TARIFAS!A:K,4,FALSE) + IF(I857="Sí",VLOOKUP(D857,TARIFAS!A:K,5,FALSE),0)
   ),
   IF(H857="Presencial",
      VLOOKUP(D857,TARIFAS!A:K,9,FALSE) + IF(I857="Sí",VLOOKUP(D857,TARIFAS!A:K,11,FALSE),0),
      VLOOKUP(D857,TARIFAS!A:K,10,FALSE) + IF(I857="Sí",VLOOKUP(D857,TARIFAS!A:K,11,FALSE),0)
   )
 )
)
</f>
        <v>0</v>
      </c>
      <c r="M857" s="45">
        <f>IF(J857="",0,MAX(0,J857 - TARIFAS!G$2) * TARIFAS!F$2)
</f>
        <v>0</v>
      </c>
      <c r="N857" s="45">
        <f>+L857*TARIFAS!$K$2</f>
        <v>0</v>
      </c>
      <c r="O857" s="45">
        <f t="shared" si="1"/>
        <v>0</v>
      </c>
      <c r="P857" s="45">
        <f>+M857+O857+K857+(+I857-(I857*TARIFAS!$K$2))</f>
        <v>0</v>
      </c>
      <c r="Q857" s="42" t="str">
        <f>CONFERENCIAS!T857</f>
        <v/>
      </c>
      <c r="R857" s="45" t="str">
        <f>CONFERENCIAS!U857</f>
        <v/>
      </c>
      <c r="S857" s="45" t="str">
        <f>CONFERENCIAS!W857</f>
        <v/>
      </c>
      <c r="T857" s="48">
        <f>IF(Q857="",0,
   IF(E857=1,
      IF(H857="Presencial",
         VLOOKUP(D857,TARIFAS!A:K,3,FALSE) + IF(I857="Sí",VLOOKUP(D857,TARIFAS!A:K,5,FALSE),0),
         VLOOKUP(D857,TARIFAS!A:K,4,FALSE) + IF(I857="Sí",VLOOKUP(D857,TARIFAS!A:K,5,FALSE),0)
      ),
      IF(H857="Presencial",
         VLOOKUP(D857,TARIFAS!A:K,9,FALSE) + IF(I857="Sí",VLOOKUP(D857,TARIFAS!A:K,11,FALSE),0),
         VLOOKUP(D857,TARIFAS!A:K,10,FALSE) + IF(I857="Sí",VLOOKUP(D857,TARIFAS!A:K,11,FALSE),0)
      )
   )
)
</f>
        <v>0</v>
      </c>
      <c r="U857" s="45">
        <f>IF(R857="",0,MAX(0,R857 - TARIFAS!G$2) * TARIFAS!F$2)
</f>
        <v>0</v>
      </c>
      <c r="V857" s="45">
        <f>+T857*TARIFAS!$K$2</f>
        <v>0</v>
      </c>
      <c r="W857" s="45">
        <f t="shared" si="2"/>
        <v>0</v>
      </c>
      <c r="X857" s="45">
        <f t="shared" si="3"/>
        <v>0</v>
      </c>
      <c r="Y857" s="45">
        <f t="shared" si="4"/>
        <v>0</v>
      </c>
      <c r="Z857" s="42" t="str">
        <f>CONFERENCIAS!AB857</f>
        <v/>
      </c>
      <c r="AA857" s="42" t="str">
        <f>CONFERENCIAS!AC857</f>
        <v/>
      </c>
      <c r="AB857" s="47" t="str">
        <f t="shared" si="5"/>
        <v/>
      </c>
      <c r="AC857" s="9" t="str">
        <f t="shared" si="6"/>
        <v/>
      </c>
    </row>
    <row r="858">
      <c r="A858" s="42" t="str">
        <f>CONFERENCIAS!A858</f>
        <v/>
      </c>
      <c r="D858" s="42" t="str">
        <f>CONFERENCIAS!C858</f>
        <v/>
      </c>
      <c r="E858" s="42" t="str">
        <f>CONFERENCIAS!K858</f>
        <v/>
      </c>
      <c r="F858" s="49" t="str">
        <f>CONFERENCIAS!J858</f>
        <v/>
      </c>
      <c r="G858" s="42" t="str">
        <f>CONFERENCIAS!O858</f>
        <v/>
      </c>
      <c r="H858" s="42" t="str">
        <f>CONFERENCIAS!X858</f>
        <v/>
      </c>
      <c r="I858" s="42" t="str">
        <f>CONFERENCIAS!AA858</f>
        <v/>
      </c>
      <c r="J858" s="44" t="str">
        <f>CONFERENCIAS!P858</f>
        <v/>
      </c>
      <c r="K858" s="45" t="str">
        <f>CONFERENCIAS!R858</f>
        <v/>
      </c>
      <c r="L858" s="45">
        <f>IF(D858="",0,
 IF(E858=1,
   IF(H858="Presencial",
      VLOOKUP(D858,TARIFAS!A:K,3,FALSE) + IF(I858="Sí",VLOOKUP(D858,TARIFAS!A:K,5,FALSE),0),
      VLOOKUP(D858,TARIFAS!A:K,4,FALSE) + IF(I858="Sí",VLOOKUP(D858,TARIFAS!A:K,5,FALSE),0)
   ),
   IF(H858="Presencial",
      VLOOKUP(D858,TARIFAS!A:K,9,FALSE) + IF(I858="Sí",VLOOKUP(D858,TARIFAS!A:K,11,FALSE),0),
      VLOOKUP(D858,TARIFAS!A:K,10,FALSE) + IF(I858="Sí",VLOOKUP(D858,TARIFAS!A:K,11,FALSE),0)
   )
 )
)
</f>
        <v>0</v>
      </c>
      <c r="M858" s="45">
        <f>IF(J858="",0,MAX(0,J858 - TARIFAS!G$2) * TARIFAS!F$2)
</f>
        <v>0</v>
      </c>
      <c r="N858" s="45">
        <f>+L858*TARIFAS!$K$2</f>
        <v>0</v>
      </c>
      <c r="O858" s="45">
        <f t="shared" si="1"/>
        <v>0</v>
      </c>
      <c r="P858" s="45">
        <f>+M858+O858+K858+(+I858-(I858*TARIFAS!$K$2))</f>
        <v>0</v>
      </c>
      <c r="Q858" s="42" t="str">
        <f>CONFERENCIAS!T858</f>
        <v/>
      </c>
      <c r="R858" s="45" t="str">
        <f>CONFERENCIAS!U858</f>
        <v/>
      </c>
      <c r="S858" s="45" t="str">
        <f>CONFERENCIAS!W858</f>
        <v/>
      </c>
      <c r="T858" s="48">
        <f>IF(Q858="",0,
   IF(E858=1,
      IF(H858="Presencial",
         VLOOKUP(D858,TARIFAS!A:K,3,FALSE) + IF(I858="Sí",VLOOKUP(D858,TARIFAS!A:K,5,FALSE),0),
         VLOOKUP(D858,TARIFAS!A:K,4,FALSE) + IF(I858="Sí",VLOOKUP(D858,TARIFAS!A:K,5,FALSE),0)
      ),
      IF(H858="Presencial",
         VLOOKUP(D858,TARIFAS!A:K,9,FALSE) + IF(I858="Sí",VLOOKUP(D858,TARIFAS!A:K,11,FALSE),0),
         VLOOKUP(D858,TARIFAS!A:K,10,FALSE) + IF(I858="Sí",VLOOKUP(D858,TARIFAS!A:K,11,FALSE),0)
      )
   )
)
</f>
        <v>0</v>
      </c>
      <c r="U858" s="45">
        <f>IF(R858="",0,MAX(0,R858 - TARIFAS!G$2) * TARIFAS!F$2)
</f>
        <v>0</v>
      </c>
      <c r="V858" s="45">
        <f>+T858*TARIFAS!$K$2</f>
        <v>0</v>
      </c>
      <c r="W858" s="45">
        <f t="shared" si="2"/>
        <v>0</v>
      </c>
      <c r="X858" s="45">
        <f t="shared" si="3"/>
        <v>0</v>
      </c>
      <c r="Y858" s="45">
        <f t="shared" si="4"/>
        <v>0</v>
      </c>
      <c r="Z858" s="42" t="str">
        <f>CONFERENCIAS!AB858</f>
        <v/>
      </c>
      <c r="AA858" s="42" t="str">
        <f>CONFERENCIAS!AC858</f>
        <v/>
      </c>
      <c r="AB858" s="47" t="str">
        <f t="shared" si="5"/>
        <v/>
      </c>
      <c r="AC858" s="9" t="str">
        <f t="shared" si="6"/>
        <v/>
      </c>
    </row>
    <row r="859">
      <c r="A859" s="42" t="str">
        <f>CONFERENCIAS!A859</f>
        <v/>
      </c>
      <c r="D859" s="42" t="str">
        <f>CONFERENCIAS!C859</f>
        <v/>
      </c>
      <c r="E859" s="42" t="str">
        <f>CONFERENCIAS!K859</f>
        <v/>
      </c>
      <c r="F859" s="49" t="str">
        <f>CONFERENCIAS!J859</f>
        <v/>
      </c>
      <c r="G859" s="42" t="str">
        <f>CONFERENCIAS!O859</f>
        <v/>
      </c>
      <c r="H859" s="42" t="str">
        <f>CONFERENCIAS!X859</f>
        <v/>
      </c>
      <c r="I859" s="42" t="str">
        <f>CONFERENCIAS!AA859</f>
        <v/>
      </c>
      <c r="J859" s="44" t="str">
        <f>CONFERENCIAS!P859</f>
        <v/>
      </c>
      <c r="K859" s="45" t="str">
        <f>CONFERENCIAS!R859</f>
        <v/>
      </c>
      <c r="L859" s="45">
        <f>IF(D859="",0,
 IF(E859=1,
   IF(H859="Presencial",
      VLOOKUP(D859,TARIFAS!A:K,3,FALSE) + IF(I859="Sí",VLOOKUP(D859,TARIFAS!A:K,5,FALSE),0),
      VLOOKUP(D859,TARIFAS!A:K,4,FALSE) + IF(I859="Sí",VLOOKUP(D859,TARIFAS!A:K,5,FALSE),0)
   ),
   IF(H859="Presencial",
      VLOOKUP(D859,TARIFAS!A:K,9,FALSE) + IF(I859="Sí",VLOOKUP(D859,TARIFAS!A:K,11,FALSE),0),
      VLOOKUP(D859,TARIFAS!A:K,10,FALSE) + IF(I859="Sí",VLOOKUP(D859,TARIFAS!A:K,11,FALSE),0)
   )
 )
)
</f>
        <v>0</v>
      </c>
      <c r="M859" s="45">
        <f>IF(J859="",0,MAX(0,J859 - TARIFAS!G$2) * TARIFAS!F$2)
</f>
        <v>0</v>
      </c>
      <c r="N859" s="45">
        <f>+L859*TARIFAS!$K$2</f>
        <v>0</v>
      </c>
      <c r="O859" s="45">
        <f t="shared" si="1"/>
        <v>0</v>
      </c>
      <c r="P859" s="45">
        <f>+M859+O859+K859+(+I859-(I859*TARIFAS!$K$2))</f>
        <v>0</v>
      </c>
      <c r="Q859" s="42" t="str">
        <f>CONFERENCIAS!T859</f>
        <v/>
      </c>
      <c r="R859" s="45" t="str">
        <f>CONFERENCIAS!U859</f>
        <v/>
      </c>
      <c r="S859" s="45" t="str">
        <f>CONFERENCIAS!W859</f>
        <v/>
      </c>
      <c r="T859" s="48">
        <f>IF(Q859="",0,
   IF(E859=1,
      IF(H859="Presencial",
         VLOOKUP(D859,TARIFAS!A:K,3,FALSE) + IF(I859="Sí",VLOOKUP(D859,TARIFAS!A:K,5,FALSE),0),
         VLOOKUP(D859,TARIFAS!A:K,4,FALSE) + IF(I859="Sí",VLOOKUP(D859,TARIFAS!A:K,5,FALSE),0)
      ),
      IF(H859="Presencial",
         VLOOKUP(D859,TARIFAS!A:K,9,FALSE) + IF(I859="Sí",VLOOKUP(D859,TARIFAS!A:K,11,FALSE),0),
         VLOOKUP(D859,TARIFAS!A:K,10,FALSE) + IF(I859="Sí",VLOOKUP(D859,TARIFAS!A:K,11,FALSE),0)
      )
   )
)
</f>
        <v>0</v>
      </c>
      <c r="U859" s="45">
        <f>IF(R859="",0,MAX(0,R859 - TARIFAS!G$2) * TARIFAS!F$2)
</f>
        <v>0</v>
      </c>
      <c r="V859" s="45">
        <f>+T859*TARIFAS!$K$2</f>
        <v>0</v>
      </c>
      <c r="W859" s="45">
        <f t="shared" si="2"/>
        <v>0</v>
      </c>
      <c r="X859" s="45">
        <f t="shared" si="3"/>
        <v>0</v>
      </c>
      <c r="Y859" s="45">
        <f t="shared" si="4"/>
        <v>0</v>
      </c>
      <c r="Z859" s="42" t="str">
        <f>CONFERENCIAS!AB859</f>
        <v/>
      </c>
      <c r="AA859" s="42" t="str">
        <f>CONFERENCIAS!AC859</f>
        <v/>
      </c>
      <c r="AB859" s="47" t="str">
        <f t="shared" si="5"/>
        <v/>
      </c>
      <c r="AC859" s="9" t="str">
        <f t="shared" si="6"/>
        <v/>
      </c>
    </row>
    <row r="860">
      <c r="A860" s="42" t="str">
        <f>CONFERENCIAS!A860</f>
        <v/>
      </c>
      <c r="D860" s="42" t="str">
        <f>CONFERENCIAS!C860</f>
        <v/>
      </c>
      <c r="E860" s="42" t="str">
        <f>CONFERENCIAS!K860</f>
        <v/>
      </c>
      <c r="F860" s="49" t="str">
        <f>CONFERENCIAS!J860</f>
        <v/>
      </c>
      <c r="G860" s="42" t="str">
        <f>CONFERENCIAS!O860</f>
        <v/>
      </c>
      <c r="H860" s="42" t="str">
        <f>CONFERENCIAS!X860</f>
        <v/>
      </c>
      <c r="I860" s="42" t="str">
        <f>CONFERENCIAS!AA860</f>
        <v/>
      </c>
      <c r="J860" s="44" t="str">
        <f>CONFERENCIAS!P860</f>
        <v/>
      </c>
      <c r="K860" s="45" t="str">
        <f>CONFERENCIAS!R860</f>
        <v/>
      </c>
      <c r="L860" s="45">
        <f>IF(D860="",0,
 IF(E860=1,
   IF(H860="Presencial",
      VLOOKUP(D860,TARIFAS!A:K,3,FALSE) + IF(I860="Sí",VLOOKUP(D860,TARIFAS!A:K,5,FALSE),0),
      VLOOKUP(D860,TARIFAS!A:K,4,FALSE) + IF(I860="Sí",VLOOKUP(D860,TARIFAS!A:K,5,FALSE),0)
   ),
   IF(H860="Presencial",
      VLOOKUP(D860,TARIFAS!A:K,9,FALSE) + IF(I860="Sí",VLOOKUP(D860,TARIFAS!A:K,11,FALSE),0),
      VLOOKUP(D860,TARIFAS!A:K,10,FALSE) + IF(I860="Sí",VLOOKUP(D860,TARIFAS!A:K,11,FALSE),0)
   )
 )
)
</f>
        <v>0</v>
      </c>
      <c r="M860" s="45">
        <f>IF(J860="",0,MAX(0,J860 - TARIFAS!G$2) * TARIFAS!F$2)
</f>
        <v>0</v>
      </c>
      <c r="N860" s="45">
        <f>+L860*TARIFAS!$K$2</f>
        <v>0</v>
      </c>
      <c r="O860" s="45">
        <f t="shared" si="1"/>
        <v>0</v>
      </c>
      <c r="P860" s="45">
        <f>+M860+O860+K860+(+I860-(I860*TARIFAS!$K$2))</f>
        <v>0</v>
      </c>
      <c r="Q860" s="42" t="str">
        <f>CONFERENCIAS!T860</f>
        <v/>
      </c>
      <c r="R860" s="45" t="str">
        <f>CONFERENCIAS!U860</f>
        <v/>
      </c>
      <c r="S860" s="45" t="str">
        <f>CONFERENCIAS!W860</f>
        <v/>
      </c>
      <c r="T860" s="48">
        <f>IF(Q860="",0,
   IF(E860=1,
      IF(H860="Presencial",
         VLOOKUP(D860,TARIFAS!A:K,3,FALSE) + IF(I860="Sí",VLOOKUP(D860,TARIFAS!A:K,5,FALSE),0),
         VLOOKUP(D860,TARIFAS!A:K,4,FALSE) + IF(I860="Sí",VLOOKUP(D860,TARIFAS!A:K,5,FALSE),0)
      ),
      IF(H860="Presencial",
         VLOOKUP(D860,TARIFAS!A:K,9,FALSE) + IF(I860="Sí",VLOOKUP(D860,TARIFAS!A:K,11,FALSE),0),
         VLOOKUP(D860,TARIFAS!A:K,10,FALSE) + IF(I860="Sí",VLOOKUP(D860,TARIFAS!A:K,11,FALSE),0)
      )
   )
)
</f>
        <v>0</v>
      </c>
      <c r="U860" s="45">
        <f>IF(R860="",0,MAX(0,R860 - TARIFAS!G$2) * TARIFAS!F$2)
</f>
        <v>0</v>
      </c>
      <c r="V860" s="45">
        <f>+T860*TARIFAS!$K$2</f>
        <v>0</v>
      </c>
      <c r="W860" s="45">
        <f t="shared" si="2"/>
        <v>0</v>
      </c>
      <c r="X860" s="45">
        <f t="shared" si="3"/>
        <v>0</v>
      </c>
      <c r="Y860" s="45">
        <f t="shared" si="4"/>
        <v>0</v>
      </c>
      <c r="Z860" s="42" t="str">
        <f>CONFERENCIAS!AB860</f>
        <v/>
      </c>
      <c r="AA860" s="42" t="str">
        <f>CONFERENCIAS!AC860</f>
        <v/>
      </c>
      <c r="AB860" s="47" t="str">
        <f t="shared" si="5"/>
        <v/>
      </c>
      <c r="AC860" s="9" t="str">
        <f t="shared" si="6"/>
        <v/>
      </c>
    </row>
    <row r="861">
      <c r="A861" s="42" t="str">
        <f>CONFERENCIAS!A861</f>
        <v/>
      </c>
      <c r="D861" s="42" t="str">
        <f>CONFERENCIAS!C861</f>
        <v/>
      </c>
      <c r="E861" s="42" t="str">
        <f>CONFERENCIAS!K861</f>
        <v/>
      </c>
      <c r="F861" s="49" t="str">
        <f>CONFERENCIAS!J861</f>
        <v/>
      </c>
      <c r="G861" s="42" t="str">
        <f>CONFERENCIAS!O861</f>
        <v/>
      </c>
      <c r="H861" s="42" t="str">
        <f>CONFERENCIAS!X861</f>
        <v/>
      </c>
      <c r="I861" s="42" t="str">
        <f>CONFERENCIAS!AA861</f>
        <v/>
      </c>
      <c r="J861" s="44" t="str">
        <f>CONFERENCIAS!P861</f>
        <v/>
      </c>
      <c r="K861" s="45" t="str">
        <f>CONFERENCIAS!R861</f>
        <v/>
      </c>
      <c r="L861" s="45">
        <f>IF(D861="",0,
 IF(E861=1,
   IF(H861="Presencial",
      VLOOKUP(D861,TARIFAS!A:K,3,FALSE) + IF(I861="Sí",VLOOKUP(D861,TARIFAS!A:K,5,FALSE),0),
      VLOOKUP(D861,TARIFAS!A:K,4,FALSE) + IF(I861="Sí",VLOOKUP(D861,TARIFAS!A:K,5,FALSE),0)
   ),
   IF(H861="Presencial",
      VLOOKUP(D861,TARIFAS!A:K,9,FALSE) + IF(I861="Sí",VLOOKUP(D861,TARIFAS!A:K,11,FALSE),0),
      VLOOKUP(D861,TARIFAS!A:K,10,FALSE) + IF(I861="Sí",VLOOKUP(D861,TARIFAS!A:K,11,FALSE),0)
   )
 )
)
</f>
        <v>0</v>
      </c>
      <c r="M861" s="45">
        <f>IF(J861="",0,MAX(0,J861 - TARIFAS!G$2) * TARIFAS!F$2)
</f>
        <v>0</v>
      </c>
      <c r="N861" s="45">
        <f>+L861*TARIFAS!$K$2</f>
        <v>0</v>
      </c>
      <c r="O861" s="45">
        <f t="shared" si="1"/>
        <v>0</v>
      </c>
      <c r="P861" s="45">
        <f>+M861+O861+K861+(+I861-(I861*TARIFAS!$K$2))</f>
        <v>0</v>
      </c>
      <c r="Q861" s="42" t="str">
        <f>CONFERENCIAS!T861</f>
        <v/>
      </c>
      <c r="R861" s="45" t="str">
        <f>CONFERENCIAS!U861</f>
        <v/>
      </c>
      <c r="S861" s="45" t="str">
        <f>CONFERENCIAS!W861</f>
        <v/>
      </c>
      <c r="T861" s="48">
        <f>IF(Q861="",0,
   IF(E861=1,
      IF(H861="Presencial",
         VLOOKUP(D861,TARIFAS!A:K,3,FALSE) + IF(I861="Sí",VLOOKUP(D861,TARIFAS!A:K,5,FALSE),0),
         VLOOKUP(D861,TARIFAS!A:K,4,FALSE) + IF(I861="Sí",VLOOKUP(D861,TARIFAS!A:K,5,FALSE),0)
      ),
      IF(H861="Presencial",
         VLOOKUP(D861,TARIFAS!A:K,9,FALSE) + IF(I861="Sí",VLOOKUP(D861,TARIFAS!A:K,11,FALSE),0),
         VLOOKUP(D861,TARIFAS!A:K,10,FALSE) + IF(I861="Sí",VLOOKUP(D861,TARIFAS!A:K,11,FALSE),0)
      )
   )
)
</f>
        <v>0</v>
      </c>
      <c r="U861" s="45">
        <f>IF(R861="",0,MAX(0,R861 - TARIFAS!G$2) * TARIFAS!F$2)
</f>
        <v>0</v>
      </c>
      <c r="V861" s="45">
        <f>+T861*TARIFAS!$K$2</f>
        <v>0</v>
      </c>
      <c r="W861" s="45">
        <f t="shared" si="2"/>
        <v>0</v>
      </c>
      <c r="X861" s="45">
        <f t="shared" si="3"/>
        <v>0</v>
      </c>
      <c r="Y861" s="45">
        <f t="shared" si="4"/>
        <v>0</v>
      </c>
      <c r="Z861" s="42" t="str">
        <f>CONFERENCIAS!AB861</f>
        <v/>
      </c>
      <c r="AA861" s="42" t="str">
        <f>CONFERENCIAS!AC861</f>
        <v/>
      </c>
      <c r="AB861" s="47" t="str">
        <f t="shared" si="5"/>
        <v/>
      </c>
      <c r="AC861" s="9" t="str">
        <f t="shared" si="6"/>
        <v/>
      </c>
    </row>
    <row r="862">
      <c r="A862" s="42" t="str">
        <f>CONFERENCIAS!A862</f>
        <v/>
      </c>
      <c r="D862" s="42" t="str">
        <f>CONFERENCIAS!C862</f>
        <v/>
      </c>
      <c r="E862" s="42" t="str">
        <f>CONFERENCIAS!K862</f>
        <v/>
      </c>
      <c r="F862" s="49" t="str">
        <f>CONFERENCIAS!J862</f>
        <v/>
      </c>
      <c r="G862" s="42" t="str">
        <f>CONFERENCIAS!O862</f>
        <v/>
      </c>
      <c r="H862" s="42" t="str">
        <f>CONFERENCIAS!X862</f>
        <v/>
      </c>
      <c r="I862" s="42" t="str">
        <f>CONFERENCIAS!AA862</f>
        <v/>
      </c>
      <c r="J862" s="44" t="str">
        <f>CONFERENCIAS!P862</f>
        <v/>
      </c>
      <c r="K862" s="45" t="str">
        <f>CONFERENCIAS!R862</f>
        <v/>
      </c>
      <c r="L862" s="45">
        <f>IF(D862="",0,
 IF(E862=1,
   IF(H862="Presencial",
      VLOOKUP(D862,TARIFAS!A:K,3,FALSE) + IF(I862="Sí",VLOOKUP(D862,TARIFAS!A:K,5,FALSE),0),
      VLOOKUP(D862,TARIFAS!A:K,4,FALSE) + IF(I862="Sí",VLOOKUP(D862,TARIFAS!A:K,5,FALSE),0)
   ),
   IF(H862="Presencial",
      VLOOKUP(D862,TARIFAS!A:K,9,FALSE) + IF(I862="Sí",VLOOKUP(D862,TARIFAS!A:K,11,FALSE),0),
      VLOOKUP(D862,TARIFAS!A:K,10,FALSE) + IF(I862="Sí",VLOOKUP(D862,TARIFAS!A:K,11,FALSE),0)
   )
 )
)
</f>
        <v>0</v>
      </c>
      <c r="M862" s="45">
        <f>IF(J862="",0,MAX(0,J862 - TARIFAS!G$2) * TARIFAS!F$2)
</f>
        <v>0</v>
      </c>
      <c r="N862" s="45">
        <f>+L862*TARIFAS!$K$2</f>
        <v>0</v>
      </c>
      <c r="O862" s="45">
        <f t="shared" si="1"/>
        <v>0</v>
      </c>
      <c r="P862" s="45">
        <f>+M862+O862+K862+(+I862-(I862*TARIFAS!$K$2))</f>
        <v>0</v>
      </c>
      <c r="Q862" s="42" t="str">
        <f>CONFERENCIAS!T862</f>
        <v/>
      </c>
      <c r="R862" s="45" t="str">
        <f>CONFERENCIAS!U862</f>
        <v/>
      </c>
      <c r="S862" s="45" t="str">
        <f>CONFERENCIAS!W862</f>
        <v/>
      </c>
      <c r="T862" s="48">
        <f>IF(Q862="",0,
   IF(E862=1,
      IF(H862="Presencial",
         VLOOKUP(D862,TARIFAS!A:K,3,FALSE) + IF(I862="Sí",VLOOKUP(D862,TARIFAS!A:K,5,FALSE),0),
         VLOOKUP(D862,TARIFAS!A:K,4,FALSE) + IF(I862="Sí",VLOOKUP(D862,TARIFAS!A:K,5,FALSE),0)
      ),
      IF(H862="Presencial",
         VLOOKUP(D862,TARIFAS!A:K,9,FALSE) + IF(I862="Sí",VLOOKUP(D862,TARIFAS!A:K,11,FALSE),0),
         VLOOKUP(D862,TARIFAS!A:K,10,FALSE) + IF(I862="Sí",VLOOKUP(D862,TARIFAS!A:K,11,FALSE),0)
      )
   )
)
</f>
        <v>0</v>
      </c>
      <c r="U862" s="45">
        <f>IF(R862="",0,MAX(0,R862 - TARIFAS!G$2) * TARIFAS!F$2)
</f>
        <v>0</v>
      </c>
      <c r="V862" s="45">
        <f>+T862*TARIFAS!$K$2</f>
        <v>0</v>
      </c>
      <c r="W862" s="45">
        <f t="shared" si="2"/>
        <v>0</v>
      </c>
      <c r="X862" s="45">
        <f t="shared" si="3"/>
        <v>0</v>
      </c>
      <c r="Y862" s="45">
        <f t="shared" si="4"/>
        <v>0</v>
      </c>
      <c r="Z862" s="42" t="str">
        <f>CONFERENCIAS!AB862</f>
        <v/>
      </c>
      <c r="AA862" s="42" t="str">
        <f>CONFERENCIAS!AC862</f>
        <v/>
      </c>
      <c r="AB862" s="47" t="str">
        <f t="shared" si="5"/>
        <v/>
      </c>
      <c r="AC862" s="9" t="str">
        <f t="shared" si="6"/>
        <v/>
      </c>
    </row>
    <row r="863">
      <c r="A863" s="42" t="str">
        <f>CONFERENCIAS!A863</f>
        <v/>
      </c>
      <c r="D863" s="42" t="str">
        <f>CONFERENCIAS!C863</f>
        <v/>
      </c>
      <c r="E863" s="42" t="str">
        <f>CONFERENCIAS!K863</f>
        <v/>
      </c>
      <c r="F863" s="49" t="str">
        <f>CONFERENCIAS!J863</f>
        <v/>
      </c>
      <c r="G863" s="42" t="str">
        <f>CONFERENCIAS!O863</f>
        <v/>
      </c>
      <c r="H863" s="42" t="str">
        <f>CONFERENCIAS!X863</f>
        <v/>
      </c>
      <c r="I863" s="42" t="str">
        <f>CONFERENCIAS!AA863</f>
        <v/>
      </c>
      <c r="J863" s="44" t="str">
        <f>CONFERENCIAS!P863</f>
        <v/>
      </c>
      <c r="K863" s="45" t="str">
        <f>CONFERENCIAS!R863</f>
        <v/>
      </c>
      <c r="L863" s="45">
        <f>IF(D863="",0,
 IF(E863=1,
   IF(H863="Presencial",
      VLOOKUP(D863,TARIFAS!A:K,3,FALSE) + IF(I863="Sí",VLOOKUP(D863,TARIFAS!A:K,5,FALSE),0),
      VLOOKUP(D863,TARIFAS!A:K,4,FALSE) + IF(I863="Sí",VLOOKUP(D863,TARIFAS!A:K,5,FALSE),0)
   ),
   IF(H863="Presencial",
      VLOOKUP(D863,TARIFAS!A:K,9,FALSE) + IF(I863="Sí",VLOOKUP(D863,TARIFAS!A:K,11,FALSE),0),
      VLOOKUP(D863,TARIFAS!A:K,10,FALSE) + IF(I863="Sí",VLOOKUP(D863,TARIFAS!A:K,11,FALSE),0)
   )
 )
)
</f>
        <v>0</v>
      </c>
      <c r="M863" s="45">
        <f>IF(J863="",0,MAX(0,J863 - TARIFAS!G$2) * TARIFAS!F$2)
</f>
        <v>0</v>
      </c>
      <c r="N863" s="45">
        <f>+L863*TARIFAS!$K$2</f>
        <v>0</v>
      </c>
      <c r="O863" s="45">
        <f t="shared" si="1"/>
        <v>0</v>
      </c>
      <c r="P863" s="45">
        <f>+M863+O863+K863+(+I863-(I863*TARIFAS!$K$2))</f>
        <v>0</v>
      </c>
      <c r="Q863" s="42" t="str">
        <f>CONFERENCIAS!T863</f>
        <v/>
      </c>
      <c r="R863" s="45" t="str">
        <f>CONFERENCIAS!U863</f>
        <v/>
      </c>
      <c r="S863" s="45" t="str">
        <f>CONFERENCIAS!W863</f>
        <v/>
      </c>
      <c r="T863" s="48">
        <f>IF(Q863="",0,
   IF(E863=1,
      IF(H863="Presencial",
         VLOOKUP(D863,TARIFAS!A:K,3,FALSE) + IF(I863="Sí",VLOOKUP(D863,TARIFAS!A:K,5,FALSE),0),
         VLOOKUP(D863,TARIFAS!A:K,4,FALSE) + IF(I863="Sí",VLOOKUP(D863,TARIFAS!A:K,5,FALSE),0)
      ),
      IF(H863="Presencial",
         VLOOKUP(D863,TARIFAS!A:K,9,FALSE) + IF(I863="Sí",VLOOKUP(D863,TARIFAS!A:K,11,FALSE),0),
         VLOOKUP(D863,TARIFAS!A:K,10,FALSE) + IF(I863="Sí",VLOOKUP(D863,TARIFAS!A:K,11,FALSE),0)
      )
   )
)
</f>
        <v>0</v>
      </c>
      <c r="U863" s="45">
        <f>IF(R863="",0,MAX(0,R863 - TARIFAS!G$2) * TARIFAS!F$2)
</f>
        <v>0</v>
      </c>
      <c r="V863" s="45">
        <f>+T863*TARIFAS!$K$2</f>
        <v>0</v>
      </c>
      <c r="W863" s="45">
        <f t="shared" si="2"/>
        <v>0</v>
      </c>
      <c r="X863" s="45">
        <f t="shared" si="3"/>
        <v>0</v>
      </c>
      <c r="Y863" s="45">
        <f t="shared" si="4"/>
        <v>0</v>
      </c>
      <c r="Z863" s="42" t="str">
        <f>CONFERENCIAS!AB863</f>
        <v/>
      </c>
      <c r="AA863" s="42" t="str">
        <f>CONFERENCIAS!AC863</f>
        <v/>
      </c>
      <c r="AB863" s="47" t="str">
        <f t="shared" si="5"/>
        <v/>
      </c>
      <c r="AC863" s="9" t="str">
        <f t="shared" si="6"/>
        <v/>
      </c>
    </row>
    <row r="864">
      <c r="A864" s="42" t="str">
        <f>CONFERENCIAS!A864</f>
        <v/>
      </c>
      <c r="D864" s="42" t="str">
        <f>CONFERENCIAS!C864</f>
        <v/>
      </c>
      <c r="E864" s="42" t="str">
        <f>CONFERENCIAS!K864</f>
        <v/>
      </c>
      <c r="F864" s="49" t="str">
        <f>CONFERENCIAS!J864</f>
        <v/>
      </c>
      <c r="G864" s="42" t="str">
        <f>CONFERENCIAS!O864</f>
        <v/>
      </c>
      <c r="H864" s="42" t="str">
        <f>CONFERENCIAS!X864</f>
        <v/>
      </c>
      <c r="I864" s="42" t="str">
        <f>CONFERENCIAS!AA864</f>
        <v/>
      </c>
      <c r="J864" s="44" t="str">
        <f>CONFERENCIAS!P864</f>
        <v/>
      </c>
      <c r="K864" s="45" t="str">
        <f>CONFERENCIAS!R864</f>
        <v/>
      </c>
      <c r="L864" s="45">
        <f>IF(D864="",0,
 IF(E864=1,
   IF(H864="Presencial",
      VLOOKUP(D864,TARIFAS!A:K,3,FALSE) + IF(I864="Sí",VLOOKUP(D864,TARIFAS!A:K,5,FALSE),0),
      VLOOKUP(D864,TARIFAS!A:K,4,FALSE) + IF(I864="Sí",VLOOKUP(D864,TARIFAS!A:K,5,FALSE),0)
   ),
   IF(H864="Presencial",
      VLOOKUP(D864,TARIFAS!A:K,9,FALSE) + IF(I864="Sí",VLOOKUP(D864,TARIFAS!A:K,11,FALSE),0),
      VLOOKUP(D864,TARIFAS!A:K,10,FALSE) + IF(I864="Sí",VLOOKUP(D864,TARIFAS!A:K,11,FALSE),0)
   )
 )
)
</f>
        <v>0</v>
      </c>
      <c r="M864" s="45">
        <f>IF(J864="",0,MAX(0,J864 - TARIFAS!G$2) * TARIFAS!F$2)
</f>
        <v>0</v>
      </c>
      <c r="N864" s="45">
        <f>+L864*TARIFAS!$K$2</f>
        <v>0</v>
      </c>
      <c r="O864" s="45">
        <f t="shared" si="1"/>
        <v>0</v>
      </c>
      <c r="P864" s="45">
        <f>+M864+O864+K864+(+I864-(I864*TARIFAS!$K$2))</f>
        <v>0</v>
      </c>
      <c r="Q864" s="42" t="str">
        <f>CONFERENCIAS!T864</f>
        <v/>
      </c>
      <c r="R864" s="45" t="str">
        <f>CONFERENCIAS!U864</f>
        <v/>
      </c>
      <c r="S864" s="45" t="str">
        <f>CONFERENCIAS!W864</f>
        <v/>
      </c>
      <c r="T864" s="48">
        <f>IF(Q864="",0,
   IF(E864=1,
      IF(H864="Presencial",
         VLOOKUP(D864,TARIFAS!A:K,3,FALSE) + IF(I864="Sí",VLOOKUP(D864,TARIFAS!A:K,5,FALSE),0),
         VLOOKUP(D864,TARIFAS!A:K,4,FALSE) + IF(I864="Sí",VLOOKUP(D864,TARIFAS!A:K,5,FALSE),0)
      ),
      IF(H864="Presencial",
         VLOOKUP(D864,TARIFAS!A:K,9,FALSE) + IF(I864="Sí",VLOOKUP(D864,TARIFAS!A:K,11,FALSE),0),
         VLOOKUP(D864,TARIFAS!A:K,10,FALSE) + IF(I864="Sí",VLOOKUP(D864,TARIFAS!A:K,11,FALSE),0)
      )
   )
)
</f>
        <v>0</v>
      </c>
      <c r="U864" s="45">
        <f>IF(R864="",0,MAX(0,R864 - TARIFAS!G$2) * TARIFAS!F$2)
</f>
        <v>0</v>
      </c>
      <c r="V864" s="45">
        <f>+T864*TARIFAS!$K$2</f>
        <v>0</v>
      </c>
      <c r="W864" s="45">
        <f t="shared" si="2"/>
        <v>0</v>
      </c>
      <c r="X864" s="45">
        <f t="shared" si="3"/>
        <v>0</v>
      </c>
      <c r="Y864" s="45">
        <f t="shared" si="4"/>
        <v>0</v>
      </c>
      <c r="Z864" s="42" t="str">
        <f>CONFERENCIAS!AB864</f>
        <v/>
      </c>
      <c r="AA864" s="42" t="str">
        <f>CONFERENCIAS!AC864</f>
        <v/>
      </c>
      <c r="AB864" s="47" t="str">
        <f t="shared" si="5"/>
        <v/>
      </c>
      <c r="AC864" s="9" t="str">
        <f t="shared" si="6"/>
        <v/>
      </c>
    </row>
    <row r="865">
      <c r="A865" s="42" t="str">
        <f>CONFERENCIAS!A865</f>
        <v/>
      </c>
      <c r="D865" s="42" t="str">
        <f>CONFERENCIAS!C865</f>
        <v/>
      </c>
      <c r="E865" s="42" t="str">
        <f>CONFERENCIAS!K865</f>
        <v/>
      </c>
      <c r="F865" s="49" t="str">
        <f>CONFERENCIAS!J865</f>
        <v/>
      </c>
      <c r="G865" s="42" t="str">
        <f>CONFERENCIAS!O865</f>
        <v/>
      </c>
      <c r="H865" s="42" t="str">
        <f>CONFERENCIAS!X865</f>
        <v/>
      </c>
      <c r="I865" s="42" t="str">
        <f>CONFERENCIAS!AA865</f>
        <v/>
      </c>
      <c r="J865" s="44" t="str">
        <f>CONFERENCIAS!P865</f>
        <v/>
      </c>
      <c r="K865" s="45" t="str">
        <f>CONFERENCIAS!R865</f>
        <v/>
      </c>
      <c r="L865" s="45">
        <f>IF(D865="",0,
 IF(E865=1,
   IF(H865="Presencial",
      VLOOKUP(D865,TARIFAS!A:K,3,FALSE) + IF(I865="Sí",VLOOKUP(D865,TARIFAS!A:K,5,FALSE),0),
      VLOOKUP(D865,TARIFAS!A:K,4,FALSE) + IF(I865="Sí",VLOOKUP(D865,TARIFAS!A:K,5,FALSE),0)
   ),
   IF(H865="Presencial",
      VLOOKUP(D865,TARIFAS!A:K,9,FALSE) + IF(I865="Sí",VLOOKUP(D865,TARIFAS!A:K,11,FALSE),0),
      VLOOKUP(D865,TARIFAS!A:K,10,FALSE) + IF(I865="Sí",VLOOKUP(D865,TARIFAS!A:K,11,FALSE),0)
   )
 )
)
</f>
        <v>0</v>
      </c>
      <c r="M865" s="45">
        <f>IF(J865="",0,MAX(0,J865 - TARIFAS!G$2) * TARIFAS!F$2)
</f>
        <v>0</v>
      </c>
      <c r="N865" s="45">
        <f>+L865*TARIFAS!$K$2</f>
        <v>0</v>
      </c>
      <c r="O865" s="45">
        <f t="shared" si="1"/>
        <v>0</v>
      </c>
      <c r="P865" s="45">
        <f>+M865+O865+K865+(+I865-(I865*TARIFAS!$K$2))</f>
        <v>0</v>
      </c>
      <c r="Q865" s="42" t="str">
        <f>CONFERENCIAS!T865</f>
        <v/>
      </c>
      <c r="R865" s="45" t="str">
        <f>CONFERENCIAS!U865</f>
        <v/>
      </c>
      <c r="S865" s="45" t="str">
        <f>CONFERENCIAS!W865</f>
        <v/>
      </c>
      <c r="T865" s="48">
        <f>IF(Q865="",0,
   IF(E865=1,
      IF(H865="Presencial",
         VLOOKUP(D865,TARIFAS!A:K,3,FALSE) + IF(I865="Sí",VLOOKUP(D865,TARIFAS!A:K,5,FALSE),0),
         VLOOKUP(D865,TARIFAS!A:K,4,FALSE) + IF(I865="Sí",VLOOKUP(D865,TARIFAS!A:K,5,FALSE),0)
      ),
      IF(H865="Presencial",
         VLOOKUP(D865,TARIFAS!A:K,9,FALSE) + IF(I865="Sí",VLOOKUP(D865,TARIFAS!A:K,11,FALSE),0),
         VLOOKUP(D865,TARIFAS!A:K,10,FALSE) + IF(I865="Sí",VLOOKUP(D865,TARIFAS!A:K,11,FALSE),0)
      )
   )
)
</f>
        <v>0</v>
      </c>
      <c r="U865" s="45">
        <f>IF(R865="",0,MAX(0,R865 - TARIFAS!G$2) * TARIFAS!F$2)
</f>
        <v>0</v>
      </c>
      <c r="V865" s="45">
        <f>+T865*TARIFAS!$K$2</f>
        <v>0</v>
      </c>
      <c r="W865" s="45">
        <f t="shared" si="2"/>
        <v>0</v>
      </c>
      <c r="X865" s="45">
        <f t="shared" si="3"/>
        <v>0</v>
      </c>
      <c r="Y865" s="45">
        <f t="shared" si="4"/>
        <v>0</v>
      </c>
      <c r="Z865" s="42" t="str">
        <f>CONFERENCIAS!AB865</f>
        <v/>
      </c>
      <c r="AA865" s="42" t="str">
        <f>CONFERENCIAS!AC865</f>
        <v/>
      </c>
      <c r="AB865" s="47" t="str">
        <f t="shared" si="5"/>
        <v/>
      </c>
      <c r="AC865" s="9" t="str">
        <f t="shared" si="6"/>
        <v/>
      </c>
    </row>
    <row r="866">
      <c r="A866" s="42" t="str">
        <f>CONFERENCIAS!A866</f>
        <v/>
      </c>
      <c r="D866" s="42" t="str">
        <f>CONFERENCIAS!C866</f>
        <v/>
      </c>
      <c r="E866" s="42" t="str">
        <f>CONFERENCIAS!K866</f>
        <v/>
      </c>
      <c r="F866" s="49" t="str">
        <f>CONFERENCIAS!J866</f>
        <v/>
      </c>
      <c r="G866" s="42" t="str">
        <f>CONFERENCIAS!O866</f>
        <v/>
      </c>
      <c r="H866" s="42" t="str">
        <f>CONFERENCIAS!X866</f>
        <v/>
      </c>
      <c r="I866" s="42" t="str">
        <f>CONFERENCIAS!AA866</f>
        <v/>
      </c>
      <c r="J866" s="44" t="str">
        <f>CONFERENCIAS!P866</f>
        <v/>
      </c>
      <c r="K866" s="45" t="str">
        <f>CONFERENCIAS!R866</f>
        <v/>
      </c>
      <c r="L866" s="45">
        <f>IF(D866="",0,
 IF(E866=1,
   IF(H866="Presencial",
      VLOOKUP(D866,TARIFAS!A:K,3,FALSE) + IF(I866="Sí",VLOOKUP(D866,TARIFAS!A:K,5,FALSE),0),
      VLOOKUP(D866,TARIFAS!A:K,4,FALSE) + IF(I866="Sí",VLOOKUP(D866,TARIFAS!A:K,5,FALSE),0)
   ),
   IF(H866="Presencial",
      VLOOKUP(D866,TARIFAS!A:K,9,FALSE) + IF(I866="Sí",VLOOKUP(D866,TARIFAS!A:K,11,FALSE),0),
      VLOOKUP(D866,TARIFAS!A:K,10,FALSE) + IF(I866="Sí",VLOOKUP(D866,TARIFAS!A:K,11,FALSE),0)
   )
 )
)
</f>
        <v>0</v>
      </c>
      <c r="M866" s="45">
        <f>IF(J866="",0,MAX(0,J866 - TARIFAS!G$2) * TARIFAS!F$2)
</f>
        <v>0</v>
      </c>
      <c r="N866" s="45">
        <f>+L866*TARIFAS!$K$2</f>
        <v>0</v>
      </c>
      <c r="O866" s="45">
        <f t="shared" si="1"/>
        <v>0</v>
      </c>
      <c r="P866" s="45">
        <f>+M866+O866+K866+(+I866-(I866*TARIFAS!$K$2))</f>
        <v>0</v>
      </c>
      <c r="Q866" s="42" t="str">
        <f>CONFERENCIAS!T866</f>
        <v/>
      </c>
      <c r="R866" s="45" t="str">
        <f>CONFERENCIAS!U866</f>
        <v/>
      </c>
      <c r="S866" s="45" t="str">
        <f>CONFERENCIAS!W866</f>
        <v/>
      </c>
      <c r="T866" s="48">
        <f>IF(Q866="",0,
   IF(E866=1,
      IF(H866="Presencial",
         VLOOKUP(D866,TARIFAS!A:K,3,FALSE) + IF(I866="Sí",VLOOKUP(D866,TARIFAS!A:K,5,FALSE),0),
         VLOOKUP(D866,TARIFAS!A:K,4,FALSE) + IF(I866="Sí",VLOOKUP(D866,TARIFAS!A:K,5,FALSE),0)
      ),
      IF(H866="Presencial",
         VLOOKUP(D866,TARIFAS!A:K,9,FALSE) + IF(I866="Sí",VLOOKUP(D866,TARIFAS!A:K,11,FALSE),0),
         VLOOKUP(D866,TARIFAS!A:K,10,FALSE) + IF(I866="Sí",VLOOKUP(D866,TARIFAS!A:K,11,FALSE),0)
      )
   )
)
</f>
        <v>0</v>
      </c>
      <c r="U866" s="45">
        <f>IF(R866="",0,MAX(0,R866 - TARIFAS!G$2) * TARIFAS!F$2)
</f>
        <v>0</v>
      </c>
      <c r="V866" s="45">
        <f>+T866*TARIFAS!$K$2</f>
        <v>0</v>
      </c>
      <c r="W866" s="45">
        <f t="shared" si="2"/>
        <v>0</v>
      </c>
      <c r="X866" s="45">
        <f t="shared" si="3"/>
        <v>0</v>
      </c>
      <c r="Y866" s="45">
        <f t="shared" si="4"/>
        <v>0</v>
      </c>
      <c r="Z866" s="42" t="str">
        <f>CONFERENCIAS!AB866</f>
        <v/>
      </c>
      <c r="AA866" s="42" t="str">
        <f>CONFERENCIAS!AC866</f>
        <v/>
      </c>
      <c r="AB866" s="47" t="str">
        <f t="shared" si="5"/>
        <v/>
      </c>
      <c r="AC866" s="9" t="str">
        <f t="shared" si="6"/>
        <v/>
      </c>
    </row>
    <row r="867">
      <c r="A867" s="42" t="str">
        <f>CONFERENCIAS!A867</f>
        <v/>
      </c>
      <c r="D867" s="42" t="str">
        <f>CONFERENCIAS!C867</f>
        <v/>
      </c>
      <c r="E867" s="42" t="str">
        <f>CONFERENCIAS!K867</f>
        <v/>
      </c>
      <c r="F867" s="49" t="str">
        <f>CONFERENCIAS!J867</f>
        <v/>
      </c>
      <c r="G867" s="42" t="str">
        <f>CONFERENCIAS!O867</f>
        <v/>
      </c>
      <c r="H867" s="42" t="str">
        <f>CONFERENCIAS!X867</f>
        <v/>
      </c>
      <c r="I867" s="42" t="str">
        <f>CONFERENCIAS!AA867</f>
        <v/>
      </c>
      <c r="J867" s="44" t="str">
        <f>CONFERENCIAS!P867</f>
        <v/>
      </c>
      <c r="K867" s="45" t="str">
        <f>CONFERENCIAS!R867</f>
        <v/>
      </c>
      <c r="L867" s="45">
        <f>IF(D867="",0,
 IF(E867=1,
   IF(H867="Presencial",
      VLOOKUP(D867,TARIFAS!A:K,3,FALSE) + IF(I867="Sí",VLOOKUP(D867,TARIFAS!A:K,5,FALSE),0),
      VLOOKUP(D867,TARIFAS!A:K,4,FALSE) + IF(I867="Sí",VLOOKUP(D867,TARIFAS!A:K,5,FALSE),0)
   ),
   IF(H867="Presencial",
      VLOOKUP(D867,TARIFAS!A:K,9,FALSE) + IF(I867="Sí",VLOOKUP(D867,TARIFAS!A:K,11,FALSE),0),
      VLOOKUP(D867,TARIFAS!A:K,10,FALSE) + IF(I867="Sí",VLOOKUP(D867,TARIFAS!A:K,11,FALSE),0)
   )
 )
)
</f>
        <v>0</v>
      </c>
      <c r="M867" s="45">
        <f>IF(J867="",0,MAX(0,J867 - TARIFAS!G$2) * TARIFAS!F$2)
</f>
        <v>0</v>
      </c>
      <c r="N867" s="45">
        <f>+L867*TARIFAS!$K$2</f>
        <v>0</v>
      </c>
      <c r="O867" s="45">
        <f t="shared" si="1"/>
        <v>0</v>
      </c>
      <c r="P867" s="45">
        <f>+M867+O867+K867+(+I867-(I867*TARIFAS!$K$2))</f>
        <v>0</v>
      </c>
      <c r="Q867" s="42" t="str">
        <f>CONFERENCIAS!T867</f>
        <v/>
      </c>
      <c r="R867" s="45" t="str">
        <f>CONFERENCIAS!U867</f>
        <v/>
      </c>
      <c r="S867" s="45" t="str">
        <f>CONFERENCIAS!W867</f>
        <v/>
      </c>
      <c r="T867" s="48">
        <f>IF(Q867="",0,
   IF(E867=1,
      IF(H867="Presencial",
         VLOOKUP(D867,TARIFAS!A:K,3,FALSE) + IF(I867="Sí",VLOOKUP(D867,TARIFAS!A:K,5,FALSE),0),
         VLOOKUP(D867,TARIFAS!A:K,4,FALSE) + IF(I867="Sí",VLOOKUP(D867,TARIFAS!A:K,5,FALSE),0)
      ),
      IF(H867="Presencial",
         VLOOKUP(D867,TARIFAS!A:K,9,FALSE) + IF(I867="Sí",VLOOKUP(D867,TARIFAS!A:K,11,FALSE),0),
         VLOOKUP(D867,TARIFAS!A:K,10,FALSE) + IF(I867="Sí",VLOOKUP(D867,TARIFAS!A:K,11,FALSE),0)
      )
   )
)
</f>
        <v>0</v>
      </c>
      <c r="U867" s="45">
        <f>IF(R867="",0,MAX(0,R867 - TARIFAS!G$2) * TARIFAS!F$2)
</f>
        <v>0</v>
      </c>
      <c r="V867" s="45">
        <f>+T867*TARIFAS!$K$2</f>
        <v>0</v>
      </c>
      <c r="W867" s="45">
        <f t="shared" si="2"/>
        <v>0</v>
      </c>
      <c r="X867" s="45">
        <f t="shared" si="3"/>
        <v>0</v>
      </c>
      <c r="Y867" s="45">
        <f t="shared" si="4"/>
        <v>0</v>
      </c>
      <c r="Z867" s="42" t="str">
        <f>CONFERENCIAS!AB867</f>
        <v/>
      </c>
      <c r="AA867" s="42" t="str">
        <f>CONFERENCIAS!AC867</f>
        <v/>
      </c>
      <c r="AB867" s="47" t="str">
        <f t="shared" si="5"/>
        <v/>
      </c>
      <c r="AC867" s="9" t="str">
        <f t="shared" si="6"/>
        <v/>
      </c>
    </row>
    <row r="868">
      <c r="A868" s="42" t="str">
        <f>CONFERENCIAS!A868</f>
        <v/>
      </c>
      <c r="D868" s="42" t="str">
        <f>CONFERENCIAS!C868</f>
        <v/>
      </c>
      <c r="E868" s="42" t="str">
        <f>CONFERENCIAS!K868</f>
        <v/>
      </c>
      <c r="F868" s="49" t="str">
        <f>CONFERENCIAS!J868</f>
        <v/>
      </c>
      <c r="G868" s="42" t="str">
        <f>CONFERENCIAS!O868</f>
        <v/>
      </c>
      <c r="H868" s="42" t="str">
        <f>CONFERENCIAS!X868</f>
        <v/>
      </c>
      <c r="I868" s="42" t="str">
        <f>CONFERENCIAS!AA868</f>
        <v/>
      </c>
      <c r="J868" s="44" t="str">
        <f>CONFERENCIAS!P868</f>
        <v/>
      </c>
      <c r="K868" s="45" t="str">
        <f>CONFERENCIAS!R868</f>
        <v/>
      </c>
      <c r="L868" s="45">
        <f>IF(D868="",0,
 IF(E868=1,
   IF(H868="Presencial",
      VLOOKUP(D868,TARIFAS!A:K,3,FALSE) + IF(I868="Sí",VLOOKUP(D868,TARIFAS!A:K,5,FALSE),0),
      VLOOKUP(D868,TARIFAS!A:K,4,FALSE) + IF(I868="Sí",VLOOKUP(D868,TARIFAS!A:K,5,FALSE),0)
   ),
   IF(H868="Presencial",
      VLOOKUP(D868,TARIFAS!A:K,9,FALSE) + IF(I868="Sí",VLOOKUP(D868,TARIFAS!A:K,11,FALSE),0),
      VLOOKUP(D868,TARIFAS!A:K,10,FALSE) + IF(I868="Sí",VLOOKUP(D868,TARIFAS!A:K,11,FALSE),0)
   )
 )
)
</f>
        <v>0</v>
      </c>
      <c r="M868" s="45">
        <f>IF(J868="",0,MAX(0,J868 - TARIFAS!G$2) * TARIFAS!F$2)
</f>
        <v>0</v>
      </c>
      <c r="N868" s="45">
        <f>+L868*TARIFAS!$K$2</f>
        <v>0</v>
      </c>
      <c r="O868" s="45">
        <f t="shared" si="1"/>
        <v>0</v>
      </c>
      <c r="P868" s="45">
        <f>+M868+O868+K868+(+I868-(I868*TARIFAS!$K$2))</f>
        <v>0</v>
      </c>
      <c r="Q868" s="42" t="str">
        <f>CONFERENCIAS!T868</f>
        <v/>
      </c>
      <c r="R868" s="45" t="str">
        <f>CONFERENCIAS!U868</f>
        <v/>
      </c>
      <c r="S868" s="45" t="str">
        <f>CONFERENCIAS!W868</f>
        <v/>
      </c>
      <c r="T868" s="48">
        <f>IF(Q868="",0,
   IF(E868=1,
      IF(H868="Presencial",
         VLOOKUP(D868,TARIFAS!A:K,3,FALSE) + IF(I868="Sí",VLOOKUP(D868,TARIFAS!A:K,5,FALSE),0),
         VLOOKUP(D868,TARIFAS!A:K,4,FALSE) + IF(I868="Sí",VLOOKUP(D868,TARIFAS!A:K,5,FALSE),0)
      ),
      IF(H868="Presencial",
         VLOOKUP(D868,TARIFAS!A:K,9,FALSE) + IF(I868="Sí",VLOOKUP(D868,TARIFAS!A:K,11,FALSE),0),
         VLOOKUP(D868,TARIFAS!A:K,10,FALSE) + IF(I868="Sí",VLOOKUP(D868,TARIFAS!A:K,11,FALSE),0)
      )
   )
)
</f>
        <v>0</v>
      </c>
      <c r="U868" s="45">
        <f>IF(R868="",0,MAX(0,R868 - TARIFAS!G$2) * TARIFAS!F$2)
</f>
        <v>0</v>
      </c>
      <c r="V868" s="45">
        <f>+T868*TARIFAS!$K$2</f>
        <v>0</v>
      </c>
      <c r="W868" s="45">
        <f t="shared" si="2"/>
        <v>0</v>
      </c>
      <c r="X868" s="45">
        <f t="shared" si="3"/>
        <v>0</v>
      </c>
      <c r="Y868" s="45">
        <f t="shared" si="4"/>
        <v>0</v>
      </c>
      <c r="Z868" s="42" t="str">
        <f>CONFERENCIAS!AB868</f>
        <v/>
      </c>
      <c r="AA868" s="42" t="str">
        <f>CONFERENCIAS!AC868</f>
        <v/>
      </c>
      <c r="AB868" s="47" t="str">
        <f t="shared" si="5"/>
        <v/>
      </c>
      <c r="AC868" s="9" t="str">
        <f t="shared" si="6"/>
        <v/>
      </c>
    </row>
    <row r="869">
      <c r="A869" s="42" t="str">
        <f>CONFERENCIAS!A869</f>
        <v/>
      </c>
      <c r="D869" s="42" t="str">
        <f>CONFERENCIAS!C869</f>
        <v/>
      </c>
      <c r="E869" s="42" t="str">
        <f>CONFERENCIAS!K869</f>
        <v/>
      </c>
      <c r="F869" s="49" t="str">
        <f>CONFERENCIAS!J869</f>
        <v/>
      </c>
      <c r="G869" s="42" t="str">
        <f>CONFERENCIAS!O869</f>
        <v/>
      </c>
      <c r="H869" s="42" t="str">
        <f>CONFERENCIAS!X869</f>
        <v/>
      </c>
      <c r="I869" s="42" t="str">
        <f>CONFERENCIAS!AA869</f>
        <v/>
      </c>
      <c r="J869" s="44" t="str">
        <f>CONFERENCIAS!P869</f>
        <v/>
      </c>
      <c r="K869" s="45" t="str">
        <f>CONFERENCIAS!R869</f>
        <v/>
      </c>
      <c r="L869" s="45">
        <f>IF(D869="",0,
 IF(E869=1,
   IF(H869="Presencial",
      VLOOKUP(D869,TARIFAS!A:K,3,FALSE) + IF(I869="Sí",VLOOKUP(D869,TARIFAS!A:K,5,FALSE),0),
      VLOOKUP(D869,TARIFAS!A:K,4,FALSE) + IF(I869="Sí",VLOOKUP(D869,TARIFAS!A:K,5,FALSE),0)
   ),
   IF(H869="Presencial",
      VLOOKUP(D869,TARIFAS!A:K,9,FALSE) + IF(I869="Sí",VLOOKUP(D869,TARIFAS!A:K,11,FALSE),0),
      VLOOKUP(D869,TARIFAS!A:K,10,FALSE) + IF(I869="Sí",VLOOKUP(D869,TARIFAS!A:K,11,FALSE),0)
   )
 )
)
</f>
        <v>0</v>
      </c>
      <c r="M869" s="45">
        <f>IF(J869="",0,MAX(0,J869 - TARIFAS!G$2) * TARIFAS!F$2)
</f>
        <v>0</v>
      </c>
      <c r="N869" s="45">
        <f>+L869*TARIFAS!$K$2</f>
        <v>0</v>
      </c>
      <c r="O869" s="45">
        <f t="shared" si="1"/>
        <v>0</v>
      </c>
      <c r="P869" s="45">
        <f>+M869+O869+K869+(+I869-(I869*TARIFAS!$K$2))</f>
        <v>0</v>
      </c>
      <c r="Q869" s="42" t="str">
        <f>CONFERENCIAS!T869</f>
        <v/>
      </c>
      <c r="R869" s="45" t="str">
        <f>CONFERENCIAS!U869</f>
        <v/>
      </c>
      <c r="S869" s="45" t="str">
        <f>CONFERENCIAS!W869</f>
        <v/>
      </c>
      <c r="T869" s="48">
        <f>IF(Q869="",0,
   IF(E869=1,
      IF(H869="Presencial",
         VLOOKUP(D869,TARIFAS!A:K,3,FALSE) + IF(I869="Sí",VLOOKUP(D869,TARIFAS!A:K,5,FALSE),0),
         VLOOKUP(D869,TARIFAS!A:K,4,FALSE) + IF(I869="Sí",VLOOKUP(D869,TARIFAS!A:K,5,FALSE),0)
      ),
      IF(H869="Presencial",
         VLOOKUP(D869,TARIFAS!A:K,9,FALSE) + IF(I869="Sí",VLOOKUP(D869,TARIFAS!A:K,11,FALSE),0),
         VLOOKUP(D869,TARIFAS!A:K,10,FALSE) + IF(I869="Sí",VLOOKUP(D869,TARIFAS!A:K,11,FALSE),0)
      )
   )
)
</f>
        <v>0</v>
      </c>
      <c r="U869" s="45">
        <f>IF(R869="",0,MAX(0,R869 - TARIFAS!G$2) * TARIFAS!F$2)
</f>
        <v>0</v>
      </c>
      <c r="V869" s="45">
        <f>+T869*TARIFAS!$K$2</f>
        <v>0</v>
      </c>
      <c r="W869" s="45">
        <f t="shared" si="2"/>
        <v>0</v>
      </c>
      <c r="X869" s="45">
        <f t="shared" si="3"/>
        <v>0</v>
      </c>
      <c r="Y869" s="45">
        <f t="shared" si="4"/>
        <v>0</v>
      </c>
      <c r="Z869" s="42" t="str">
        <f>CONFERENCIAS!AB869</f>
        <v/>
      </c>
      <c r="AA869" s="42" t="str">
        <f>CONFERENCIAS!AC869</f>
        <v/>
      </c>
      <c r="AB869" s="47" t="str">
        <f t="shared" si="5"/>
        <v/>
      </c>
      <c r="AC869" s="9" t="str">
        <f t="shared" si="6"/>
        <v/>
      </c>
    </row>
    <row r="870">
      <c r="A870" s="42" t="str">
        <f>CONFERENCIAS!A870</f>
        <v/>
      </c>
      <c r="D870" s="42" t="str">
        <f>CONFERENCIAS!C870</f>
        <v/>
      </c>
      <c r="E870" s="42" t="str">
        <f>CONFERENCIAS!K870</f>
        <v/>
      </c>
      <c r="F870" s="49" t="str">
        <f>CONFERENCIAS!J870</f>
        <v/>
      </c>
      <c r="G870" s="42" t="str">
        <f>CONFERENCIAS!O870</f>
        <v/>
      </c>
      <c r="H870" s="42" t="str">
        <f>CONFERENCIAS!X870</f>
        <v/>
      </c>
      <c r="I870" s="42" t="str">
        <f>CONFERENCIAS!AA870</f>
        <v/>
      </c>
      <c r="J870" s="44" t="str">
        <f>CONFERENCIAS!P870</f>
        <v/>
      </c>
      <c r="K870" s="45" t="str">
        <f>CONFERENCIAS!R870</f>
        <v/>
      </c>
      <c r="L870" s="45">
        <f>IF(D870="",0,
 IF(E870=1,
   IF(H870="Presencial",
      VLOOKUP(D870,TARIFAS!A:K,3,FALSE) + IF(I870="Sí",VLOOKUP(D870,TARIFAS!A:K,5,FALSE),0),
      VLOOKUP(D870,TARIFAS!A:K,4,FALSE) + IF(I870="Sí",VLOOKUP(D870,TARIFAS!A:K,5,FALSE),0)
   ),
   IF(H870="Presencial",
      VLOOKUP(D870,TARIFAS!A:K,9,FALSE) + IF(I870="Sí",VLOOKUP(D870,TARIFAS!A:K,11,FALSE),0),
      VLOOKUP(D870,TARIFAS!A:K,10,FALSE) + IF(I870="Sí",VLOOKUP(D870,TARIFAS!A:K,11,FALSE),0)
   )
 )
)
</f>
        <v>0</v>
      </c>
      <c r="M870" s="45">
        <f>IF(J870="",0,MAX(0,J870 - TARIFAS!G$2) * TARIFAS!F$2)
</f>
        <v>0</v>
      </c>
      <c r="N870" s="45">
        <f>+L870*TARIFAS!$K$2</f>
        <v>0</v>
      </c>
      <c r="O870" s="45">
        <f t="shared" si="1"/>
        <v>0</v>
      </c>
      <c r="P870" s="45">
        <f>+M870+O870+K870+(+I870-(I870*TARIFAS!$K$2))</f>
        <v>0</v>
      </c>
      <c r="Q870" s="42" t="str">
        <f>CONFERENCIAS!T870</f>
        <v/>
      </c>
      <c r="R870" s="45" t="str">
        <f>CONFERENCIAS!U870</f>
        <v/>
      </c>
      <c r="S870" s="45" t="str">
        <f>CONFERENCIAS!W870</f>
        <v/>
      </c>
      <c r="T870" s="48">
        <f>IF(Q870="",0,
   IF(E870=1,
      IF(H870="Presencial",
         VLOOKUP(D870,TARIFAS!A:K,3,FALSE) + IF(I870="Sí",VLOOKUP(D870,TARIFAS!A:K,5,FALSE),0),
         VLOOKUP(D870,TARIFAS!A:K,4,FALSE) + IF(I870="Sí",VLOOKUP(D870,TARIFAS!A:K,5,FALSE),0)
      ),
      IF(H870="Presencial",
         VLOOKUP(D870,TARIFAS!A:K,9,FALSE) + IF(I870="Sí",VLOOKUP(D870,TARIFAS!A:K,11,FALSE),0),
         VLOOKUP(D870,TARIFAS!A:K,10,FALSE) + IF(I870="Sí",VLOOKUP(D870,TARIFAS!A:K,11,FALSE),0)
      )
   )
)
</f>
        <v>0</v>
      </c>
      <c r="U870" s="45">
        <f>IF(R870="",0,MAX(0,R870 - TARIFAS!G$2) * TARIFAS!F$2)
</f>
        <v>0</v>
      </c>
      <c r="V870" s="45">
        <f>+T870*TARIFAS!$K$2</f>
        <v>0</v>
      </c>
      <c r="W870" s="45">
        <f t="shared" si="2"/>
        <v>0</v>
      </c>
      <c r="X870" s="45">
        <f t="shared" si="3"/>
        <v>0</v>
      </c>
      <c r="Y870" s="45">
        <f t="shared" si="4"/>
        <v>0</v>
      </c>
      <c r="Z870" s="42" t="str">
        <f>CONFERENCIAS!AB870</f>
        <v/>
      </c>
      <c r="AA870" s="42" t="str">
        <f>CONFERENCIAS!AC870</f>
        <v/>
      </c>
      <c r="AB870" s="47" t="str">
        <f t="shared" si="5"/>
        <v/>
      </c>
      <c r="AC870" s="9" t="str">
        <f t="shared" si="6"/>
        <v/>
      </c>
    </row>
    <row r="871">
      <c r="A871" s="42" t="str">
        <f>CONFERENCIAS!A871</f>
        <v/>
      </c>
      <c r="D871" s="42" t="str">
        <f>CONFERENCIAS!C871</f>
        <v/>
      </c>
      <c r="E871" s="42" t="str">
        <f>CONFERENCIAS!K871</f>
        <v/>
      </c>
      <c r="F871" s="49" t="str">
        <f>CONFERENCIAS!J871</f>
        <v/>
      </c>
      <c r="G871" s="42" t="str">
        <f>CONFERENCIAS!O871</f>
        <v/>
      </c>
      <c r="H871" s="42" t="str">
        <f>CONFERENCIAS!X871</f>
        <v/>
      </c>
      <c r="I871" s="42" t="str">
        <f>CONFERENCIAS!AA871</f>
        <v/>
      </c>
      <c r="J871" s="44" t="str">
        <f>CONFERENCIAS!P871</f>
        <v/>
      </c>
      <c r="K871" s="45" t="str">
        <f>CONFERENCIAS!R871</f>
        <v/>
      </c>
      <c r="L871" s="45">
        <f>IF(D871="",0,
 IF(E871=1,
   IF(H871="Presencial",
      VLOOKUP(D871,TARIFAS!A:K,3,FALSE) + IF(I871="Sí",VLOOKUP(D871,TARIFAS!A:K,5,FALSE),0),
      VLOOKUP(D871,TARIFAS!A:K,4,FALSE) + IF(I871="Sí",VLOOKUP(D871,TARIFAS!A:K,5,FALSE),0)
   ),
   IF(H871="Presencial",
      VLOOKUP(D871,TARIFAS!A:K,9,FALSE) + IF(I871="Sí",VLOOKUP(D871,TARIFAS!A:K,11,FALSE),0),
      VLOOKUP(D871,TARIFAS!A:K,10,FALSE) + IF(I871="Sí",VLOOKUP(D871,TARIFAS!A:K,11,FALSE),0)
   )
 )
)
</f>
        <v>0</v>
      </c>
      <c r="M871" s="45">
        <f>IF(J871="",0,MAX(0,J871 - TARIFAS!G$2) * TARIFAS!F$2)
</f>
        <v>0</v>
      </c>
      <c r="N871" s="45">
        <f>+L871*TARIFAS!$K$2</f>
        <v>0</v>
      </c>
      <c r="O871" s="45">
        <f t="shared" si="1"/>
        <v>0</v>
      </c>
      <c r="P871" s="45">
        <f>+M871+O871+K871+(+I871-(I871*TARIFAS!$K$2))</f>
        <v>0</v>
      </c>
      <c r="Q871" s="42" t="str">
        <f>CONFERENCIAS!T871</f>
        <v/>
      </c>
      <c r="R871" s="45" t="str">
        <f>CONFERENCIAS!U871</f>
        <v/>
      </c>
      <c r="S871" s="45" t="str">
        <f>CONFERENCIAS!W871</f>
        <v/>
      </c>
      <c r="T871" s="48">
        <f>IF(Q871="",0,
   IF(E871=1,
      IF(H871="Presencial",
         VLOOKUP(D871,TARIFAS!A:K,3,FALSE) + IF(I871="Sí",VLOOKUP(D871,TARIFAS!A:K,5,FALSE),0),
         VLOOKUP(D871,TARIFAS!A:K,4,FALSE) + IF(I871="Sí",VLOOKUP(D871,TARIFAS!A:K,5,FALSE),0)
      ),
      IF(H871="Presencial",
         VLOOKUP(D871,TARIFAS!A:K,9,FALSE) + IF(I871="Sí",VLOOKUP(D871,TARIFAS!A:K,11,FALSE),0),
         VLOOKUP(D871,TARIFAS!A:K,10,FALSE) + IF(I871="Sí",VLOOKUP(D871,TARIFAS!A:K,11,FALSE),0)
      )
   )
)
</f>
        <v>0</v>
      </c>
      <c r="U871" s="45">
        <f>IF(R871="",0,MAX(0,R871 - TARIFAS!G$2) * TARIFAS!F$2)
</f>
        <v>0</v>
      </c>
      <c r="V871" s="45">
        <f>+T871*TARIFAS!$K$2</f>
        <v>0</v>
      </c>
      <c r="W871" s="45">
        <f t="shared" si="2"/>
        <v>0</v>
      </c>
      <c r="X871" s="45">
        <f t="shared" si="3"/>
        <v>0</v>
      </c>
      <c r="Y871" s="45">
        <f t="shared" si="4"/>
        <v>0</v>
      </c>
      <c r="Z871" s="42" t="str">
        <f>CONFERENCIAS!AB871</f>
        <v/>
      </c>
      <c r="AA871" s="42" t="str">
        <f>CONFERENCIAS!AC871</f>
        <v/>
      </c>
      <c r="AB871" s="47" t="str">
        <f t="shared" si="5"/>
        <v/>
      </c>
      <c r="AC871" s="9" t="str">
        <f t="shared" si="6"/>
        <v/>
      </c>
    </row>
    <row r="872">
      <c r="A872" s="42" t="str">
        <f>CONFERENCIAS!A872</f>
        <v/>
      </c>
      <c r="D872" s="42" t="str">
        <f>CONFERENCIAS!C872</f>
        <v/>
      </c>
      <c r="E872" s="42" t="str">
        <f>CONFERENCIAS!K872</f>
        <v/>
      </c>
      <c r="F872" s="49" t="str">
        <f>CONFERENCIAS!J872</f>
        <v/>
      </c>
      <c r="G872" s="42" t="str">
        <f>CONFERENCIAS!O872</f>
        <v/>
      </c>
      <c r="H872" s="42" t="str">
        <f>CONFERENCIAS!X872</f>
        <v/>
      </c>
      <c r="I872" s="42" t="str">
        <f>CONFERENCIAS!AA872</f>
        <v/>
      </c>
      <c r="J872" s="44" t="str">
        <f>CONFERENCIAS!P872</f>
        <v/>
      </c>
      <c r="K872" s="45" t="str">
        <f>CONFERENCIAS!R872</f>
        <v/>
      </c>
      <c r="L872" s="45">
        <f>IF(D872="",0,
 IF(E872=1,
   IF(H872="Presencial",
      VLOOKUP(D872,TARIFAS!A:K,3,FALSE) + IF(I872="Sí",VLOOKUP(D872,TARIFAS!A:K,5,FALSE),0),
      VLOOKUP(D872,TARIFAS!A:K,4,FALSE) + IF(I872="Sí",VLOOKUP(D872,TARIFAS!A:K,5,FALSE),0)
   ),
   IF(H872="Presencial",
      VLOOKUP(D872,TARIFAS!A:K,9,FALSE) + IF(I872="Sí",VLOOKUP(D872,TARIFAS!A:K,11,FALSE),0),
      VLOOKUP(D872,TARIFAS!A:K,10,FALSE) + IF(I872="Sí",VLOOKUP(D872,TARIFAS!A:K,11,FALSE),0)
   )
 )
)
</f>
        <v>0</v>
      </c>
      <c r="M872" s="45">
        <f>IF(J872="",0,MAX(0,J872 - TARIFAS!G$2) * TARIFAS!F$2)
</f>
        <v>0</v>
      </c>
      <c r="N872" s="45">
        <f>+L872*TARIFAS!$K$2</f>
        <v>0</v>
      </c>
      <c r="O872" s="45">
        <f t="shared" si="1"/>
        <v>0</v>
      </c>
      <c r="P872" s="45">
        <f>+M872+O872+K872+(+I872-(I872*TARIFAS!$K$2))</f>
        <v>0</v>
      </c>
      <c r="Q872" s="42" t="str">
        <f>CONFERENCIAS!T872</f>
        <v/>
      </c>
      <c r="R872" s="45" t="str">
        <f>CONFERENCIAS!U872</f>
        <v/>
      </c>
      <c r="S872" s="45" t="str">
        <f>CONFERENCIAS!W872</f>
        <v/>
      </c>
      <c r="T872" s="48">
        <f>IF(Q872="",0,
   IF(E872=1,
      IF(H872="Presencial",
         VLOOKUP(D872,TARIFAS!A:K,3,FALSE) + IF(I872="Sí",VLOOKUP(D872,TARIFAS!A:K,5,FALSE),0),
         VLOOKUP(D872,TARIFAS!A:K,4,FALSE) + IF(I872="Sí",VLOOKUP(D872,TARIFAS!A:K,5,FALSE),0)
      ),
      IF(H872="Presencial",
         VLOOKUP(D872,TARIFAS!A:K,9,FALSE) + IF(I872="Sí",VLOOKUP(D872,TARIFAS!A:K,11,FALSE),0),
         VLOOKUP(D872,TARIFAS!A:K,10,FALSE) + IF(I872="Sí",VLOOKUP(D872,TARIFAS!A:K,11,FALSE),0)
      )
   )
)
</f>
        <v>0</v>
      </c>
      <c r="U872" s="45">
        <f>IF(R872="",0,MAX(0,R872 - TARIFAS!G$2) * TARIFAS!F$2)
</f>
        <v>0</v>
      </c>
      <c r="V872" s="45">
        <f>+T872*TARIFAS!$K$2</f>
        <v>0</v>
      </c>
      <c r="W872" s="45">
        <f t="shared" si="2"/>
        <v>0</v>
      </c>
      <c r="X872" s="45">
        <f t="shared" si="3"/>
        <v>0</v>
      </c>
      <c r="Y872" s="45">
        <f t="shared" si="4"/>
        <v>0</v>
      </c>
      <c r="Z872" s="42" t="str">
        <f>CONFERENCIAS!AB872</f>
        <v/>
      </c>
      <c r="AA872" s="42" t="str">
        <f>CONFERENCIAS!AC872</f>
        <v/>
      </c>
      <c r="AB872" s="47" t="str">
        <f t="shared" si="5"/>
        <v/>
      </c>
      <c r="AC872" s="9" t="str">
        <f t="shared" si="6"/>
        <v/>
      </c>
    </row>
    <row r="873">
      <c r="A873" s="42" t="str">
        <f>CONFERENCIAS!A873</f>
        <v/>
      </c>
      <c r="D873" s="42" t="str">
        <f>CONFERENCIAS!C873</f>
        <v/>
      </c>
      <c r="E873" s="42" t="str">
        <f>CONFERENCIAS!K873</f>
        <v/>
      </c>
      <c r="F873" s="49" t="str">
        <f>CONFERENCIAS!J873</f>
        <v/>
      </c>
      <c r="G873" s="42" t="str">
        <f>CONFERENCIAS!O873</f>
        <v/>
      </c>
      <c r="H873" s="42" t="str">
        <f>CONFERENCIAS!X873</f>
        <v/>
      </c>
      <c r="I873" s="42" t="str">
        <f>CONFERENCIAS!AA873</f>
        <v/>
      </c>
      <c r="J873" s="44" t="str">
        <f>CONFERENCIAS!P873</f>
        <v/>
      </c>
      <c r="K873" s="45" t="str">
        <f>CONFERENCIAS!R873</f>
        <v/>
      </c>
      <c r="L873" s="45">
        <f>IF(D873="",0,
 IF(E873=1,
   IF(H873="Presencial",
      VLOOKUP(D873,TARIFAS!A:K,3,FALSE) + IF(I873="Sí",VLOOKUP(D873,TARIFAS!A:K,5,FALSE),0),
      VLOOKUP(D873,TARIFAS!A:K,4,FALSE) + IF(I873="Sí",VLOOKUP(D873,TARIFAS!A:K,5,FALSE),0)
   ),
   IF(H873="Presencial",
      VLOOKUP(D873,TARIFAS!A:K,9,FALSE) + IF(I873="Sí",VLOOKUP(D873,TARIFAS!A:K,11,FALSE),0),
      VLOOKUP(D873,TARIFAS!A:K,10,FALSE) + IF(I873="Sí",VLOOKUP(D873,TARIFAS!A:K,11,FALSE),0)
   )
 )
)
</f>
        <v>0</v>
      </c>
      <c r="M873" s="45">
        <f>IF(J873="",0,MAX(0,J873 - TARIFAS!G$2) * TARIFAS!F$2)
</f>
        <v>0</v>
      </c>
      <c r="N873" s="45">
        <f>+L873*TARIFAS!$K$2</f>
        <v>0</v>
      </c>
      <c r="O873" s="45">
        <f t="shared" si="1"/>
        <v>0</v>
      </c>
      <c r="P873" s="45">
        <f>+M873+O873+K873+(+I873-(I873*TARIFAS!$K$2))</f>
        <v>0</v>
      </c>
      <c r="Q873" s="42" t="str">
        <f>CONFERENCIAS!T873</f>
        <v/>
      </c>
      <c r="R873" s="45" t="str">
        <f>CONFERENCIAS!U873</f>
        <v/>
      </c>
      <c r="S873" s="45" t="str">
        <f>CONFERENCIAS!W873</f>
        <v/>
      </c>
      <c r="T873" s="48">
        <f>IF(Q873="",0,
   IF(E873=1,
      IF(H873="Presencial",
         VLOOKUP(D873,TARIFAS!A:K,3,FALSE) + IF(I873="Sí",VLOOKUP(D873,TARIFAS!A:K,5,FALSE),0),
         VLOOKUP(D873,TARIFAS!A:K,4,FALSE) + IF(I873="Sí",VLOOKUP(D873,TARIFAS!A:K,5,FALSE),0)
      ),
      IF(H873="Presencial",
         VLOOKUP(D873,TARIFAS!A:K,9,FALSE) + IF(I873="Sí",VLOOKUP(D873,TARIFAS!A:K,11,FALSE),0),
         VLOOKUP(D873,TARIFAS!A:K,10,FALSE) + IF(I873="Sí",VLOOKUP(D873,TARIFAS!A:K,11,FALSE),0)
      )
   )
)
</f>
        <v>0</v>
      </c>
      <c r="U873" s="45">
        <f>IF(R873="",0,MAX(0,R873 - TARIFAS!G$2) * TARIFAS!F$2)
</f>
        <v>0</v>
      </c>
      <c r="V873" s="45">
        <f>+T873*TARIFAS!$K$2</f>
        <v>0</v>
      </c>
      <c r="W873" s="45">
        <f t="shared" si="2"/>
        <v>0</v>
      </c>
      <c r="X873" s="45">
        <f t="shared" si="3"/>
        <v>0</v>
      </c>
      <c r="Y873" s="45">
        <f t="shared" si="4"/>
        <v>0</v>
      </c>
      <c r="Z873" s="42" t="str">
        <f>CONFERENCIAS!AB873</f>
        <v/>
      </c>
      <c r="AA873" s="42" t="str">
        <f>CONFERENCIAS!AC873</f>
        <v/>
      </c>
      <c r="AB873" s="47" t="str">
        <f t="shared" si="5"/>
        <v/>
      </c>
      <c r="AC873" s="9" t="str">
        <f t="shared" si="6"/>
        <v/>
      </c>
    </row>
    <row r="874">
      <c r="A874" s="42" t="str">
        <f>CONFERENCIAS!A874</f>
        <v/>
      </c>
      <c r="D874" s="42" t="str">
        <f>CONFERENCIAS!C874</f>
        <v/>
      </c>
      <c r="E874" s="42" t="str">
        <f>CONFERENCIAS!K874</f>
        <v/>
      </c>
      <c r="F874" s="49" t="str">
        <f>CONFERENCIAS!J874</f>
        <v/>
      </c>
      <c r="G874" s="42" t="str">
        <f>CONFERENCIAS!O874</f>
        <v/>
      </c>
      <c r="H874" s="42" t="str">
        <f>CONFERENCIAS!X874</f>
        <v/>
      </c>
      <c r="I874" s="42" t="str">
        <f>CONFERENCIAS!AA874</f>
        <v/>
      </c>
      <c r="J874" s="44" t="str">
        <f>CONFERENCIAS!P874</f>
        <v/>
      </c>
      <c r="K874" s="45" t="str">
        <f>CONFERENCIAS!R874</f>
        <v/>
      </c>
      <c r="L874" s="45">
        <f>IF(D874="",0,
 IF(E874=1,
   IF(H874="Presencial",
      VLOOKUP(D874,TARIFAS!A:K,3,FALSE) + IF(I874="Sí",VLOOKUP(D874,TARIFAS!A:K,5,FALSE),0),
      VLOOKUP(D874,TARIFAS!A:K,4,FALSE) + IF(I874="Sí",VLOOKUP(D874,TARIFAS!A:K,5,FALSE),0)
   ),
   IF(H874="Presencial",
      VLOOKUP(D874,TARIFAS!A:K,9,FALSE) + IF(I874="Sí",VLOOKUP(D874,TARIFAS!A:K,11,FALSE),0),
      VLOOKUP(D874,TARIFAS!A:K,10,FALSE) + IF(I874="Sí",VLOOKUP(D874,TARIFAS!A:K,11,FALSE),0)
   )
 )
)
</f>
        <v>0</v>
      </c>
      <c r="M874" s="45">
        <f>IF(J874="",0,MAX(0,J874 - TARIFAS!G$2) * TARIFAS!F$2)
</f>
        <v>0</v>
      </c>
      <c r="N874" s="45">
        <f>+L874*TARIFAS!$K$2</f>
        <v>0</v>
      </c>
      <c r="O874" s="45">
        <f t="shared" si="1"/>
        <v>0</v>
      </c>
      <c r="P874" s="45">
        <f>+M874+O874+K874+(+I874-(I874*TARIFAS!$K$2))</f>
        <v>0</v>
      </c>
      <c r="Q874" s="42" t="str">
        <f>CONFERENCIAS!T874</f>
        <v/>
      </c>
      <c r="R874" s="45" t="str">
        <f>CONFERENCIAS!U874</f>
        <v/>
      </c>
      <c r="S874" s="45" t="str">
        <f>CONFERENCIAS!W874</f>
        <v/>
      </c>
      <c r="T874" s="48">
        <f>IF(Q874="",0,
   IF(E874=1,
      IF(H874="Presencial",
         VLOOKUP(D874,TARIFAS!A:K,3,FALSE) + IF(I874="Sí",VLOOKUP(D874,TARIFAS!A:K,5,FALSE),0),
         VLOOKUP(D874,TARIFAS!A:K,4,FALSE) + IF(I874="Sí",VLOOKUP(D874,TARIFAS!A:K,5,FALSE),0)
      ),
      IF(H874="Presencial",
         VLOOKUP(D874,TARIFAS!A:K,9,FALSE) + IF(I874="Sí",VLOOKUP(D874,TARIFAS!A:K,11,FALSE),0),
         VLOOKUP(D874,TARIFAS!A:K,10,FALSE) + IF(I874="Sí",VLOOKUP(D874,TARIFAS!A:K,11,FALSE),0)
      )
   )
)
</f>
        <v>0</v>
      </c>
      <c r="U874" s="45">
        <f>IF(R874="",0,MAX(0,R874 - TARIFAS!G$2) * TARIFAS!F$2)
</f>
        <v>0</v>
      </c>
      <c r="V874" s="45">
        <f>+T874*TARIFAS!$K$2</f>
        <v>0</v>
      </c>
      <c r="W874" s="45">
        <f t="shared" si="2"/>
        <v>0</v>
      </c>
      <c r="X874" s="45">
        <f t="shared" si="3"/>
        <v>0</v>
      </c>
      <c r="Y874" s="45">
        <f t="shared" si="4"/>
        <v>0</v>
      </c>
      <c r="Z874" s="42" t="str">
        <f>CONFERENCIAS!AB874</f>
        <v/>
      </c>
      <c r="AA874" s="42" t="str">
        <f>CONFERENCIAS!AC874</f>
        <v/>
      </c>
      <c r="AB874" s="47" t="str">
        <f t="shared" si="5"/>
        <v/>
      </c>
      <c r="AC874" s="9" t="str">
        <f t="shared" si="6"/>
        <v/>
      </c>
    </row>
    <row r="875">
      <c r="A875" s="42" t="str">
        <f>CONFERENCIAS!A875</f>
        <v/>
      </c>
      <c r="D875" s="42" t="str">
        <f>CONFERENCIAS!C875</f>
        <v/>
      </c>
      <c r="E875" s="42" t="str">
        <f>CONFERENCIAS!K875</f>
        <v/>
      </c>
      <c r="F875" s="49" t="str">
        <f>CONFERENCIAS!J875</f>
        <v/>
      </c>
      <c r="G875" s="42" t="str">
        <f>CONFERENCIAS!O875</f>
        <v/>
      </c>
      <c r="H875" s="42" t="str">
        <f>CONFERENCIAS!X875</f>
        <v/>
      </c>
      <c r="I875" s="42" t="str">
        <f>CONFERENCIAS!AA875</f>
        <v/>
      </c>
      <c r="J875" s="44" t="str">
        <f>CONFERENCIAS!P875</f>
        <v/>
      </c>
      <c r="K875" s="45" t="str">
        <f>CONFERENCIAS!R875</f>
        <v/>
      </c>
      <c r="L875" s="45">
        <f>IF(D875="",0,
 IF(E875=1,
   IF(H875="Presencial",
      VLOOKUP(D875,TARIFAS!A:K,3,FALSE) + IF(I875="Sí",VLOOKUP(D875,TARIFAS!A:K,5,FALSE),0),
      VLOOKUP(D875,TARIFAS!A:K,4,FALSE) + IF(I875="Sí",VLOOKUP(D875,TARIFAS!A:K,5,FALSE),0)
   ),
   IF(H875="Presencial",
      VLOOKUP(D875,TARIFAS!A:K,9,FALSE) + IF(I875="Sí",VLOOKUP(D875,TARIFAS!A:K,11,FALSE),0),
      VLOOKUP(D875,TARIFAS!A:K,10,FALSE) + IF(I875="Sí",VLOOKUP(D875,TARIFAS!A:K,11,FALSE),0)
   )
 )
)
</f>
        <v>0</v>
      </c>
      <c r="M875" s="45">
        <f>IF(J875="",0,MAX(0,J875 - TARIFAS!G$2) * TARIFAS!F$2)
</f>
        <v>0</v>
      </c>
      <c r="N875" s="45">
        <f>+L875*TARIFAS!$K$2</f>
        <v>0</v>
      </c>
      <c r="O875" s="45">
        <f t="shared" si="1"/>
        <v>0</v>
      </c>
      <c r="P875" s="45">
        <f>+M875+O875+K875+(+I875-(I875*TARIFAS!$K$2))</f>
        <v>0</v>
      </c>
      <c r="Q875" s="42" t="str">
        <f>CONFERENCIAS!T875</f>
        <v/>
      </c>
      <c r="R875" s="45" t="str">
        <f>CONFERENCIAS!U875</f>
        <v/>
      </c>
      <c r="S875" s="45" t="str">
        <f>CONFERENCIAS!W875</f>
        <v/>
      </c>
      <c r="T875" s="48">
        <f>IF(Q875="",0,
   IF(E875=1,
      IF(H875="Presencial",
         VLOOKUP(D875,TARIFAS!A:K,3,FALSE) + IF(I875="Sí",VLOOKUP(D875,TARIFAS!A:K,5,FALSE),0),
         VLOOKUP(D875,TARIFAS!A:K,4,FALSE) + IF(I875="Sí",VLOOKUP(D875,TARIFAS!A:K,5,FALSE),0)
      ),
      IF(H875="Presencial",
         VLOOKUP(D875,TARIFAS!A:K,9,FALSE) + IF(I875="Sí",VLOOKUP(D875,TARIFAS!A:K,11,FALSE),0),
         VLOOKUP(D875,TARIFAS!A:K,10,FALSE) + IF(I875="Sí",VLOOKUP(D875,TARIFAS!A:K,11,FALSE),0)
      )
   )
)
</f>
        <v>0</v>
      </c>
      <c r="U875" s="45">
        <f>IF(R875="",0,MAX(0,R875 - TARIFAS!G$2) * TARIFAS!F$2)
</f>
        <v>0</v>
      </c>
      <c r="V875" s="45">
        <f>+T875*TARIFAS!$K$2</f>
        <v>0</v>
      </c>
      <c r="W875" s="45">
        <f t="shared" si="2"/>
        <v>0</v>
      </c>
      <c r="X875" s="45">
        <f t="shared" si="3"/>
        <v>0</v>
      </c>
      <c r="Y875" s="45">
        <f t="shared" si="4"/>
        <v>0</v>
      </c>
      <c r="Z875" s="42" t="str">
        <f>CONFERENCIAS!AB875</f>
        <v/>
      </c>
      <c r="AA875" s="42" t="str">
        <f>CONFERENCIAS!AC875</f>
        <v/>
      </c>
      <c r="AB875" s="47" t="str">
        <f t="shared" si="5"/>
        <v/>
      </c>
      <c r="AC875" s="9" t="str">
        <f t="shared" si="6"/>
        <v/>
      </c>
    </row>
    <row r="876">
      <c r="A876" s="42" t="str">
        <f>CONFERENCIAS!A876</f>
        <v/>
      </c>
      <c r="D876" s="42" t="str">
        <f>CONFERENCIAS!C876</f>
        <v/>
      </c>
      <c r="E876" s="42" t="str">
        <f>CONFERENCIAS!K876</f>
        <v/>
      </c>
      <c r="F876" s="49" t="str">
        <f>CONFERENCIAS!J876</f>
        <v/>
      </c>
      <c r="G876" s="42" t="str">
        <f>CONFERENCIAS!O876</f>
        <v/>
      </c>
      <c r="H876" s="42" t="str">
        <f>CONFERENCIAS!X876</f>
        <v/>
      </c>
      <c r="I876" s="42" t="str">
        <f>CONFERENCIAS!AA876</f>
        <v/>
      </c>
      <c r="J876" s="44" t="str">
        <f>CONFERENCIAS!P876</f>
        <v/>
      </c>
      <c r="K876" s="45" t="str">
        <f>CONFERENCIAS!R876</f>
        <v/>
      </c>
      <c r="L876" s="45">
        <f>IF(D876="",0,
 IF(E876=1,
   IF(H876="Presencial",
      VLOOKUP(D876,TARIFAS!A:K,3,FALSE) + IF(I876="Sí",VLOOKUP(D876,TARIFAS!A:K,5,FALSE),0),
      VLOOKUP(D876,TARIFAS!A:K,4,FALSE) + IF(I876="Sí",VLOOKUP(D876,TARIFAS!A:K,5,FALSE),0)
   ),
   IF(H876="Presencial",
      VLOOKUP(D876,TARIFAS!A:K,9,FALSE) + IF(I876="Sí",VLOOKUP(D876,TARIFAS!A:K,11,FALSE),0),
      VLOOKUP(D876,TARIFAS!A:K,10,FALSE) + IF(I876="Sí",VLOOKUP(D876,TARIFAS!A:K,11,FALSE),0)
   )
 )
)
</f>
        <v>0</v>
      </c>
      <c r="M876" s="45">
        <f>IF(J876="",0,MAX(0,J876 - TARIFAS!G$2) * TARIFAS!F$2)
</f>
        <v>0</v>
      </c>
      <c r="N876" s="45">
        <f>+L876*TARIFAS!$K$2</f>
        <v>0</v>
      </c>
      <c r="O876" s="45">
        <f t="shared" si="1"/>
        <v>0</v>
      </c>
      <c r="P876" s="45">
        <f>+M876+O876+K876+(+I876-(I876*TARIFAS!$K$2))</f>
        <v>0</v>
      </c>
      <c r="Q876" s="42" t="str">
        <f>CONFERENCIAS!T876</f>
        <v/>
      </c>
      <c r="R876" s="45" t="str">
        <f>CONFERENCIAS!U876</f>
        <v/>
      </c>
      <c r="S876" s="45" t="str">
        <f>CONFERENCIAS!W876</f>
        <v/>
      </c>
      <c r="T876" s="48">
        <f>IF(Q876="",0,
   IF(E876=1,
      IF(H876="Presencial",
         VLOOKUP(D876,TARIFAS!A:K,3,FALSE) + IF(I876="Sí",VLOOKUP(D876,TARIFAS!A:K,5,FALSE),0),
         VLOOKUP(D876,TARIFAS!A:K,4,FALSE) + IF(I876="Sí",VLOOKUP(D876,TARIFAS!A:K,5,FALSE),0)
      ),
      IF(H876="Presencial",
         VLOOKUP(D876,TARIFAS!A:K,9,FALSE) + IF(I876="Sí",VLOOKUP(D876,TARIFAS!A:K,11,FALSE),0),
         VLOOKUP(D876,TARIFAS!A:K,10,FALSE) + IF(I876="Sí",VLOOKUP(D876,TARIFAS!A:K,11,FALSE),0)
      )
   )
)
</f>
        <v>0</v>
      </c>
      <c r="U876" s="45">
        <f>IF(R876="",0,MAX(0,R876 - TARIFAS!G$2) * TARIFAS!F$2)
</f>
        <v>0</v>
      </c>
      <c r="V876" s="45">
        <f>+T876*TARIFAS!$K$2</f>
        <v>0</v>
      </c>
      <c r="W876" s="45">
        <f t="shared" si="2"/>
        <v>0</v>
      </c>
      <c r="X876" s="45">
        <f t="shared" si="3"/>
        <v>0</v>
      </c>
      <c r="Y876" s="45">
        <f t="shared" si="4"/>
        <v>0</v>
      </c>
      <c r="Z876" s="42" t="str">
        <f>CONFERENCIAS!AB876</f>
        <v/>
      </c>
      <c r="AA876" s="42" t="str">
        <f>CONFERENCIAS!AC876</f>
        <v/>
      </c>
      <c r="AB876" s="47" t="str">
        <f t="shared" si="5"/>
        <v/>
      </c>
      <c r="AC876" s="9" t="str">
        <f t="shared" si="6"/>
        <v/>
      </c>
    </row>
    <row r="877">
      <c r="A877" s="42" t="str">
        <f>CONFERENCIAS!A877</f>
        <v/>
      </c>
      <c r="D877" s="42" t="str">
        <f>CONFERENCIAS!C877</f>
        <v/>
      </c>
      <c r="E877" s="42" t="str">
        <f>CONFERENCIAS!K877</f>
        <v/>
      </c>
      <c r="F877" s="49" t="str">
        <f>CONFERENCIAS!J877</f>
        <v/>
      </c>
      <c r="G877" s="42" t="str">
        <f>CONFERENCIAS!O877</f>
        <v/>
      </c>
      <c r="H877" s="42" t="str">
        <f>CONFERENCIAS!X877</f>
        <v/>
      </c>
      <c r="I877" s="42" t="str">
        <f>CONFERENCIAS!AA877</f>
        <v/>
      </c>
      <c r="J877" s="44" t="str">
        <f>CONFERENCIAS!P877</f>
        <v/>
      </c>
      <c r="K877" s="45" t="str">
        <f>CONFERENCIAS!R877</f>
        <v/>
      </c>
      <c r="L877" s="45">
        <f>IF(D877="",0,
 IF(E877=1,
   IF(H877="Presencial",
      VLOOKUP(D877,TARIFAS!A:K,3,FALSE) + IF(I877="Sí",VLOOKUP(D877,TARIFAS!A:K,5,FALSE),0),
      VLOOKUP(D877,TARIFAS!A:K,4,FALSE) + IF(I877="Sí",VLOOKUP(D877,TARIFAS!A:K,5,FALSE),0)
   ),
   IF(H877="Presencial",
      VLOOKUP(D877,TARIFAS!A:K,9,FALSE) + IF(I877="Sí",VLOOKUP(D877,TARIFAS!A:K,11,FALSE),0),
      VLOOKUP(D877,TARIFAS!A:K,10,FALSE) + IF(I877="Sí",VLOOKUP(D877,TARIFAS!A:K,11,FALSE),0)
   )
 )
)
</f>
        <v>0</v>
      </c>
      <c r="M877" s="45">
        <f>IF(J877="",0,MAX(0,J877 - TARIFAS!G$2) * TARIFAS!F$2)
</f>
        <v>0</v>
      </c>
      <c r="N877" s="45">
        <f>+L877*TARIFAS!$K$2</f>
        <v>0</v>
      </c>
      <c r="O877" s="45">
        <f t="shared" si="1"/>
        <v>0</v>
      </c>
      <c r="P877" s="45">
        <f>+M877+O877+K877+(+I877-(I877*TARIFAS!$K$2))</f>
        <v>0</v>
      </c>
      <c r="Q877" s="42" t="str">
        <f>CONFERENCIAS!T877</f>
        <v/>
      </c>
      <c r="R877" s="45" t="str">
        <f>CONFERENCIAS!U877</f>
        <v/>
      </c>
      <c r="S877" s="45" t="str">
        <f>CONFERENCIAS!W877</f>
        <v/>
      </c>
      <c r="T877" s="48">
        <f>IF(Q877="",0,
   IF(E877=1,
      IF(H877="Presencial",
         VLOOKUP(D877,TARIFAS!A:K,3,FALSE) + IF(I877="Sí",VLOOKUP(D877,TARIFAS!A:K,5,FALSE),0),
         VLOOKUP(D877,TARIFAS!A:K,4,FALSE) + IF(I877="Sí",VLOOKUP(D877,TARIFAS!A:K,5,FALSE),0)
      ),
      IF(H877="Presencial",
         VLOOKUP(D877,TARIFAS!A:K,9,FALSE) + IF(I877="Sí",VLOOKUP(D877,TARIFAS!A:K,11,FALSE),0),
         VLOOKUP(D877,TARIFAS!A:K,10,FALSE) + IF(I877="Sí",VLOOKUP(D877,TARIFAS!A:K,11,FALSE),0)
      )
   )
)
</f>
        <v>0</v>
      </c>
      <c r="U877" s="45">
        <f>IF(R877="",0,MAX(0,R877 - TARIFAS!G$2) * TARIFAS!F$2)
</f>
        <v>0</v>
      </c>
      <c r="V877" s="45">
        <f>+T877*TARIFAS!$K$2</f>
        <v>0</v>
      </c>
      <c r="W877" s="45">
        <f t="shared" si="2"/>
        <v>0</v>
      </c>
      <c r="X877" s="45">
        <f t="shared" si="3"/>
        <v>0</v>
      </c>
      <c r="Y877" s="45">
        <f t="shared" si="4"/>
        <v>0</v>
      </c>
      <c r="Z877" s="42" t="str">
        <f>CONFERENCIAS!AB877</f>
        <v/>
      </c>
      <c r="AA877" s="42" t="str">
        <f>CONFERENCIAS!AC877</f>
        <v/>
      </c>
      <c r="AB877" s="47" t="str">
        <f t="shared" si="5"/>
        <v/>
      </c>
      <c r="AC877" s="9" t="str">
        <f t="shared" si="6"/>
        <v/>
      </c>
    </row>
    <row r="878">
      <c r="A878" s="42" t="str">
        <f>CONFERENCIAS!A878</f>
        <v/>
      </c>
      <c r="D878" s="42" t="str">
        <f>CONFERENCIAS!C878</f>
        <v/>
      </c>
      <c r="E878" s="42" t="str">
        <f>CONFERENCIAS!K878</f>
        <v/>
      </c>
      <c r="F878" s="49" t="str">
        <f>CONFERENCIAS!J878</f>
        <v/>
      </c>
      <c r="G878" s="42" t="str">
        <f>CONFERENCIAS!O878</f>
        <v/>
      </c>
      <c r="H878" s="42" t="str">
        <f>CONFERENCIAS!X878</f>
        <v/>
      </c>
      <c r="I878" s="42" t="str">
        <f>CONFERENCIAS!AA878</f>
        <v/>
      </c>
      <c r="J878" s="44" t="str">
        <f>CONFERENCIAS!P878</f>
        <v/>
      </c>
      <c r="K878" s="45" t="str">
        <f>CONFERENCIAS!R878</f>
        <v/>
      </c>
      <c r="L878" s="45">
        <f>IF(D878="",0,
 IF(E878=1,
   IF(H878="Presencial",
      VLOOKUP(D878,TARIFAS!A:K,3,FALSE) + IF(I878="Sí",VLOOKUP(D878,TARIFAS!A:K,5,FALSE),0),
      VLOOKUP(D878,TARIFAS!A:K,4,FALSE) + IF(I878="Sí",VLOOKUP(D878,TARIFAS!A:K,5,FALSE),0)
   ),
   IF(H878="Presencial",
      VLOOKUP(D878,TARIFAS!A:K,9,FALSE) + IF(I878="Sí",VLOOKUP(D878,TARIFAS!A:K,11,FALSE),0),
      VLOOKUP(D878,TARIFAS!A:K,10,FALSE) + IF(I878="Sí",VLOOKUP(D878,TARIFAS!A:K,11,FALSE),0)
   )
 )
)
</f>
        <v>0</v>
      </c>
      <c r="M878" s="45">
        <f>IF(J878="",0,MAX(0,J878 - TARIFAS!G$2) * TARIFAS!F$2)
</f>
        <v>0</v>
      </c>
      <c r="N878" s="45">
        <f>+L878*TARIFAS!$K$2</f>
        <v>0</v>
      </c>
      <c r="O878" s="45">
        <f t="shared" si="1"/>
        <v>0</v>
      </c>
      <c r="P878" s="45">
        <f>+M878+O878+K878+(+I878-(I878*TARIFAS!$K$2))</f>
        <v>0</v>
      </c>
      <c r="Q878" s="42" t="str">
        <f>CONFERENCIAS!T878</f>
        <v/>
      </c>
      <c r="R878" s="45" t="str">
        <f>CONFERENCIAS!U878</f>
        <v/>
      </c>
      <c r="S878" s="45" t="str">
        <f>CONFERENCIAS!W878</f>
        <v/>
      </c>
      <c r="T878" s="48">
        <f>IF(Q878="",0,
   IF(E878=1,
      IF(H878="Presencial",
         VLOOKUP(D878,TARIFAS!A:K,3,FALSE) + IF(I878="Sí",VLOOKUP(D878,TARIFAS!A:K,5,FALSE),0),
         VLOOKUP(D878,TARIFAS!A:K,4,FALSE) + IF(I878="Sí",VLOOKUP(D878,TARIFAS!A:K,5,FALSE),0)
      ),
      IF(H878="Presencial",
         VLOOKUP(D878,TARIFAS!A:K,9,FALSE) + IF(I878="Sí",VLOOKUP(D878,TARIFAS!A:K,11,FALSE),0),
         VLOOKUP(D878,TARIFAS!A:K,10,FALSE) + IF(I878="Sí",VLOOKUP(D878,TARIFAS!A:K,11,FALSE),0)
      )
   )
)
</f>
        <v>0</v>
      </c>
      <c r="U878" s="45">
        <f>IF(R878="",0,MAX(0,R878 - TARIFAS!G$2) * TARIFAS!F$2)
</f>
        <v>0</v>
      </c>
      <c r="V878" s="45">
        <f>+T878*TARIFAS!$K$2</f>
        <v>0</v>
      </c>
      <c r="W878" s="45">
        <f t="shared" si="2"/>
        <v>0</v>
      </c>
      <c r="X878" s="45">
        <f t="shared" si="3"/>
        <v>0</v>
      </c>
      <c r="Y878" s="45">
        <f t="shared" si="4"/>
        <v>0</v>
      </c>
      <c r="Z878" s="42" t="str">
        <f>CONFERENCIAS!AB878</f>
        <v/>
      </c>
      <c r="AA878" s="42" t="str">
        <f>CONFERENCIAS!AC878</f>
        <v/>
      </c>
      <c r="AB878" s="47" t="str">
        <f t="shared" si="5"/>
        <v/>
      </c>
      <c r="AC878" s="9" t="str">
        <f t="shared" si="6"/>
        <v/>
      </c>
    </row>
    <row r="879">
      <c r="A879" s="42" t="str">
        <f>CONFERENCIAS!A879</f>
        <v/>
      </c>
      <c r="D879" s="42" t="str">
        <f>CONFERENCIAS!C879</f>
        <v/>
      </c>
      <c r="E879" s="42" t="str">
        <f>CONFERENCIAS!K879</f>
        <v/>
      </c>
      <c r="F879" s="49" t="str">
        <f>CONFERENCIAS!J879</f>
        <v/>
      </c>
      <c r="G879" s="42" t="str">
        <f>CONFERENCIAS!O879</f>
        <v/>
      </c>
      <c r="H879" s="42" t="str">
        <f>CONFERENCIAS!X879</f>
        <v/>
      </c>
      <c r="I879" s="42" t="str">
        <f>CONFERENCIAS!AA879</f>
        <v/>
      </c>
      <c r="J879" s="44" t="str">
        <f>CONFERENCIAS!P879</f>
        <v/>
      </c>
      <c r="K879" s="45" t="str">
        <f>CONFERENCIAS!R879</f>
        <v/>
      </c>
      <c r="L879" s="45">
        <f>IF(D879="",0,
 IF(E879=1,
   IF(H879="Presencial",
      VLOOKUP(D879,TARIFAS!A:K,3,FALSE) + IF(I879="Sí",VLOOKUP(D879,TARIFAS!A:K,5,FALSE),0),
      VLOOKUP(D879,TARIFAS!A:K,4,FALSE) + IF(I879="Sí",VLOOKUP(D879,TARIFAS!A:K,5,FALSE),0)
   ),
   IF(H879="Presencial",
      VLOOKUP(D879,TARIFAS!A:K,9,FALSE) + IF(I879="Sí",VLOOKUP(D879,TARIFAS!A:K,11,FALSE),0),
      VLOOKUP(D879,TARIFAS!A:K,10,FALSE) + IF(I879="Sí",VLOOKUP(D879,TARIFAS!A:K,11,FALSE),0)
   )
 )
)
</f>
        <v>0</v>
      </c>
      <c r="M879" s="45">
        <f>IF(J879="",0,MAX(0,J879 - TARIFAS!G$2) * TARIFAS!F$2)
</f>
        <v>0</v>
      </c>
      <c r="N879" s="45">
        <f>+L879*TARIFAS!$K$2</f>
        <v>0</v>
      </c>
      <c r="O879" s="45">
        <f t="shared" si="1"/>
        <v>0</v>
      </c>
      <c r="P879" s="45">
        <f>+M879+O879+K879+(+I879-(I879*TARIFAS!$K$2))</f>
        <v>0</v>
      </c>
      <c r="Q879" s="42" t="str">
        <f>CONFERENCIAS!T879</f>
        <v/>
      </c>
      <c r="R879" s="45" t="str">
        <f>CONFERENCIAS!U879</f>
        <v/>
      </c>
      <c r="S879" s="45" t="str">
        <f>CONFERENCIAS!W879</f>
        <v/>
      </c>
      <c r="T879" s="48">
        <f>IF(Q879="",0,
   IF(E879=1,
      IF(H879="Presencial",
         VLOOKUP(D879,TARIFAS!A:K,3,FALSE) + IF(I879="Sí",VLOOKUP(D879,TARIFAS!A:K,5,FALSE),0),
         VLOOKUP(D879,TARIFAS!A:K,4,FALSE) + IF(I879="Sí",VLOOKUP(D879,TARIFAS!A:K,5,FALSE),0)
      ),
      IF(H879="Presencial",
         VLOOKUP(D879,TARIFAS!A:K,9,FALSE) + IF(I879="Sí",VLOOKUP(D879,TARIFAS!A:K,11,FALSE),0),
         VLOOKUP(D879,TARIFAS!A:K,10,FALSE) + IF(I879="Sí",VLOOKUP(D879,TARIFAS!A:K,11,FALSE),0)
      )
   )
)
</f>
        <v>0</v>
      </c>
      <c r="U879" s="45">
        <f>IF(R879="",0,MAX(0,R879 - TARIFAS!G$2) * TARIFAS!F$2)
</f>
        <v>0</v>
      </c>
      <c r="V879" s="45">
        <f>+T879*TARIFAS!$K$2</f>
        <v>0</v>
      </c>
      <c r="W879" s="45">
        <f t="shared" si="2"/>
        <v>0</v>
      </c>
      <c r="X879" s="45">
        <f t="shared" si="3"/>
        <v>0</v>
      </c>
      <c r="Y879" s="45">
        <f t="shared" si="4"/>
        <v>0</v>
      </c>
      <c r="Z879" s="42" t="str">
        <f>CONFERENCIAS!AB879</f>
        <v/>
      </c>
      <c r="AA879" s="42" t="str">
        <f>CONFERENCIAS!AC879</f>
        <v/>
      </c>
      <c r="AB879" s="47" t="str">
        <f t="shared" si="5"/>
        <v/>
      </c>
      <c r="AC879" s="9" t="str">
        <f t="shared" si="6"/>
        <v/>
      </c>
    </row>
    <row r="880">
      <c r="A880" s="42" t="str">
        <f>CONFERENCIAS!A880</f>
        <v/>
      </c>
      <c r="D880" s="42" t="str">
        <f>CONFERENCIAS!C880</f>
        <v/>
      </c>
      <c r="E880" s="42" t="str">
        <f>CONFERENCIAS!K880</f>
        <v/>
      </c>
      <c r="F880" s="49" t="str">
        <f>CONFERENCIAS!J880</f>
        <v/>
      </c>
      <c r="G880" s="42" t="str">
        <f>CONFERENCIAS!O880</f>
        <v/>
      </c>
      <c r="H880" s="42" t="str">
        <f>CONFERENCIAS!X880</f>
        <v/>
      </c>
      <c r="I880" s="42" t="str">
        <f>CONFERENCIAS!AA880</f>
        <v/>
      </c>
      <c r="J880" s="44" t="str">
        <f>CONFERENCIAS!P880</f>
        <v/>
      </c>
      <c r="K880" s="45" t="str">
        <f>CONFERENCIAS!R880</f>
        <v/>
      </c>
      <c r="L880" s="45">
        <f>IF(D880="",0,
 IF(E880=1,
   IF(H880="Presencial",
      VLOOKUP(D880,TARIFAS!A:K,3,FALSE) + IF(I880="Sí",VLOOKUP(D880,TARIFAS!A:K,5,FALSE),0),
      VLOOKUP(D880,TARIFAS!A:K,4,FALSE) + IF(I880="Sí",VLOOKUP(D880,TARIFAS!A:K,5,FALSE),0)
   ),
   IF(H880="Presencial",
      VLOOKUP(D880,TARIFAS!A:K,9,FALSE) + IF(I880="Sí",VLOOKUP(D880,TARIFAS!A:K,11,FALSE),0),
      VLOOKUP(D880,TARIFAS!A:K,10,FALSE) + IF(I880="Sí",VLOOKUP(D880,TARIFAS!A:K,11,FALSE),0)
   )
 )
)
</f>
        <v>0</v>
      </c>
      <c r="M880" s="45">
        <f>IF(J880="",0,MAX(0,J880 - TARIFAS!G$2) * TARIFAS!F$2)
</f>
        <v>0</v>
      </c>
      <c r="N880" s="45">
        <f>+L880*TARIFAS!$K$2</f>
        <v>0</v>
      </c>
      <c r="O880" s="45">
        <f t="shared" si="1"/>
        <v>0</v>
      </c>
      <c r="P880" s="45">
        <f>+M880+O880+K880+(+I880-(I880*TARIFAS!$K$2))</f>
        <v>0</v>
      </c>
      <c r="Q880" s="42" t="str">
        <f>CONFERENCIAS!T880</f>
        <v/>
      </c>
      <c r="R880" s="45" t="str">
        <f>CONFERENCIAS!U880</f>
        <v/>
      </c>
      <c r="S880" s="45" t="str">
        <f>CONFERENCIAS!W880</f>
        <v/>
      </c>
      <c r="T880" s="48">
        <f>IF(Q880="",0,
   IF(E880=1,
      IF(H880="Presencial",
         VLOOKUP(D880,TARIFAS!A:K,3,FALSE) + IF(I880="Sí",VLOOKUP(D880,TARIFAS!A:K,5,FALSE),0),
         VLOOKUP(D880,TARIFAS!A:K,4,FALSE) + IF(I880="Sí",VLOOKUP(D880,TARIFAS!A:K,5,FALSE),0)
      ),
      IF(H880="Presencial",
         VLOOKUP(D880,TARIFAS!A:K,9,FALSE) + IF(I880="Sí",VLOOKUP(D880,TARIFAS!A:K,11,FALSE),0),
         VLOOKUP(D880,TARIFAS!A:K,10,FALSE) + IF(I880="Sí",VLOOKUP(D880,TARIFAS!A:K,11,FALSE),0)
      )
   )
)
</f>
        <v>0</v>
      </c>
      <c r="U880" s="45">
        <f>IF(R880="",0,MAX(0,R880 - TARIFAS!G$2) * TARIFAS!F$2)
</f>
        <v>0</v>
      </c>
      <c r="V880" s="45">
        <f>+T880*TARIFAS!$K$2</f>
        <v>0</v>
      </c>
      <c r="W880" s="45">
        <f t="shared" si="2"/>
        <v>0</v>
      </c>
      <c r="X880" s="45">
        <f t="shared" si="3"/>
        <v>0</v>
      </c>
      <c r="Y880" s="45">
        <f t="shared" si="4"/>
        <v>0</v>
      </c>
      <c r="Z880" s="42" t="str">
        <f>CONFERENCIAS!AB880</f>
        <v/>
      </c>
      <c r="AA880" s="42" t="str">
        <f>CONFERENCIAS!AC880</f>
        <v/>
      </c>
      <c r="AB880" s="47" t="str">
        <f t="shared" si="5"/>
        <v/>
      </c>
      <c r="AC880" s="9" t="str">
        <f t="shared" si="6"/>
        <v/>
      </c>
    </row>
    <row r="881">
      <c r="A881" s="42" t="str">
        <f>CONFERENCIAS!A881</f>
        <v/>
      </c>
      <c r="D881" s="42" t="str">
        <f>CONFERENCIAS!C881</f>
        <v/>
      </c>
      <c r="E881" s="42" t="str">
        <f>CONFERENCIAS!K881</f>
        <v/>
      </c>
      <c r="F881" s="49" t="str">
        <f>CONFERENCIAS!J881</f>
        <v/>
      </c>
      <c r="G881" s="42" t="str">
        <f>CONFERENCIAS!O881</f>
        <v/>
      </c>
      <c r="H881" s="42" t="str">
        <f>CONFERENCIAS!X881</f>
        <v/>
      </c>
      <c r="I881" s="42" t="str">
        <f>CONFERENCIAS!AA881</f>
        <v/>
      </c>
      <c r="J881" s="44" t="str">
        <f>CONFERENCIAS!P881</f>
        <v/>
      </c>
      <c r="K881" s="45" t="str">
        <f>CONFERENCIAS!R881</f>
        <v/>
      </c>
      <c r="L881" s="45">
        <f>IF(D881="",0,
 IF(E881=1,
   IF(H881="Presencial",
      VLOOKUP(D881,TARIFAS!A:K,3,FALSE) + IF(I881="Sí",VLOOKUP(D881,TARIFAS!A:K,5,FALSE),0),
      VLOOKUP(D881,TARIFAS!A:K,4,FALSE) + IF(I881="Sí",VLOOKUP(D881,TARIFAS!A:K,5,FALSE),0)
   ),
   IF(H881="Presencial",
      VLOOKUP(D881,TARIFAS!A:K,9,FALSE) + IF(I881="Sí",VLOOKUP(D881,TARIFAS!A:K,11,FALSE),0),
      VLOOKUP(D881,TARIFAS!A:K,10,FALSE) + IF(I881="Sí",VLOOKUP(D881,TARIFAS!A:K,11,FALSE),0)
   )
 )
)
</f>
        <v>0</v>
      </c>
      <c r="M881" s="45">
        <f>IF(J881="",0,MAX(0,J881 - TARIFAS!G$2) * TARIFAS!F$2)
</f>
        <v>0</v>
      </c>
      <c r="N881" s="45">
        <f>+L881*TARIFAS!$K$2</f>
        <v>0</v>
      </c>
      <c r="O881" s="45">
        <f t="shared" si="1"/>
        <v>0</v>
      </c>
      <c r="P881" s="45">
        <f>+M881+O881+K881+(+I881-(I881*TARIFAS!$K$2))</f>
        <v>0</v>
      </c>
      <c r="Q881" s="42" t="str">
        <f>CONFERENCIAS!T881</f>
        <v/>
      </c>
      <c r="R881" s="45" t="str">
        <f>CONFERENCIAS!U881</f>
        <v/>
      </c>
      <c r="S881" s="45" t="str">
        <f>CONFERENCIAS!W881</f>
        <v/>
      </c>
      <c r="T881" s="48">
        <f>IF(Q881="",0,
   IF(E881=1,
      IF(H881="Presencial",
         VLOOKUP(D881,TARIFAS!A:K,3,FALSE) + IF(I881="Sí",VLOOKUP(D881,TARIFAS!A:K,5,FALSE),0),
         VLOOKUP(D881,TARIFAS!A:K,4,FALSE) + IF(I881="Sí",VLOOKUP(D881,TARIFAS!A:K,5,FALSE),0)
      ),
      IF(H881="Presencial",
         VLOOKUP(D881,TARIFAS!A:K,9,FALSE) + IF(I881="Sí",VLOOKUP(D881,TARIFAS!A:K,11,FALSE),0),
         VLOOKUP(D881,TARIFAS!A:K,10,FALSE) + IF(I881="Sí",VLOOKUP(D881,TARIFAS!A:K,11,FALSE),0)
      )
   )
)
</f>
        <v>0</v>
      </c>
      <c r="U881" s="45">
        <f>IF(R881="",0,MAX(0,R881 - TARIFAS!G$2) * TARIFAS!F$2)
</f>
        <v>0</v>
      </c>
      <c r="V881" s="45">
        <f>+T881*TARIFAS!$K$2</f>
        <v>0</v>
      </c>
      <c r="W881" s="45">
        <f t="shared" si="2"/>
        <v>0</v>
      </c>
      <c r="X881" s="45">
        <f t="shared" si="3"/>
        <v>0</v>
      </c>
      <c r="Y881" s="45">
        <f t="shared" si="4"/>
        <v>0</v>
      </c>
      <c r="Z881" s="42" t="str">
        <f>CONFERENCIAS!AB881</f>
        <v/>
      </c>
      <c r="AA881" s="42" t="str">
        <f>CONFERENCIAS!AC881</f>
        <v/>
      </c>
      <c r="AB881" s="47" t="str">
        <f t="shared" si="5"/>
        <v/>
      </c>
      <c r="AC881" s="9" t="str">
        <f t="shared" si="6"/>
        <v/>
      </c>
    </row>
    <row r="882">
      <c r="A882" s="42" t="str">
        <f>CONFERENCIAS!A882</f>
        <v/>
      </c>
      <c r="D882" s="42" t="str">
        <f>CONFERENCIAS!C882</f>
        <v/>
      </c>
      <c r="E882" s="42" t="str">
        <f>CONFERENCIAS!K882</f>
        <v/>
      </c>
      <c r="F882" s="49" t="str">
        <f>CONFERENCIAS!J882</f>
        <v/>
      </c>
      <c r="G882" s="42" t="str">
        <f>CONFERENCIAS!O882</f>
        <v/>
      </c>
      <c r="H882" s="42" t="str">
        <f>CONFERENCIAS!X882</f>
        <v/>
      </c>
      <c r="I882" s="42" t="str">
        <f>CONFERENCIAS!AA882</f>
        <v/>
      </c>
      <c r="J882" s="44" t="str">
        <f>CONFERENCIAS!P882</f>
        <v/>
      </c>
      <c r="K882" s="45" t="str">
        <f>CONFERENCIAS!R882</f>
        <v/>
      </c>
      <c r="L882" s="45">
        <f>IF(D882="",0,
 IF(E882=1,
   IF(H882="Presencial",
      VLOOKUP(D882,TARIFAS!A:K,3,FALSE) + IF(I882="Sí",VLOOKUP(D882,TARIFAS!A:K,5,FALSE),0),
      VLOOKUP(D882,TARIFAS!A:K,4,FALSE) + IF(I882="Sí",VLOOKUP(D882,TARIFAS!A:K,5,FALSE),0)
   ),
   IF(H882="Presencial",
      VLOOKUP(D882,TARIFAS!A:K,9,FALSE) + IF(I882="Sí",VLOOKUP(D882,TARIFAS!A:K,11,FALSE),0),
      VLOOKUP(D882,TARIFAS!A:K,10,FALSE) + IF(I882="Sí",VLOOKUP(D882,TARIFAS!A:K,11,FALSE),0)
   )
 )
)
</f>
        <v>0</v>
      </c>
      <c r="M882" s="45">
        <f>IF(J882="",0,MAX(0,J882 - TARIFAS!G$2) * TARIFAS!F$2)
</f>
        <v>0</v>
      </c>
      <c r="N882" s="45">
        <f>+L882*TARIFAS!$K$2</f>
        <v>0</v>
      </c>
      <c r="O882" s="45">
        <f t="shared" si="1"/>
        <v>0</v>
      </c>
      <c r="P882" s="45">
        <f>+M882+O882+K882+(+I882-(I882*TARIFAS!$K$2))</f>
        <v>0</v>
      </c>
      <c r="Q882" s="42" t="str">
        <f>CONFERENCIAS!T882</f>
        <v/>
      </c>
      <c r="R882" s="45" t="str">
        <f>CONFERENCIAS!U882</f>
        <v/>
      </c>
      <c r="S882" s="45" t="str">
        <f>CONFERENCIAS!W882</f>
        <v/>
      </c>
      <c r="T882" s="48">
        <f>IF(Q882="",0,
   IF(E882=1,
      IF(H882="Presencial",
         VLOOKUP(D882,TARIFAS!A:K,3,FALSE) + IF(I882="Sí",VLOOKUP(D882,TARIFAS!A:K,5,FALSE),0),
         VLOOKUP(D882,TARIFAS!A:K,4,FALSE) + IF(I882="Sí",VLOOKUP(D882,TARIFAS!A:K,5,FALSE),0)
      ),
      IF(H882="Presencial",
         VLOOKUP(D882,TARIFAS!A:K,9,FALSE) + IF(I882="Sí",VLOOKUP(D882,TARIFAS!A:K,11,FALSE),0),
         VLOOKUP(D882,TARIFAS!A:K,10,FALSE) + IF(I882="Sí",VLOOKUP(D882,TARIFAS!A:K,11,FALSE),0)
      )
   )
)
</f>
        <v>0</v>
      </c>
      <c r="U882" s="45">
        <f>IF(R882="",0,MAX(0,R882 - TARIFAS!G$2) * TARIFAS!F$2)
</f>
        <v>0</v>
      </c>
      <c r="V882" s="45">
        <f>+T882*TARIFAS!$K$2</f>
        <v>0</v>
      </c>
      <c r="W882" s="45">
        <f t="shared" si="2"/>
        <v>0</v>
      </c>
      <c r="X882" s="45">
        <f t="shared" si="3"/>
        <v>0</v>
      </c>
      <c r="Y882" s="45">
        <f t="shared" si="4"/>
        <v>0</v>
      </c>
      <c r="Z882" s="42" t="str">
        <f>CONFERENCIAS!AB882</f>
        <v/>
      </c>
      <c r="AA882" s="42" t="str">
        <f>CONFERENCIAS!AC882</f>
        <v/>
      </c>
      <c r="AB882" s="47" t="str">
        <f t="shared" si="5"/>
        <v/>
      </c>
      <c r="AC882" s="9" t="str">
        <f t="shared" si="6"/>
        <v/>
      </c>
    </row>
    <row r="883">
      <c r="A883" s="42" t="str">
        <f>CONFERENCIAS!A883</f>
        <v/>
      </c>
      <c r="D883" s="42" t="str">
        <f>CONFERENCIAS!C883</f>
        <v/>
      </c>
      <c r="E883" s="42" t="str">
        <f>CONFERENCIAS!K883</f>
        <v/>
      </c>
      <c r="F883" s="49" t="str">
        <f>CONFERENCIAS!J883</f>
        <v/>
      </c>
      <c r="G883" s="42" t="str">
        <f>CONFERENCIAS!O883</f>
        <v/>
      </c>
      <c r="H883" s="42" t="str">
        <f>CONFERENCIAS!X883</f>
        <v/>
      </c>
      <c r="I883" s="42" t="str">
        <f>CONFERENCIAS!AA883</f>
        <v/>
      </c>
      <c r="J883" s="44" t="str">
        <f>CONFERENCIAS!P883</f>
        <v/>
      </c>
      <c r="K883" s="45" t="str">
        <f>CONFERENCIAS!R883</f>
        <v/>
      </c>
      <c r="L883" s="45">
        <f>IF(D883="",0,
 IF(E883=1,
   IF(H883="Presencial",
      VLOOKUP(D883,TARIFAS!A:K,3,FALSE) + IF(I883="Sí",VLOOKUP(D883,TARIFAS!A:K,5,FALSE),0),
      VLOOKUP(D883,TARIFAS!A:K,4,FALSE) + IF(I883="Sí",VLOOKUP(D883,TARIFAS!A:K,5,FALSE),0)
   ),
   IF(H883="Presencial",
      VLOOKUP(D883,TARIFAS!A:K,9,FALSE) + IF(I883="Sí",VLOOKUP(D883,TARIFAS!A:K,11,FALSE),0),
      VLOOKUP(D883,TARIFAS!A:K,10,FALSE) + IF(I883="Sí",VLOOKUP(D883,TARIFAS!A:K,11,FALSE),0)
   )
 )
)
</f>
        <v>0</v>
      </c>
      <c r="M883" s="45">
        <f>IF(J883="",0,MAX(0,J883 - TARIFAS!G$2) * TARIFAS!F$2)
</f>
        <v>0</v>
      </c>
      <c r="N883" s="45">
        <f>+L883*TARIFAS!$K$2</f>
        <v>0</v>
      </c>
      <c r="O883" s="45">
        <f t="shared" si="1"/>
        <v>0</v>
      </c>
      <c r="P883" s="45">
        <f>+M883+O883+K883+(+I883-(I883*TARIFAS!$K$2))</f>
        <v>0</v>
      </c>
      <c r="Q883" s="42" t="str">
        <f>CONFERENCIAS!T883</f>
        <v/>
      </c>
      <c r="R883" s="45" t="str">
        <f>CONFERENCIAS!U883</f>
        <v/>
      </c>
      <c r="S883" s="45" t="str">
        <f>CONFERENCIAS!W883</f>
        <v/>
      </c>
      <c r="T883" s="48">
        <f>IF(Q883="",0,
   IF(E883=1,
      IF(H883="Presencial",
         VLOOKUP(D883,TARIFAS!A:K,3,FALSE) + IF(I883="Sí",VLOOKUP(D883,TARIFAS!A:K,5,FALSE),0),
         VLOOKUP(D883,TARIFAS!A:K,4,FALSE) + IF(I883="Sí",VLOOKUP(D883,TARIFAS!A:K,5,FALSE),0)
      ),
      IF(H883="Presencial",
         VLOOKUP(D883,TARIFAS!A:K,9,FALSE) + IF(I883="Sí",VLOOKUP(D883,TARIFAS!A:K,11,FALSE),0),
         VLOOKUP(D883,TARIFAS!A:K,10,FALSE) + IF(I883="Sí",VLOOKUP(D883,TARIFAS!A:K,11,FALSE),0)
      )
   )
)
</f>
        <v>0</v>
      </c>
      <c r="U883" s="45">
        <f>IF(R883="",0,MAX(0,R883 - TARIFAS!G$2) * TARIFAS!F$2)
</f>
        <v>0</v>
      </c>
      <c r="V883" s="45">
        <f>+T883*TARIFAS!$K$2</f>
        <v>0</v>
      </c>
      <c r="W883" s="45">
        <f t="shared" si="2"/>
        <v>0</v>
      </c>
      <c r="X883" s="45">
        <f t="shared" si="3"/>
        <v>0</v>
      </c>
      <c r="Y883" s="45">
        <f t="shared" si="4"/>
        <v>0</v>
      </c>
      <c r="Z883" s="42" t="str">
        <f>CONFERENCIAS!AB883</f>
        <v/>
      </c>
      <c r="AA883" s="42" t="str">
        <f>CONFERENCIAS!AC883</f>
        <v/>
      </c>
      <c r="AB883" s="47" t="str">
        <f t="shared" si="5"/>
        <v/>
      </c>
      <c r="AC883" s="9" t="str">
        <f t="shared" si="6"/>
        <v/>
      </c>
    </row>
    <row r="884">
      <c r="A884" s="42" t="str">
        <f>CONFERENCIAS!A884</f>
        <v/>
      </c>
      <c r="D884" s="42" t="str">
        <f>CONFERENCIAS!C884</f>
        <v/>
      </c>
      <c r="E884" s="42" t="str">
        <f>CONFERENCIAS!K884</f>
        <v/>
      </c>
      <c r="F884" s="49" t="str">
        <f>CONFERENCIAS!J884</f>
        <v/>
      </c>
      <c r="G884" s="42" t="str">
        <f>CONFERENCIAS!O884</f>
        <v/>
      </c>
      <c r="H884" s="42" t="str">
        <f>CONFERENCIAS!X884</f>
        <v/>
      </c>
      <c r="I884" s="42" t="str">
        <f>CONFERENCIAS!AA884</f>
        <v/>
      </c>
      <c r="J884" s="44" t="str">
        <f>CONFERENCIAS!P884</f>
        <v/>
      </c>
      <c r="K884" s="45" t="str">
        <f>CONFERENCIAS!R884</f>
        <v/>
      </c>
      <c r="L884" s="45">
        <f>IF(D884="",0,
 IF(E884=1,
   IF(H884="Presencial",
      VLOOKUP(D884,TARIFAS!A:K,3,FALSE) + IF(I884="Sí",VLOOKUP(D884,TARIFAS!A:K,5,FALSE),0),
      VLOOKUP(D884,TARIFAS!A:K,4,FALSE) + IF(I884="Sí",VLOOKUP(D884,TARIFAS!A:K,5,FALSE),0)
   ),
   IF(H884="Presencial",
      VLOOKUP(D884,TARIFAS!A:K,9,FALSE) + IF(I884="Sí",VLOOKUP(D884,TARIFAS!A:K,11,FALSE),0),
      VLOOKUP(D884,TARIFAS!A:K,10,FALSE) + IF(I884="Sí",VLOOKUP(D884,TARIFAS!A:K,11,FALSE),0)
   )
 )
)
</f>
        <v>0</v>
      </c>
      <c r="M884" s="45">
        <f>IF(J884="",0,MAX(0,J884 - TARIFAS!G$2) * TARIFAS!F$2)
</f>
        <v>0</v>
      </c>
      <c r="N884" s="45">
        <f>+L884*TARIFAS!$K$2</f>
        <v>0</v>
      </c>
      <c r="O884" s="45">
        <f t="shared" si="1"/>
        <v>0</v>
      </c>
      <c r="P884" s="45">
        <f>+M884+O884+K884+(+I884-(I884*TARIFAS!$K$2))</f>
        <v>0</v>
      </c>
      <c r="Q884" s="42" t="str">
        <f>CONFERENCIAS!T884</f>
        <v/>
      </c>
      <c r="R884" s="45" t="str">
        <f>CONFERENCIAS!U884</f>
        <v/>
      </c>
      <c r="S884" s="45" t="str">
        <f>CONFERENCIAS!W884</f>
        <v/>
      </c>
      <c r="T884" s="48">
        <f>IF(Q884="",0,
   IF(E884=1,
      IF(H884="Presencial",
         VLOOKUP(D884,TARIFAS!A:K,3,FALSE) + IF(I884="Sí",VLOOKUP(D884,TARIFAS!A:K,5,FALSE),0),
         VLOOKUP(D884,TARIFAS!A:K,4,FALSE) + IF(I884="Sí",VLOOKUP(D884,TARIFAS!A:K,5,FALSE),0)
      ),
      IF(H884="Presencial",
         VLOOKUP(D884,TARIFAS!A:K,9,FALSE) + IF(I884="Sí",VLOOKUP(D884,TARIFAS!A:K,11,FALSE),0),
         VLOOKUP(D884,TARIFAS!A:K,10,FALSE) + IF(I884="Sí",VLOOKUP(D884,TARIFAS!A:K,11,FALSE),0)
      )
   )
)
</f>
        <v>0</v>
      </c>
      <c r="U884" s="45">
        <f>IF(R884="",0,MAX(0,R884 - TARIFAS!G$2) * TARIFAS!F$2)
</f>
        <v>0</v>
      </c>
      <c r="V884" s="45">
        <f>+T884*TARIFAS!$K$2</f>
        <v>0</v>
      </c>
      <c r="W884" s="45">
        <f t="shared" si="2"/>
        <v>0</v>
      </c>
      <c r="X884" s="45">
        <f t="shared" si="3"/>
        <v>0</v>
      </c>
      <c r="Y884" s="45">
        <f t="shared" si="4"/>
        <v>0</v>
      </c>
      <c r="Z884" s="42" t="str">
        <f>CONFERENCIAS!AB884</f>
        <v/>
      </c>
      <c r="AA884" s="42" t="str">
        <f>CONFERENCIAS!AC884</f>
        <v/>
      </c>
      <c r="AB884" s="47" t="str">
        <f t="shared" si="5"/>
        <v/>
      </c>
      <c r="AC884" s="9" t="str">
        <f t="shared" si="6"/>
        <v/>
      </c>
    </row>
    <row r="885">
      <c r="A885" s="42" t="str">
        <f>CONFERENCIAS!A885</f>
        <v/>
      </c>
      <c r="D885" s="42" t="str">
        <f>CONFERENCIAS!C885</f>
        <v/>
      </c>
      <c r="E885" s="42" t="str">
        <f>CONFERENCIAS!K885</f>
        <v/>
      </c>
      <c r="F885" s="49" t="str">
        <f>CONFERENCIAS!J885</f>
        <v/>
      </c>
      <c r="G885" s="42" t="str">
        <f>CONFERENCIAS!O885</f>
        <v/>
      </c>
      <c r="H885" s="42" t="str">
        <f>CONFERENCIAS!X885</f>
        <v/>
      </c>
      <c r="I885" s="42" t="str">
        <f>CONFERENCIAS!AA885</f>
        <v/>
      </c>
      <c r="J885" s="44" t="str">
        <f>CONFERENCIAS!P885</f>
        <v/>
      </c>
      <c r="K885" s="45" t="str">
        <f>CONFERENCIAS!R885</f>
        <v/>
      </c>
      <c r="L885" s="45">
        <f>IF(D885="",0,
 IF(E885=1,
   IF(H885="Presencial",
      VLOOKUP(D885,TARIFAS!A:K,3,FALSE) + IF(I885="Sí",VLOOKUP(D885,TARIFAS!A:K,5,FALSE),0),
      VLOOKUP(D885,TARIFAS!A:K,4,FALSE) + IF(I885="Sí",VLOOKUP(D885,TARIFAS!A:K,5,FALSE),0)
   ),
   IF(H885="Presencial",
      VLOOKUP(D885,TARIFAS!A:K,9,FALSE) + IF(I885="Sí",VLOOKUP(D885,TARIFAS!A:K,11,FALSE),0),
      VLOOKUP(D885,TARIFAS!A:K,10,FALSE) + IF(I885="Sí",VLOOKUP(D885,TARIFAS!A:K,11,FALSE),0)
   )
 )
)
</f>
        <v>0</v>
      </c>
      <c r="M885" s="45">
        <f>IF(J885="",0,MAX(0,J885 - TARIFAS!G$2) * TARIFAS!F$2)
</f>
        <v>0</v>
      </c>
      <c r="N885" s="45">
        <f>+L885*TARIFAS!$K$2</f>
        <v>0</v>
      </c>
      <c r="O885" s="45">
        <f t="shared" si="1"/>
        <v>0</v>
      </c>
      <c r="P885" s="45">
        <f>+M885+O885+K885+(+I885-(I885*TARIFAS!$K$2))</f>
        <v>0</v>
      </c>
      <c r="Q885" s="42" t="str">
        <f>CONFERENCIAS!T885</f>
        <v/>
      </c>
      <c r="R885" s="45" t="str">
        <f>CONFERENCIAS!U885</f>
        <v/>
      </c>
      <c r="S885" s="45" t="str">
        <f>CONFERENCIAS!W885</f>
        <v/>
      </c>
      <c r="T885" s="48">
        <f>IF(Q885="",0,
   IF(E885=1,
      IF(H885="Presencial",
         VLOOKUP(D885,TARIFAS!A:K,3,FALSE) + IF(I885="Sí",VLOOKUP(D885,TARIFAS!A:K,5,FALSE),0),
         VLOOKUP(D885,TARIFAS!A:K,4,FALSE) + IF(I885="Sí",VLOOKUP(D885,TARIFAS!A:K,5,FALSE),0)
      ),
      IF(H885="Presencial",
         VLOOKUP(D885,TARIFAS!A:K,9,FALSE) + IF(I885="Sí",VLOOKUP(D885,TARIFAS!A:K,11,FALSE),0),
         VLOOKUP(D885,TARIFAS!A:K,10,FALSE) + IF(I885="Sí",VLOOKUP(D885,TARIFAS!A:K,11,FALSE),0)
      )
   )
)
</f>
        <v>0</v>
      </c>
      <c r="U885" s="45">
        <f>IF(R885="",0,MAX(0,R885 - TARIFAS!G$2) * TARIFAS!F$2)
</f>
        <v>0</v>
      </c>
      <c r="V885" s="45">
        <f>+T885*TARIFAS!$K$2</f>
        <v>0</v>
      </c>
      <c r="W885" s="45">
        <f t="shared" si="2"/>
        <v>0</v>
      </c>
      <c r="X885" s="45">
        <f t="shared" si="3"/>
        <v>0</v>
      </c>
      <c r="Y885" s="45">
        <f t="shared" si="4"/>
        <v>0</v>
      </c>
      <c r="Z885" s="42" t="str">
        <f>CONFERENCIAS!AB885</f>
        <v/>
      </c>
      <c r="AA885" s="42" t="str">
        <f>CONFERENCIAS!AC885</f>
        <v/>
      </c>
      <c r="AB885" s="47" t="str">
        <f t="shared" si="5"/>
        <v/>
      </c>
      <c r="AC885" s="9" t="str">
        <f t="shared" si="6"/>
        <v/>
      </c>
    </row>
    <row r="886">
      <c r="A886" s="42" t="str">
        <f>CONFERENCIAS!A886</f>
        <v/>
      </c>
      <c r="D886" s="42" t="str">
        <f>CONFERENCIAS!C886</f>
        <v/>
      </c>
      <c r="E886" s="42" t="str">
        <f>CONFERENCIAS!K886</f>
        <v/>
      </c>
      <c r="F886" s="49" t="str">
        <f>CONFERENCIAS!J886</f>
        <v/>
      </c>
      <c r="G886" s="42" t="str">
        <f>CONFERENCIAS!O886</f>
        <v/>
      </c>
      <c r="H886" s="42" t="str">
        <f>CONFERENCIAS!X886</f>
        <v/>
      </c>
      <c r="I886" s="42" t="str">
        <f>CONFERENCIAS!AA886</f>
        <v/>
      </c>
      <c r="J886" s="44" t="str">
        <f>CONFERENCIAS!P886</f>
        <v/>
      </c>
      <c r="K886" s="45" t="str">
        <f>CONFERENCIAS!R886</f>
        <v/>
      </c>
      <c r="L886" s="45">
        <f>IF(D886="",0,
 IF(E886=1,
   IF(H886="Presencial",
      VLOOKUP(D886,TARIFAS!A:K,3,FALSE) + IF(I886="Sí",VLOOKUP(D886,TARIFAS!A:K,5,FALSE),0),
      VLOOKUP(D886,TARIFAS!A:K,4,FALSE) + IF(I886="Sí",VLOOKUP(D886,TARIFAS!A:K,5,FALSE),0)
   ),
   IF(H886="Presencial",
      VLOOKUP(D886,TARIFAS!A:K,9,FALSE) + IF(I886="Sí",VLOOKUP(D886,TARIFAS!A:K,11,FALSE),0),
      VLOOKUP(D886,TARIFAS!A:K,10,FALSE) + IF(I886="Sí",VLOOKUP(D886,TARIFAS!A:K,11,FALSE),0)
   )
 )
)
</f>
        <v>0</v>
      </c>
      <c r="M886" s="45">
        <f>IF(J886="",0,MAX(0,J886 - TARIFAS!G$2) * TARIFAS!F$2)
</f>
        <v>0</v>
      </c>
      <c r="N886" s="45">
        <f>+L886*TARIFAS!$K$2</f>
        <v>0</v>
      </c>
      <c r="O886" s="45">
        <f t="shared" si="1"/>
        <v>0</v>
      </c>
      <c r="P886" s="45">
        <f>+M886+O886+K886+(+I886-(I886*TARIFAS!$K$2))</f>
        <v>0</v>
      </c>
      <c r="Q886" s="42" t="str">
        <f>CONFERENCIAS!T886</f>
        <v/>
      </c>
      <c r="R886" s="45" t="str">
        <f>CONFERENCIAS!U886</f>
        <v/>
      </c>
      <c r="S886" s="45" t="str">
        <f>CONFERENCIAS!W886</f>
        <v/>
      </c>
      <c r="T886" s="48">
        <f>IF(Q886="",0,
   IF(E886=1,
      IF(H886="Presencial",
         VLOOKUP(D886,TARIFAS!A:K,3,FALSE) + IF(I886="Sí",VLOOKUP(D886,TARIFAS!A:K,5,FALSE),0),
         VLOOKUP(D886,TARIFAS!A:K,4,FALSE) + IF(I886="Sí",VLOOKUP(D886,TARIFAS!A:K,5,FALSE),0)
      ),
      IF(H886="Presencial",
         VLOOKUP(D886,TARIFAS!A:K,9,FALSE) + IF(I886="Sí",VLOOKUP(D886,TARIFAS!A:K,11,FALSE),0),
         VLOOKUP(D886,TARIFAS!A:K,10,FALSE) + IF(I886="Sí",VLOOKUP(D886,TARIFAS!A:K,11,FALSE),0)
      )
   )
)
</f>
        <v>0</v>
      </c>
      <c r="U886" s="45">
        <f>IF(R886="",0,MAX(0,R886 - TARIFAS!G$2) * TARIFAS!F$2)
</f>
        <v>0</v>
      </c>
      <c r="V886" s="45">
        <f>+T886*TARIFAS!$K$2</f>
        <v>0</v>
      </c>
      <c r="W886" s="45">
        <f t="shared" si="2"/>
        <v>0</v>
      </c>
      <c r="X886" s="45">
        <f t="shared" si="3"/>
        <v>0</v>
      </c>
      <c r="Y886" s="45">
        <f t="shared" si="4"/>
        <v>0</v>
      </c>
      <c r="Z886" s="42" t="str">
        <f>CONFERENCIAS!AB886</f>
        <v/>
      </c>
      <c r="AA886" s="42" t="str">
        <f>CONFERENCIAS!AC886</f>
        <v/>
      </c>
      <c r="AB886" s="47" t="str">
        <f t="shared" si="5"/>
        <v/>
      </c>
      <c r="AC886" s="9" t="str">
        <f t="shared" si="6"/>
        <v/>
      </c>
    </row>
    <row r="887">
      <c r="A887" s="42" t="str">
        <f>CONFERENCIAS!A887</f>
        <v/>
      </c>
      <c r="D887" s="42" t="str">
        <f>CONFERENCIAS!C887</f>
        <v/>
      </c>
      <c r="E887" s="42" t="str">
        <f>CONFERENCIAS!K887</f>
        <v/>
      </c>
      <c r="F887" s="49" t="str">
        <f>CONFERENCIAS!J887</f>
        <v/>
      </c>
      <c r="G887" s="42" t="str">
        <f>CONFERENCIAS!O887</f>
        <v/>
      </c>
      <c r="H887" s="42" t="str">
        <f>CONFERENCIAS!X887</f>
        <v/>
      </c>
      <c r="I887" s="42" t="str">
        <f>CONFERENCIAS!AA887</f>
        <v/>
      </c>
      <c r="J887" s="44" t="str">
        <f>CONFERENCIAS!P887</f>
        <v/>
      </c>
      <c r="K887" s="45" t="str">
        <f>CONFERENCIAS!R887</f>
        <v/>
      </c>
      <c r="L887" s="45">
        <f>IF(D887="",0,
 IF(E887=1,
   IF(H887="Presencial",
      VLOOKUP(D887,TARIFAS!A:K,3,FALSE) + IF(I887="Sí",VLOOKUP(D887,TARIFAS!A:K,5,FALSE),0),
      VLOOKUP(D887,TARIFAS!A:K,4,FALSE) + IF(I887="Sí",VLOOKUP(D887,TARIFAS!A:K,5,FALSE),0)
   ),
   IF(H887="Presencial",
      VLOOKUP(D887,TARIFAS!A:K,9,FALSE) + IF(I887="Sí",VLOOKUP(D887,TARIFAS!A:K,11,FALSE),0),
      VLOOKUP(D887,TARIFAS!A:K,10,FALSE) + IF(I887="Sí",VLOOKUP(D887,TARIFAS!A:K,11,FALSE),0)
   )
 )
)
</f>
        <v>0</v>
      </c>
      <c r="M887" s="45">
        <f>IF(J887="",0,MAX(0,J887 - TARIFAS!G$2) * TARIFAS!F$2)
</f>
        <v>0</v>
      </c>
      <c r="N887" s="45">
        <f>+L887*TARIFAS!$K$2</f>
        <v>0</v>
      </c>
      <c r="O887" s="45">
        <f t="shared" si="1"/>
        <v>0</v>
      </c>
      <c r="P887" s="45">
        <f>+M887+O887+K887+(+I887-(I887*TARIFAS!$K$2))</f>
        <v>0</v>
      </c>
      <c r="Q887" s="42" t="str">
        <f>CONFERENCIAS!T887</f>
        <v/>
      </c>
      <c r="R887" s="45" t="str">
        <f>CONFERENCIAS!U887</f>
        <v/>
      </c>
      <c r="S887" s="45" t="str">
        <f>CONFERENCIAS!W887</f>
        <v/>
      </c>
      <c r="T887" s="48">
        <f>IF(Q887="",0,
   IF(E887=1,
      IF(H887="Presencial",
         VLOOKUP(D887,TARIFAS!A:K,3,FALSE) + IF(I887="Sí",VLOOKUP(D887,TARIFAS!A:K,5,FALSE),0),
         VLOOKUP(D887,TARIFAS!A:K,4,FALSE) + IF(I887="Sí",VLOOKUP(D887,TARIFAS!A:K,5,FALSE),0)
      ),
      IF(H887="Presencial",
         VLOOKUP(D887,TARIFAS!A:K,9,FALSE) + IF(I887="Sí",VLOOKUP(D887,TARIFAS!A:K,11,FALSE),0),
         VLOOKUP(D887,TARIFAS!A:K,10,FALSE) + IF(I887="Sí",VLOOKUP(D887,TARIFAS!A:K,11,FALSE),0)
      )
   )
)
</f>
        <v>0</v>
      </c>
      <c r="U887" s="45">
        <f>IF(R887="",0,MAX(0,R887 - TARIFAS!G$2) * TARIFAS!F$2)
</f>
        <v>0</v>
      </c>
      <c r="V887" s="45">
        <f>+T887*TARIFAS!$K$2</f>
        <v>0</v>
      </c>
      <c r="W887" s="45">
        <f t="shared" si="2"/>
        <v>0</v>
      </c>
      <c r="X887" s="45">
        <f t="shared" si="3"/>
        <v>0</v>
      </c>
      <c r="Y887" s="45">
        <f t="shared" si="4"/>
        <v>0</v>
      </c>
      <c r="Z887" s="42" t="str">
        <f>CONFERENCIAS!AB887</f>
        <v/>
      </c>
      <c r="AA887" s="42" t="str">
        <f>CONFERENCIAS!AC887</f>
        <v/>
      </c>
      <c r="AB887" s="47" t="str">
        <f t="shared" si="5"/>
        <v/>
      </c>
      <c r="AC887" s="9" t="str">
        <f t="shared" si="6"/>
        <v/>
      </c>
    </row>
    <row r="888">
      <c r="A888" s="42" t="str">
        <f>CONFERENCIAS!A888</f>
        <v/>
      </c>
      <c r="D888" s="42" t="str">
        <f>CONFERENCIAS!C888</f>
        <v/>
      </c>
      <c r="E888" s="42" t="str">
        <f>CONFERENCIAS!K888</f>
        <v/>
      </c>
      <c r="F888" s="49" t="str">
        <f>CONFERENCIAS!J888</f>
        <v/>
      </c>
      <c r="G888" s="42" t="str">
        <f>CONFERENCIAS!O888</f>
        <v/>
      </c>
      <c r="H888" s="42" t="str">
        <f>CONFERENCIAS!X888</f>
        <v/>
      </c>
      <c r="I888" s="42" t="str">
        <f>CONFERENCIAS!AA888</f>
        <v/>
      </c>
      <c r="J888" s="44" t="str">
        <f>CONFERENCIAS!P888</f>
        <v/>
      </c>
      <c r="K888" s="45" t="str">
        <f>CONFERENCIAS!R888</f>
        <v/>
      </c>
      <c r="L888" s="45">
        <f>IF(D888="",0,
 IF(E888=1,
   IF(H888="Presencial",
      VLOOKUP(D888,TARIFAS!A:K,3,FALSE) + IF(I888="Sí",VLOOKUP(D888,TARIFAS!A:K,5,FALSE),0),
      VLOOKUP(D888,TARIFAS!A:K,4,FALSE) + IF(I888="Sí",VLOOKUP(D888,TARIFAS!A:K,5,FALSE),0)
   ),
   IF(H888="Presencial",
      VLOOKUP(D888,TARIFAS!A:K,9,FALSE) + IF(I888="Sí",VLOOKUP(D888,TARIFAS!A:K,11,FALSE),0),
      VLOOKUP(D888,TARIFAS!A:K,10,FALSE) + IF(I888="Sí",VLOOKUP(D888,TARIFAS!A:K,11,FALSE),0)
   )
 )
)
</f>
        <v>0</v>
      </c>
      <c r="M888" s="45">
        <f>IF(J888="",0,MAX(0,J888 - TARIFAS!G$2) * TARIFAS!F$2)
</f>
        <v>0</v>
      </c>
      <c r="N888" s="45">
        <f>+L888*TARIFAS!$K$2</f>
        <v>0</v>
      </c>
      <c r="O888" s="45">
        <f t="shared" si="1"/>
        <v>0</v>
      </c>
      <c r="P888" s="45">
        <f>+M888+O888+K888+(+I888-(I888*TARIFAS!$K$2))</f>
        <v>0</v>
      </c>
      <c r="Q888" s="42" t="str">
        <f>CONFERENCIAS!T888</f>
        <v/>
      </c>
      <c r="R888" s="45" t="str">
        <f>CONFERENCIAS!U888</f>
        <v/>
      </c>
      <c r="S888" s="45" t="str">
        <f>CONFERENCIAS!W888</f>
        <v/>
      </c>
      <c r="T888" s="48">
        <f>IF(Q888="",0,
   IF(E888=1,
      IF(H888="Presencial",
         VLOOKUP(D888,TARIFAS!A:K,3,FALSE) + IF(I888="Sí",VLOOKUP(D888,TARIFAS!A:K,5,FALSE),0),
         VLOOKUP(D888,TARIFAS!A:K,4,FALSE) + IF(I888="Sí",VLOOKUP(D888,TARIFAS!A:K,5,FALSE),0)
      ),
      IF(H888="Presencial",
         VLOOKUP(D888,TARIFAS!A:K,9,FALSE) + IF(I888="Sí",VLOOKUP(D888,TARIFAS!A:K,11,FALSE),0),
         VLOOKUP(D888,TARIFAS!A:K,10,FALSE) + IF(I888="Sí",VLOOKUP(D888,TARIFAS!A:K,11,FALSE),0)
      )
   )
)
</f>
        <v>0</v>
      </c>
      <c r="U888" s="45">
        <f>IF(R888="",0,MAX(0,R888 - TARIFAS!G$2) * TARIFAS!F$2)
</f>
        <v>0</v>
      </c>
      <c r="V888" s="45">
        <f>+T888*TARIFAS!$K$2</f>
        <v>0</v>
      </c>
      <c r="W888" s="45">
        <f t="shared" si="2"/>
        <v>0</v>
      </c>
      <c r="X888" s="45">
        <f t="shared" si="3"/>
        <v>0</v>
      </c>
      <c r="Y888" s="45">
        <f t="shared" si="4"/>
        <v>0</v>
      </c>
      <c r="Z888" s="42" t="str">
        <f>CONFERENCIAS!AB888</f>
        <v/>
      </c>
      <c r="AA888" s="42" t="str">
        <f>CONFERENCIAS!AC888</f>
        <v/>
      </c>
      <c r="AB888" s="47" t="str">
        <f t="shared" si="5"/>
        <v/>
      </c>
      <c r="AC888" s="9" t="str">
        <f t="shared" si="6"/>
        <v/>
      </c>
    </row>
    <row r="889">
      <c r="A889" s="42" t="str">
        <f>CONFERENCIAS!A889</f>
        <v/>
      </c>
      <c r="D889" s="42" t="str">
        <f>CONFERENCIAS!C889</f>
        <v/>
      </c>
      <c r="E889" s="42" t="str">
        <f>CONFERENCIAS!K889</f>
        <v/>
      </c>
      <c r="F889" s="49" t="str">
        <f>CONFERENCIAS!J889</f>
        <v/>
      </c>
      <c r="G889" s="42" t="str">
        <f>CONFERENCIAS!O889</f>
        <v/>
      </c>
      <c r="H889" s="42" t="str">
        <f>CONFERENCIAS!X889</f>
        <v/>
      </c>
      <c r="I889" s="42" t="str">
        <f>CONFERENCIAS!AA889</f>
        <v/>
      </c>
      <c r="J889" s="44" t="str">
        <f>CONFERENCIAS!P889</f>
        <v/>
      </c>
      <c r="K889" s="45" t="str">
        <f>CONFERENCIAS!R889</f>
        <v/>
      </c>
      <c r="L889" s="45">
        <f>IF(D889="",0,
 IF(E889=1,
   IF(H889="Presencial",
      VLOOKUP(D889,TARIFAS!A:K,3,FALSE) + IF(I889="Sí",VLOOKUP(D889,TARIFAS!A:K,5,FALSE),0),
      VLOOKUP(D889,TARIFAS!A:K,4,FALSE) + IF(I889="Sí",VLOOKUP(D889,TARIFAS!A:K,5,FALSE),0)
   ),
   IF(H889="Presencial",
      VLOOKUP(D889,TARIFAS!A:K,9,FALSE) + IF(I889="Sí",VLOOKUP(D889,TARIFAS!A:K,11,FALSE),0),
      VLOOKUP(D889,TARIFAS!A:K,10,FALSE) + IF(I889="Sí",VLOOKUP(D889,TARIFAS!A:K,11,FALSE),0)
   )
 )
)
</f>
        <v>0</v>
      </c>
      <c r="M889" s="45">
        <f>IF(J889="",0,MAX(0,J889 - TARIFAS!G$2) * TARIFAS!F$2)
</f>
        <v>0</v>
      </c>
      <c r="N889" s="45">
        <f>+L889*TARIFAS!$K$2</f>
        <v>0</v>
      </c>
      <c r="O889" s="45">
        <f t="shared" si="1"/>
        <v>0</v>
      </c>
      <c r="P889" s="45">
        <f>+M889+O889+K889+(+I889-(I889*TARIFAS!$K$2))</f>
        <v>0</v>
      </c>
      <c r="Q889" s="42" t="str">
        <f>CONFERENCIAS!T889</f>
        <v/>
      </c>
      <c r="R889" s="45" t="str">
        <f>CONFERENCIAS!U889</f>
        <v/>
      </c>
      <c r="S889" s="45" t="str">
        <f>CONFERENCIAS!W889</f>
        <v/>
      </c>
      <c r="T889" s="48">
        <f>IF(Q889="",0,
   IF(E889=1,
      IF(H889="Presencial",
         VLOOKUP(D889,TARIFAS!A:K,3,FALSE) + IF(I889="Sí",VLOOKUP(D889,TARIFAS!A:K,5,FALSE),0),
         VLOOKUP(D889,TARIFAS!A:K,4,FALSE) + IF(I889="Sí",VLOOKUP(D889,TARIFAS!A:K,5,FALSE),0)
      ),
      IF(H889="Presencial",
         VLOOKUP(D889,TARIFAS!A:K,9,FALSE) + IF(I889="Sí",VLOOKUP(D889,TARIFAS!A:K,11,FALSE),0),
         VLOOKUP(D889,TARIFAS!A:K,10,FALSE) + IF(I889="Sí",VLOOKUP(D889,TARIFAS!A:K,11,FALSE),0)
      )
   )
)
</f>
        <v>0</v>
      </c>
      <c r="U889" s="45">
        <f>IF(R889="",0,MAX(0,R889 - TARIFAS!G$2) * TARIFAS!F$2)
</f>
        <v>0</v>
      </c>
      <c r="V889" s="45">
        <f>+T889*TARIFAS!$K$2</f>
        <v>0</v>
      </c>
      <c r="W889" s="45">
        <f t="shared" si="2"/>
        <v>0</v>
      </c>
      <c r="X889" s="45">
        <f t="shared" si="3"/>
        <v>0</v>
      </c>
      <c r="Y889" s="45">
        <f t="shared" si="4"/>
        <v>0</v>
      </c>
      <c r="Z889" s="42" t="str">
        <f>CONFERENCIAS!AB889</f>
        <v/>
      </c>
      <c r="AA889" s="42" t="str">
        <f>CONFERENCIAS!AC889</f>
        <v/>
      </c>
      <c r="AB889" s="47" t="str">
        <f t="shared" si="5"/>
        <v/>
      </c>
      <c r="AC889" s="9" t="str">
        <f t="shared" si="6"/>
        <v/>
      </c>
    </row>
    <row r="890">
      <c r="A890" s="42" t="str">
        <f>CONFERENCIAS!A890</f>
        <v/>
      </c>
      <c r="D890" s="42" t="str">
        <f>CONFERENCIAS!C890</f>
        <v/>
      </c>
      <c r="E890" s="42" t="str">
        <f>CONFERENCIAS!K890</f>
        <v/>
      </c>
      <c r="F890" s="49" t="str">
        <f>CONFERENCIAS!J890</f>
        <v/>
      </c>
      <c r="G890" s="42" t="str">
        <f>CONFERENCIAS!O890</f>
        <v/>
      </c>
      <c r="H890" s="42" t="str">
        <f>CONFERENCIAS!X890</f>
        <v/>
      </c>
      <c r="I890" s="42" t="str">
        <f>CONFERENCIAS!AA890</f>
        <v/>
      </c>
      <c r="J890" s="44" t="str">
        <f>CONFERENCIAS!P890</f>
        <v/>
      </c>
      <c r="K890" s="45" t="str">
        <f>CONFERENCIAS!R890</f>
        <v/>
      </c>
      <c r="L890" s="45">
        <f>IF(D890="",0,
 IF(E890=1,
   IF(H890="Presencial",
      VLOOKUP(D890,TARIFAS!A:K,3,FALSE) + IF(I890="Sí",VLOOKUP(D890,TARIFAS!A:K,5,FALSE),0),
      VLOOKUP(D890,TARIFAS!A:K,4,FALSE) + IF(I890="Sí",VLOOKUP(D890,TARIFAS!A:K,5,FALSE),0)
   ),
   IF(H890="Presencial",
      VLOOKUP(D890,TARIFAS!A:K,9,FALSE) + IF(I890="Sí",VLOOKUP(D890,TARIFAS!A:K,11,FALSE),0),
      VLOOKUP(D890,TARIFAS!A:K,10,FALSE) + IF(I890="Sí",VLOOKUP(D890,TARIFAS!A:K,11,FALSE),0)
   )
 )
)
</f>
        <v>0</v>
      </c>
      <c r="M890" s="45">
        <f>IF(J890="",0,MAX(0,J890 - TARIFAS!G$2) * TARIFAS!F$2)
</f>
        <v>0</v>
      </c>
      <c r="N890" s="45">
        <f>+L890*TARIFAS!$K$2</f>
        <v>0</v>
      </c>
      <c r="O890" s="45">
        <f t="shared" si="1"/>
        <v>0</v>
      </c>
      <c r="P890" s="45">
        <f>+M890+O890+K890+(+I890-(I890*TARIFAS!$K$2))</f>
        <v>0</v>
      </c>
      <c r="Q890" s="42" t="str">
        <f>CONFERENCIAS!T890</f>
        <v/>
      </c>
      <c r="R890" s="45" t="str">
        <f>CONFERENCIAS!U890</f>
        <v/>
      </c>
      <c r="S890" s="45" t="str">
        <f>CONFERENCIAS!W890</f>
        <v/>
      </c>
      <c r="T890" s="48">
        <f>IF(Q890="",0,
   IF(E890=1,
      IF(H890="Presencial",
         VLOOKUP(D890,TARIFAS!A:K,3,FALSE) + IF(I890="Sí",VLOOKUP(D890,TARIFAS!A:K,5,FALSE),0),
         VLOOKUP(D890,TARIFAS!A:K,4,FALSE) + IF(I890="Sí",VLOOKUP(D890,TARIFAS!A:K,5,FALSE),0)
      ),
      IF(H890="Presencial",
         VLOOKUP(D890,TARIFAS!A:K,9,FALSE) + IF(I890="Sí",VLOOKUP(D890,TARIFAS!A:K,11,FALSE),0),
         VLOOKUP(D890,TARIFAS!A:K,10,FALSE) + IF(I890="Sí",VLOOKUP(D890,TARIFAS!A:K,11,FALSE),0)
      )
   )
)
</f>
        <v>0</v>
      </c>
      <c r="U890" s="45">
        <f>IF(R890="",0,MAX(0,R890 - TARIFAS!G$2) * TARIFAS!F$2)
</f>
        <v>0</v>
      </c>
      <c r="V890" s="45">
        <f>+T890*TARIFAS!$K$2</f>
        <v>0</v>
      </c>
      <c r="W890" s="45">
        <f t="shared" si="2"/>
        <v>0</v>
      </c>
      <c r="X890" s="45">
        <f t="shared" si="3"/>
        <v>0</v>
      </c>
      <c r="Y890" s="45">
        <f t="shared" si="4"/>
        <v>0</v>
      </c>
      <c r="Z890" s="42" t="str">
        <f>CONFERENCIAS!AB890</f>
        <v/>
      </c>
      <c r="AA890" s="42" t="str">
        <f>CONFERENCIAS!AC890</f>
        <v/>
      </c>
      <c r="AB890" s="47" t="str">
        <f t="shared" si="5"/>
        <v/>
      </c>
      <c r="AC890" s="9" t="str">
        <f t="shared" si="6"/>
        <v/>
      </c>
    </row>
    <row r="891">
      <c r="A891" s="42" t="str">
        <f>CONFERENCIAS!A891</f>
        <v/>
      </c>
      <c r="D891" s="42" t="str">
        <f>CONFERENCIAS!C891</f>
        <v/>
      </c>
      <c r="E891" s="42" t="str">
        <f>CONFERENCIAS!K891</f>
        <v/>
      </c>
      <c r="F891" s="49" t="str">
        <f>CONFERENCIAS!J891</f>
        <v/>
      </c>
      <c r="G891" s="42" t="str">
        <f>CONFERENCIAS!O891</f>
        <v/>
      </c>
      <c r="H891" s="42" t="str">
        <f>CONFERENCIAS!X891</f>
        <v/>
      </c>
      <c r="I891" s="42" t="str">
        <f>CONFERENCIAS!AA891</f>
        <v/>
      </c>
      <c r="J891" s="44" t="str">
        <f>CONFERENCIAS!P891</f>
        <v/>
      </c>
      <c r="K891" s="45" t="str">
        <f>CONFERENCIAS!R891</f>
        <v/>
      </c>
      <c r="L891" s="45">
        <f>IF(D891="",0,
 IF(E891=1,
   IF(H891="Presencial",
      VLOOKUP(D891,TARIFAS!A:K,3,FALSE) + IF(I891="Sí",VLOOKUP(D891,TARIFAS!A:K,5,FALSE),0),
      VLOOKUP(D891,TARIFAS!A:K,4,FALSE) + IF(I891="Sí",VLOOKUP(D891,TARIFAS!A:K,5,FALSE),0)
   ),
   IF(H891="Presencial",
      VLOOKUP(D891,TARIFAS!A:K,9,FALSE) + IF(I891="Sí",VLOOKUP(D891,TARIFAS!A:K,11,FALSE),0),
      VLOOKUP(D891,TARIFAS!A:K,10,FALSE) + IF(I891="Sí",VLOOKUP(D891,TARIFAS!A:K,11,FALSE),0)
   )
 )
)
</f>
        <v>0</v>
      </c>
      <c r="M891" s="45">
        <f>IF(J891="",0,MAX(0,J891 - TARIFAS!G$2) * TARIFAS!F$2)
</f>
        <v>0</v>
      </c>
      <c r="N891" s="45">
        <f>+L891*TARIFAS!$K$2</f>
        <v>0</v>
      </c>
      <c r="O891" s="45">
        <f t="shared" si="1"/>
        <v>0</v>
      </c>
      <c r="P891" s="45">
        <f>+M891+O891+K891+(+I891-(I891*TARIFAS!$K$2))</f>
        <v>0</v>
      </c>
      <c r="Q891" s="42" t="str">
        <f>CONFERENCIAS!T891</f>
        <v/>
      </c>
      <c r="R891" s="45" t="str">
        <f>CONFERENCIAS!U891</f>
        <v/>
      </c>
      <c r="S891" s="45" t="str">
        <f>CONFERENCIAS!W891</f>
        <v/>
      </c>
      <c r="T891" s="48">
        <f>IF(Q891="",0,
   IF(E891=1,
      IF(H891="Presencial",
         VLOOKUP(D891,TARIFAS!A:K,3,FALSE) + IF(I891="Sí",VLOOKUP(D891,TARIFAS!A:K,5,FALSE),0),
         VLOOKUP(D891,TARIFAS!A:K,4,FALSE) + IF(I891="Sí",VLOOKUP(D891,TARIFAS!A:K,5,FALSE),0)
      ),
      IF(H891="Presencial",
         VLOOKUP(D891,TARIFAS!A:K,9,FALSE) + IF(I891="Sí",VLOOKUP(D891,TARIFAS!A:K,11,FALSE),0),
         VLOOKUP(D891,TARIFAS!A:K,10,FALSE) + IF(I891="Sí",VLOOKUP(D891,TARIFAS!A:K,11,FALSE),0)
      )
   )
)
</f>
        <v>0</v>
      </c>
      <c r="U891" s="45">
        <f>IF(R891="",0,MAX(0,R891 - TARIFAS!G$2) * TARIFAS!F$2)
</f>
        <v>0</v>
      </c>
      <c r="V891" s="45">
        <f>+T891*TARIFAS!$K$2</f>
        <v>0</v>
      </c>
      <c r="W891" s="45">
        <f t="shared" si="2"/>
        <v>0</v>
      </c>
      <c r="X891" s="45">
        <f t="shared" si="3"/>
        <v>0</v>
      </c>
      <c r="Y891" s="45">
        <f t="shared" si="4"/>
        <v>0</v>
      </c>
      <c r="Z891" s="42" t="str">
        <f>CONFERENCIAS!AB891</f>
        <v/>
      </c>
      <c r="AA891" s="42" t="str">
        <f>CONFERENCIAS!AC891</f>
        <v/>
      </c>
      <c r="AB891" s="47" t="str">
        <f t="shared" si="5"/>
        <v/>
      </c>
      <c r="AC891" s="9" t="str">
        <f t="shared" si="6"/>
        <v/>
      </c>
    </row>
    <row r="892">
      <c r="A892" s="42" t="str">
        <f>CONFERENCIAS!A892</f>
        <v/>
      </c>
      <c r="D892" s="42" t="str">
        <f>CONFERENCIAS!C892</f>
        <v/>
      </c>
      <c r="E892" s="42" t="str">
        <f>CONFERENCIAS!K892</f>
        <v/>
      </c>
      <c r="F892" s="49" t="str">
        <f>CONFERENCIAS!J892</f>
        <v/>
      </c>
      <c r="G892" s="42" t="str">
        <f>CONFERENCIAS!O892</f>
        <v/>
      </c>
      <c r="H892" s="42" t="str">
        <f>CONFERENCIAS!X892</f>
        <v/>
      </c>
      <c r="I892" s="42" t="str">
        <f>CONFERENCIAS!AA892</f>
        <v/>
      </c>
      <c r="J892" s="44" t="str">
        <f>CONFERENCIAS!P892</f>
        <v/>
      </c>
      <c r="K892" s="45" t="str">
        <f>CONFERENCIAS!R892</f>
        <v/>
      </c>
      <c r="L892" s="45">
        <f>IF(D892="",0,
 IF(E892=1,
   IF(H892="Presencial",
      VLOOKUP(D892,TARIFAS!A:K,3,FALSE) + IF(I892="Sí",VLOOKUP(D892,TARIFAS!A:K,5,FALSE),0),
      VLOOKUP(D892,TARIFAS!A:K,4,FALSE) + IF(I892="Sí",VLOOKUP(D892,TARIFAS!A:K,5,FALSE),0)
   ),
   IF(H892="Presencial",
      VLOOKUP(D892,TARIFAS!A:K,9,FALSE) + IF(I892="Sí",VLOOKUP(D892,TARIFAS!A:K,11,FALSE),0),
      VLOOKUP(D892,TARIFAS!A:K,10,FALSE) + IF(I892="Sí",VLOOKUP(D892,TARIFAS!A:K,11,FALSE),0)
   )
 )
)
</f>
        <v>0</v>
      </c>
      <c r="M892" s="45">
        <f>IF(J892="",0,MAX(0,J892 - TARIFAS!G$2) * TARIFAS!F$2)
</f>
        <v>0</v>
      </c>
      <c r="N892" s="45">
        <f>+L892*TARIFAS!$K$2</f>
        <v>0</v>
      </c>
      <c r="O892" s="45">
        <f t="shared" si="1"/>
        <v>0</v>
      </c>
      <c r="P892" s="45">
        <f>+M892+O892+K892+(+I892-(I892*TARIFAS!$K$2))</f>
        <v>0</v>
      </c>
      <c r="Q892" s="42" t="str">
        <f>CONFERENCIAS!T892</f>
        <v/>
      </c>
      <c r="R892" s="45" t="str">
        <f>CONFERENCIAS!U892</f>
        <v/>
      </c>
      <c r="S892" s="45" t="str">
        <f>CONFERENCIAS!W892</f>
        <v/>
      </c>
      <c r="T892" s="48">
        <f>IF(Q892="",0,
   IF(E892=1,
      IF(H892="Presencial",
         VLOOKUP(D892,TARIFAS!A:K,3,FALSE) + IF(I892="Sí",VLOOKUP(D892,TARIFAS!A:K,5,FALSE),0),
         VLOOKUP(D892,TARIFAS!A:K,4,FALSE) + IF(I892="Sí",VLOOKUP(D892,TARIFAS!A:K,5,FALSE),0)
      ),
      IF(H892="Presencial",
         VLOOKUP(D892,TARIFAS!A:K,9,FALSE) + IF(I892="Sí",VLOOKUP(D892,TARIFAS!A:K,11,FALSE),0),
         VLOOKUP(D892,TARIFAS!A:K,10,FALSE) + IF(I892="Sí",VLOOKUP(D892,TARIFAS!A:K,11,FALSE),0)
      )
   )
)
</f>
        <v>0</v>
      </c>
      <c r="U892" s="45">
        <f>IF(R892="",0,MAX(0,R892 - TARIFAS!G$2) * TARIFAS!F$2)
</f>
        <v>0</v>
      </c>
      <c r="V892" s="45">
        <f>+T892*TARIFAS!$K$2</f>
        <v>0</v>
      </c>
      <c r="W892" s="45">
        <f t="shared" si="2"/>
        <v>0</v>
      </c>
      <c r="X892" s="45">
        <f t="shared" si="3"/>
        <v>0</v>
      </c>
      <c r="Y892" s="45">
        <f t="shared" si="4"/>
        <v>0</v>
      </c>
      <c r="Z892" s="42" t="str">
        <f>CONFERENCIAS!AB892</f>
        <v/>
      </c>
      <c r="AA892" s="42" t="str">
        <f>CONFERENCIAS!AC892</f>
        <v/>
      </c>
      <c r="AB892" s="47" t="str">
        <f t="shared" si="5"/>
        <v/>
      </c>
      <c r="AC892" s="9" t="str">
        <f t="shared" si="6"/>
        <v/>
      </c>
    </row>
    <row r="893">
      <c r="A893" s="42" t="str">
        <f>CONFERENCIAS!A893</f>
        <v/>
      </c>
      <c r="D893" s="42" t="str">
        <f>CONFERENCIAS!C893</f>
        <v/>
      </c>
      <c r="E893" s="42" t="str">
        <f>CONFERENCIAS!K893</f>
        <v/>
      </c>
      <c r="F893" s="49" t="str">
        <f>CONFERENCIAS!J893</f>
        <v/>
      </c>
      <c r="G893" s="42" t="str">
        <f>CONFERENCIAS!O893</f>
        <v/>
      </c>
      <c r="H893" s="42" t="str">
        <f>CONFERENCIAS!X893</f>
        <v/>
      </c>
      <c r="I893" s="42" t="str">
        <f>CONFERENCIAS!AA893</f>
        <v/>
      </c>
      <c r="J893" s="44" t="str">
        <f>CONFERENCIAS!P893</f>
        <v/>
      </c>
      <c r="K893" s="45" t="str">
        <f>CONFERENCIAS!R893</f>
        <v/>
      </c>
      <c r="L893" s="45">
        <f>IF(D893="",0,
 IF(E893=1,
   IF(H893="Presencial",
      VLOOKUP(D893,TARIFAS!A:K,3,FALSE) + IF(I893="Sí",VLOOKUP(D893,TARIFAS!A:K,5,FALSE),0),
      VLOOKUP(D893,TARIFAS!A:K,4,FALSE) + IF(I893="Sí",VLOOKUP(D893,TARIFAS!A:K,5,FALSE),0)
   ),
   IF(H893="Presencial",
      VLOOKUP(D893,TARIFAS!A:K,9,FALSE) + IF(I893="Sí",VLOOKUP(D893,TARIFAS!A:K,11,FALSE),0),
      VLOOKUP(D893,TARIFAS!A:K,10,FALSE) + IF(I893="Sí",VLOOKUP(D893,TARIFAS!A:K,11,FALSE),0)
   )
 )
)
</f>
        <v>0</v>
      </c>
      <c r="M893" s="45">
        <f>IF(J893="",0,MAX(0,J893 - TARIFAS!G$2) * TARIFAS!F$2)
</f>
        <v>0</v>
      </c>
      <c r="N893" s="45">
        <f>+L893*TARIFAS!$K$2</f>
        <v>0</v>
      </c>
      <c r="O893" s="45">
        <f t="shared" si="1"/>
        <v>0</v>
      </c>
      <c r="P893" s="45">
        <f>+M893+O893+K893+(+I893-(I893*TARIFAS!$K$2))</f>
        <v>0</v>
      </c>
      <c r="Q893" s="42" t="str">
        <f>CONFERENCIAS!T893</f>
        <v/>
      </c>
      <c r="R893" s="45" t="str">
        <f>CONFERENCIAS!U893</f>
        <v/>
      </c>
      <c r="S893" s="45" t="str">
        <f>CONFERENCIAS!W893</f>
        <v/>
      </c>
      <c r="T893" s="48">
        <f>IF(Q893="",0,
   IF(E893=1,
      IF(H893="Presencial",
         VLOOKUP(D893,TARIFAS!A:K,3,FALSE) + IF(I893="Sí",VLOOKUP(D893,TARIFAS!A:K,5,FALSE),0),
         VLOOKUP(D893,TARIFAS!A:K,4,FALSE) + IF(I893="Sí",VLOOKUP(D893,TARIFAS!A:K,5,FALSE),0)
      ),
      IF(H893="Presencial",
         VLOOKUP(D893,TARIFAS!A:K,9,FALSE) + IF(I893="Sí",VLOOKUP(D893,TARIFAS!A:K,11,FALSE),0),
         VLOOKUP(D893,TARIFAS!A:K,10,FALSE) + IF(I893="Sí",VLOOKUP(D893,TARIFAS!A:K,11,FALSE),0)
      )
   )
)
</f>
        <v>0</v>
      </c>
      <c r="U893" s="45">
        <f>IF(R893="",0,MAX(0,R893 - TARIFAS!G$2) * TARIFAS!F$2)
</f>
        <v>0</v>
      </c>
      <c r="V893" s="45">
        <f>+T893*TARIFAS!$K$2</f>
        <v>0</v>
      </c>
      <c r="W893" s="45">
        <f t="shared" si="2"/>
        <v>0</v>
      </c>
      <c r="X893" s="45">
        <f t="shared" si="3"/>
        <v>0</v>
      </c>
      <c r="Y893" s="45">
        <f t="shared" si="4"/>
        <v>0</v>
      </c>
      <c r="Z893" s="42" t="str">
        <f>CONFERENCIAS!AB893</f>
        <v/>
      </c>
      <c r="AA893" s="42" t="str">
        <f>CONFERENCIAS!AC893</f>
        <v/>
      </c>
      <c r="AB893" s="47" t="str">
        <f t="shared" si="5"/>
        <v/>
      </c>
      <c r="AC893" s="9" t="str">
        <f t="shared" si="6"/>
        <v/>
      </c>
    </row>
    <row r="894">
      <c r="A894" s="42" t="str">
        <f>CONFERENCIAS!A894</f>
        <v/>
      </c>
      <c r="D894" s="42" t="str">
        <f>CONFERENCIAS!C894</f>
        <v/>
      </c>
      <c r="E894" s="42" t="str">
        <f>CONFERENCIAS!K894</f>
        <v/>
      </c>
      <c r="F894" s="49" t="str">
        <f>CONFERENCIAS!J894</f>
        <v/>
      </c>
      <c r="G894" s="42" t="str">
        <f>CONFERENCIAS!O894</f>
        <v/>
      </c>
      <c r="H894" s="42" t="str">
        <f>CONFERENCIAS!X894</f>
        <v/>
      </c>
      <c r="I894" s="42" t="str">
        <f>CONFERENCIAS!AA894</f>
        <v/>
      </c>
      <c r="J894" s="44" t="str">
        <f>CONFERENCIAS!P894</f>
        <v/>
      </c>
      <c r="K894" s="45" t="str">
        <f>CONFERENCIAS!R894</f>
        <v/>
      </c>
      <c r="L894" s="45">
        <f>IF(D894="",0,
 IF(E894=1,
   IF(H894="Presencial",
      VLOOKUP(D894,TARIFAS!A:K,3,FALSE) + IF(I894="Sí",VLOOKUP(D894,TARIFAS!A:K,5,FALSE),0),
      VLOOKUP(D894,TARIFAS!A:K,4,FALSE) + IF(I894="Sí",VLOOKUP(D894,TARIFAS!A:K,5,FALSE),0)
   ),
   IF(H894="Presencial",
      VLOOKUP(D894,TARIFAS!A:K,9,FALSE) + IF(I894="Sí",VLOOKUP(D894,TARIFAS!A:K,11,FALSE),0),
      VLOOKUP(D894,TARIFAS!A:K,10,FALSE) + IF(I894="Sí",VLOOKUP(D894,TARIFAS!A:K,11,FALSE),0)
   )
 )
)
</f>
        <v>0</v>
      </c>
      <c r="M894" s="45">
        <f>IF(J894="",0,MAX(0,J894 - TARIFAS!G$2) * TARIFAS!F$2)
</f>
        <v>0</v>
      </c>
      <c r="N894" s="45">
        <f>+L894*TARIFAS!$K$2</f>
        <v>0</v>
      </c>
      <c r="O894" s="45">
        <f t="shared" si="1"/>
        <v>0</v>
      </c>
      <c r="P894" s="45">
        <f>+M894+O894+K894+(+I894-(I894*TARIFAS!$K$2))</f>
        <v>0</v>
      </c>
      <c r="Q894" s="42" t="str">
        <f>CONFERENCIAS!T894</f>
        <v/>
      </c>
      <c r="R894" s="45" t="str">
        <f>CONFERENCIAS!U894</f>
        <v/>
      </c>
      <c r="S894" s="45" t="str">
        <f>CONFERENCIAS!W894</f>
        <v/>
      </c>
      <c r="T894" s="48">
        <f>IF(Q894="",0,
   IF(E894=1,
      IF(H894="Presencial",
         VLOOKUP(D894,TARIFAS!A:K,3,FALSE) + IF(I894="Sí",VLOOKUP(D894,TARIFAS!A:K,5,FALSE),0),
         VLOOKUP(D894,TARIFAS!A:K,4,FALSE) + IF(I894="Sí",VLOOKUP(D894,TARIFAS!A:K,5,FALSE),0)
      ),
      IF(H894="Presencial",
         VLOOKUP(D894,TARIFAS!A:K,9,FALSE) + IF(I894="Sí",VLOOKUP(D894,TARIFAS!A:K,11,FALSE),0),
         VLOOKUP(D894,TARIFAS!A:K,10,FALSE) + IF(I894="Sí",VLOOKUP(D894,TARIFAS!A:K,11,FALSE),0)
      )
   )
)
</f>
        <v>0</v>
      </c>
      <c r="U894" s="45">
        <f>IF(R894="",0,MAX(0,R894 - TARIFAS!G$2) * TARIFAS!F$2)
</f>
        <v>0</v>
      </c>
      <c r="V894" s="45">
        <f>+T894*TARIFAS!$K$2</f>
        <v>0</v>
      </c>
      <c r="W894" s="45">
        <f t="shared" si="2"/>
        <v>0</v>
      </c>
      <c r="X894" s="45">
        <f t="shared" si="3"/>
        <v>0</v>
      </c>
      <c r="Y894" s="45">
        <f t="shared" si="4"/>
        <v>0</v>
      </c>
      <c r="Z894" s="42" t="str">
        <f>CONFERENCIAS!AB894</f>
        <v/>
      </c>
      <c r="AA894" s="42" t="str">
        <f>CONFERENCIAS!AC894</f>
        <v/>
      </c>
      <c r="AB894" s="47" t="str">
        <f t="shared" si="5"/>
        <v/>
      </c>
      <c r="AC894" s="9" t="str">
        <f t="shared" si="6"/>
        <v/>
      </c>
    </row>
    <row r="895">
      <c r="A895" s="42" t="str">
        <f>CONFERENCIAS!A895</f>
        <v/>
      </c>
      <c r="D895" s="42" t="str">
        <f>CONFERENCIAS!C895</f>
        <v/>
      </c>
      <c r="E895" s="42" t="str">
        <f>CONFERENCIAS!K895</f>
        <v/>
      </c>
      <c r="F895" s="49" t="str">
        <f>CONFERENCIAS!J895</f>
        <v/>
      </c>
      <c r="G895" s="42" t="str">
        <f>CONFERENCIAS!O895</f>
        <v/>
      </c>
      <c r="H895" s="42" t="str">
        <f>CONFERENCIAS!X895</f>
        <v/>
      </c>
      <c r="I895" s="42" t="str">
        <f>CONFERENCIAS!AA895</f>
        <v/>
      </c>
      <c r="J895" s="44" t="str">
        <f>CONFERENCIAS!P895</f>
        <v/>
      </c>
      <c r="K895" s="45" t="str">
        <f>CONFERENCIAS!R895</f>
        <v/>
      </c>
      <c r="L895" s="45">
        <f>IF(D895="",0,
 IF(E895=1,
   IF(H895="Presencial",
      VLOOKUP(D895,TARIFAS!A:K,3,FALSE) + IF(I895="Sí",VLOOKUP(D895,TARIFAS!A:K,5,FALSE),0),
      VLOOKUP(D895,TARIFAS!A:K,4,FALSE) + IF(I895="Sí",VLOOKUP(D895,TARIFAS!A:K,5,FALSE),0)
   ),
   IF(H895="Presencial",
      VLOOKUP(D895,TARIFAS!A:K,9,FALSE) + IF(I895="Sí",VLOOKUP(D895,TARIFAS!A:K,11,FALSE),0),
      VLOOKUP(D895,TARIFAS!A:K,10,FALSE) + IF(I895="Sí",VLOOKUP(D895,TARIFAS!A:K,11,FALSE),0)
   )
 )
)
</f>
        <v>0</v>
      </c>
      <c r="M895" s="45">
        <f>IF(J895="",0,MAX(0,J895 - TARIFAS!G$2) * TARIFAS!F$2)
</f>
        <v>0</v>
      </c>
      <c r="N895" s="45">
        <f>+L895*TARIFAS!$K$2</f>
        <v>0</v>
      </c>
      <c r="O895" s="45">
        <f t="shared" si="1"/>
        <v>0</v>
      </c>
      <c r="P895" s="45">
        <f>+M895+O895+K895+(+I895-(I895*TARIFAS!$K$2))</f>
        <v>0</v>
      </c>
      <c r="Q895" s="42" t="str">
        <f>CONFERENCIAS!T895</f>
        <v/>
      </c>
      <c r="R895" s="45" t="str">
        <f>CONFERENCIAS!U895</f>
        <v/>
      </c>
      <c r="S895" s="45" t="str">
        <f>CONFERENCIAS!W895</f>
        <v/>
      </c>
      <c r="T895" s="48">
        <f>IF(Q895="",0,
   IF(E895=1,
      IF(H895="Presencial",
         VLOOKUP(D895,TARIFAS!A:K,3,FALSE) + IF(I895="Sí",VLOOKUP(D895,TARIFAS!A:K,5,FALSE),0),
         VLOOKUP(D895,TARIFAS!A:K,4,FALSE) + IF(I895="Sí",VLOOKUP(D895,TARIFAS!A:K,5,FALSE),0)
      ),
      IF(H895="Presencial",
         VLOOKUP(D895,TARIFAS!A:K,9,FALSE) + IF(I895="Sí",VLOOKUP(D895,TARIFAS!A:K,11,FALSE),0),
         VLOOKUP(D895,TARIFAS!A:K,10,FALSE) + IF(I895="Sí",VLOOKUP(D895,TARIFAS!A:K,11,FALSE),0)
      )
   )
)
</f>
        <v>0</v>
      </c>
      <c r="U895" s="45">
        <f>IF(R895="",0,MAX(0,R895 - TARIFAS!G$2) * TARIFAS!F$2)
</f>
        <v>0</v>
      </c>
      <c r="V895" s="45">
        <f>+T895*TARIFAS!$K$2</f>
        <v>0</v>
      </c>
      <c r="W895" s="45">
        <f t="shared" si="2"/>
        <v>0</v>
      </c>
      <c r="X895" s="45">
        <f t="shared" si="3"/>
        <v>0</v>
      </c>
      <c r="Y895" s="45">
        <f t="shared" si="4"/>
        <v>0</v>
      </c>
      <c r="Z895" s="42" t="str">
        <f>CONFERENCIAS!AB895</f>
        <v/>
      </c>
      <c r="AA895" s="42" t="str">
        <f>CONFERENCIAS!AC895</f>
        <v/>
      </c>
      <c r="AB895" s="47" t="str">
        <f t="shared" si="5"/>
        <v/>
      </c>
      <c r="AC895" s="9" t="str">
        <f t="shared" si="6"/>
        <v/>
      </c>
    </row>
    <row r="896">
      <c r="A896" s="42" t="str">
        <f>CONFERENCIAS!A896</f>
        <v/>
      </c>
      <c r="D896" s="42" t="str">
        <f>CONFERENCIAS!C896</f>
        <v/>
      </c>
      <c r="E896" s="42" t="str">
        <f>CONFERENCIAS!K896</f>
        <v/>
      </c>
      <c r="F896" s="49" t="str">
        <f>CONFERENCIAS!J896</f>
        <v/>
      </c>
      <c r="G896" s="42" t="str">
        <f>CONFERENCIAS!O896</f>
        <v/>
      </c>
      <c r="H896" s="42" t="str">
        <f>CONFERENCIAS!X896</f>
        <v/>
      </c>
      <c r="I896" s="42" t="str">
        <f>CONFERENCIAS!AA896</f>
        <v/>
      </c>
      <c r="J896" s="44" t="str">
        <f>CONFERENCIAS!P896</f>
        <v/>
      </c>
      <c r="K896" s="45" t="str">
        <f>CONFERENCIAS!R896</f>
        <v/>
      </c>
      <c r="L896" s="45">
        <f>IF(D896="",0,
 IF(E896=1,
   IF(H896="Presencial",
      VLOOKUP(D896,TARIFAS!A:K,3,FALSE) + IF(I896="Sí",VLOOKUP(D896,TARIFAS!A:K,5,FALSE),0),
      VLOOKUP(D896,TARIFAS!A:K,4,FALSE) + IF(I896="Sí",VLOOKUP(D896,TARIFAS!A:K,5,FALSE),0)
   ),
   IF(H896="Presencial",
      VLOOKUP(D896,TARIFAS!A:K,9,FALSE) + IF(I896="Sí",VLOOKUP(D896,TARIFAS!A:K,11,FALSE),0),
      VLOOKUP(D896,TARIFAS!A:K,10,FALSE) + IF(I896="Sí",VLOOKUP(D896,TARIFAS!A:K,11,FALSE),0)
   )
 )
)
</f>
        <v>0</v>
      </c>
      <c r="M896" s="45">
        <f>IF(J896="",0,MAX(0,J896 - TARIFAS!G$2) * TARIFAS!F$2)
</f>
        <v>0</v>
      </c>
      <c r="N896" s="45">
        <f>+L896*TARIFAS!$K$2</f>
        <v>0</v>
      </c>
      <c r="O896" s="45">
        <f t="shared" si="1"/>
        <v>0</v>
      </c>
      <c r="P896" s="45">
        <f>+M896+O896+K896+(+I896-(I896*TARIFAS!$K$2))</f>
        <v>0</v>
      </c>
      <c r="Q896" s="42" t="str">
        <f>CONFERENCIAS!T896</f>
        <v/>
      </c>
      <c r="R896" s="45" t="str">
        <f>CONFERENCIAS!U896</f>
        <v/>
      </c>
      <c r="S896" s="45" t="str">
        <f>CONFERENCIAS!W896</f>
        <v/>
      </c>
      <c r="T896" s="48">
        <f>IF(Q896="",0,
   IF(E896=1,
      IF(H896="Presencial",
         VLOOKUP(D896,TARIFAS!A:K,3,FALSE) + IF(I896="Sí",VLOOKUP(D896,TARIFAS!A:K,5,FALSE),0),
         VLOOKUP(D896,TARIFAS!A:K,4,FALSE) + IF(I896="Sí",VLOOKUP(D896,TARIFAS!A:K,5,FALSE),0)
      ),
      IF(H896="Presencial",
         VLOOKUP(D896,TARIFAS!A:K,9,FALSE) + IF(I896="Sí",VLOOKUP(D896,TARIFAS!A:K,11,FALSE),0),
         VLOOKUP(D896,TARIFAS!A:K,10,FALSE) + IF(I896="Sí",VLOOKUP(D896,TARIFAS!A:K,11,FALSE),0)
      )
   )
)
</f>
        <v>0</v>
      </c>
      <c r="U896" s="45">
        <f>IF(R896="",0,MAX(0,R896 - TARIFAS!G$2) * TARIFAS!F$2)
</f>
        <v>0</v>
      </c>
      <c r="V896" s="45">
        <f>+T896*TARIFAS!$K$2</f>
        <v>0</v>
      </c>
      <c r="W896" s="45">
        <f t="shared" si="2"/>
        <v>0</v>
      </c>
      <c r="X896" s="45">
        <f t="shared" si="3"/>
        <v>0</v>
      </c>
      <c r="Y896" s="45">
        <f t="shared" si="4"/>
        <v>0</v>
      </c>
      <c r="Z896" s="42" t="str">
        <f>CONFERENCIAS!AB896</f>
        <v/>
      </c>
      <c r="AA896" s="42" t="str">
        <f>CONFERENCIAS!AC896</f>
        <v/>
      </c>
      <c r="AB896" s="47" t="str">
        <f t="shared" si="5"/>
        <v/>
      </c>
      <c r="AC896" s="9" t="str">
        <f t="shared" si="6"/>
        <v/>
      </c>
    </row>
    <row r="897">
      <c r="A897" s="42" t="str">
        <f>CONFERENCIAS!A897</f>
        <v/>
      </c>
      <c r="D897" s="42" t="str">
        <f>CONFERENCIAS!C897</f>
        <v/>
      </c>
      <c r="E897" s="42" t="str">
        <f>CONFERENCIAS!K897</f>
        <v/>
      </c>
      <c r="F897" s="49" t="str">
        <f>CONFERENCIAS!J897</f>
        <v/>
      </c>
      <c r="G897" s="42" t="str">
        <f>CONFERENCIAS!O897</f>
        <v/>
      </c>
      <c r="H897" s="42" t="str">
        <f>CONFERENCIAS!X897</f>
        <v/>
      </c>
      <c r="I897" s="42" t="str">
        <f>CONFERENCIAS!AA897</f>
        <v/>
      </c>
      <c r="J897" s="44" t="str">
        <f>CONFERENCIAS!P897</f>
        <v/>
      </c>
      <c r="K897" s="45" t="str">
        <f>CONFERENCIAS!R897</f>
        <v/>
      </c>
      <c r="L897" s="45">
        <f>IF(D897="",0,
 IF(E897=1,
   IF(H897="Presencial",
      VLOOKUP(D897,TARIFAS!A:K,3,FALSE) + IF(I897="Sí",VLOOKUP(D897,TARIFAS!A:K,5,FALSE),0),
      VLOOKUP(D897,TARIFAS!A:K,4,FALSE) + IF(I897="Sí",VLOOKUP(D897,TARIFAS!A:K,5,FALSE),0)
   ),
   IF(H897="Presencial",
      VLOOKUP(D897,TARIFAS!A:K,9,FALSE) + IF(I897="Sí",VLOOKUP(D897,TARIFAS!A:K,11,FALSE),0),
      VLOOKUP(D897,TARIFAS!A:K,10,FALSE) + IF(I897="Sí",VLOOKUP(D897,TARIFAS!A:K,11,FALSE),0)
   )
 )
)
</f>
        <v>0</v>
      </c>
      <c r="M897" s="45">
        <f>IF(J897="",0,MAX(0,J897 - TARIFAS!G$2) * TARIFAS!F$2)
</f>
        <v>0</v>
      </c>
      <c r="N897" s="45">
        <f>+L897*TARIFAS!$K$2</f>
        <v>0</v>
      </c>
      <c r="O897" s="45">
        <f t="shared" si="1"/>
        <v>0</v>
      </c>
      <c r="P897" s="45">
        <f>+M897+O897+K897+(+I897-(I897*TARIFAS!$K$2))</f>
        <v>0</v>
      </c>
      <c r="Q897" s="42" t="str">
        <f>CONFERENCIAS!T897</f>
        <v/>
      </c>
      <c r="R897" s="45" t="str">
        <f>CONFERENCIAS!U897</f>
        <v/>
      </c>
      <c r="S897" s="45" t="str">
        <f>CONFERENCIAS!W897</f>
        <v/>
      </c>
      <c r="T897" s="48">
        <f>IF(Q897="",0,
   IF(E897=1,
      IF(H897="Presencial",
         VLOOKUP(D897,TARIFAS!A:K,3,FALSE) + IF(I897="Sí",VLOOKUP(D897,TARIFAS!A:K,5,FALSE),0),
         VLOOKUP(D897,TARIFAS!A:K,4,FALSE) + IF(I897="Sí",VLOOKUP(D897,TARIFAS!A:K,5,FALSE),0)
      ),
      IF(H897="Presencial",
         VLOOKUP(D897,TARIFAS!A:K,9,FALSE) + IF(I897="Sí",VLOOKUP(D897,TARIFAS!A:K,11,FALSE),0),
         VLOOKUP(D897,TARIFAS!A:K,10,FALSE) + IF(I897="Sí",VLOOKUP(D897,TARIFAS!A:K,11,FALSE),0)
      )
   )
)
</f>
        <v>0</v>
      </c>
      <c r="U897" s="45">
        <f>IF(R897="",0,MAX(0,R897 - TARIFAS!G$2) * TARIFAS!F$2)
</f>
        <v>0</v>
      </c>
      <c r="V897" s="45">
        <f>+T897*TARIFAS!$K$2</f>
        <v>0</v>
      </c>
      <c r="W897" s="45">
        <f t="shared" si="2"/>
        <v>0</v>
      </c>
      <c r="X897" s="45">
        <f t="shared" si="3"/>
        <v>0</v>
      </c>
      <c r="Y897" s="45">
        <f t="shared" si="4"/>
        <v>0</v>
      </c>
      <c r="Z897" s="42" t="str">
        <f>CONFERENCIAS!AB897</f>
        <v/>
      </c>
      <c r="AA897" s="42" t="str">
        <f>CONFERENCIAS!AC897</f>
        <v/>
      </c>
      <c r="AB897" s="47" t="str">
        <f t="shared" si="5"/>
        <v/>
      </c>
      <c r="AC897" s="9" t="str">
        <f t="shared" si="6"/>
        <v/>
      </c>
    </row>
    <row r="898">
      <c r="A898" s="42" t="str">
        <f>CONFERENCIAS!A898</f>
        <v/>
      </c>
      <c r="D898" s="42" t="str">
        <f>CONFERENCIAS!C898</f>
        <v/>
      </c>
      <c r="E898" s="42" t="str">
        <f>CONFERENCIAS!K898</f>
        <v/>
      </c>
      <c r="F898" s="49" t="str">
        <f>CONFERENCIAS!J898</f>
        <v/>
      </c>
      <c r="G898" s="42" t="str">
        <f>CONFERENCIAS!O898</f>
        <v/>
      </c>
      <c r="H898" s="42" t="str">
        <f>CONFERENCIAS!X898</f>
        <v/>
      </c>
      <c r="I898" s="42" t="str">
        <f>CONFERENCIAS!AA898</f>
        <v/>
      </c>
      <c r="J898" s="44" t="str">
        <f>CONFERENCIAS!P898</f>
        <v/>
      </c>
      <c r="K898" s="45" t="str">
        <f>CONFERENCIAS!R898</f>
        <v/>
      </c>
      <c r="L898" s="45">
        <f>IF(D898="",0,
 IF(E898=1,
   IF(H898="Presencial",
      VLOOKUP(D898,TARIFAS!A:K,3,FALSE) + IF(I898="Sí",VLOOKUP(D898,TARIFAS!A:K,5,FALSE),0),
      VLOOKUP(D898,TARIFAS!A:K,4,FALSE) + IF(I898="Sí",VLOOKUP(D898,TARIFAS!A:K,5,FALSE),0)
   ),
   IF(H898="Presencial",
      VLOOKUP(D898,TARIFAS!A:K,9,FALSE) + IF(I898="Sí",VLOOKUP(D898,TARIFAS!A:K,11,FALSE),0),
      VLOOKUP(D898,TARIFAS!A:K,10,FALSE) + IF(I898="Sí",VLOOKUP(D898,TARIFAS!A:K,11,FALSE),0)
   )
 )
)
</f>
        <v>0</v>
      </c>
      <c r="M898" s="45">
        <f>IF(J898="",0,MAX(0,J898 - TARIFAS!G$2) * TARIFAS!F$2)
</f>
        <v>0</v>
      </c>
      <c r="N898" s="45">
        <f>+L898*TARIFAS!$K$2</f>
        <v>0</v>
      </c>
      <c r="O898" s="45">
        <f t="shared" si="1"/>
        <v>0</v>
      </c>
      <c r="P898" s="45">
        <f>+M898+O898+K898+(+I898-(I898*TARIFAS!$K$2))</f>
        <v>0</v>
      </c>
      <c r="Q898" s="42" t="str">
        <f>CONFERENCIAS!T898</f>
        <v/>
      </c>
      <c r="R898" s="45" t="str">
        <f>CONFERENCIAS!U898</f>
        <v/>
      </c>
      <c r="S898" s="45" t="str">
        <f>CONFERENCIAS!W898</f>
        <v/>
      </c>
      <c r="T898" s="48">
        <f>IF(Q898="",0,
   IF(E898=1,
      IF(H898="Presencial",
         VLOOKUP(D898,TARIFAS!A:K,3,FALSE) + IF(I898="Sí",VLOOKUP(D898,TARIFAS!A:K,5,FALSE),0),
         VLOOKUP(D898,TARIFAS!A:K,4,FALSE) + IF(I898="Sí",VLOOKUP(D898,TARIFAS!A:K,5,FALSE),0)
      ),
      IF(H898="Presencial",
         VLOOKUP(D898,TARIFAS!A:K,9,FALSE) + IF(I898="Sí",VLOOKUP(D898,TARIFAS!A:K,11,FALSE),0),
         VLOOKUP(D898,TARIFAS!A:K,10,FALSE) + IF(I898="Sí",VLOOKUP(D898,TARIFAS!A:K,11,FALSE),0)
      )
   )
)
</f>
        <v>0</v>
      </c>
      <c r="U898" s="45">
        <f>IF(R898="",0,MAX(0,R898 - TARIFAS!G$2) * TARIFAS!F$2)
</f>
        <v>0</v>
      </c>
      <c r="V898" s="45">
        <f>+T898*TARIFAS!$K$2</f>
        <v>0</v>
      </c>
      <c r="W898" s="45">
        <f t="shared" si="2"/>
        <v>0</v>
      </c>
      <c r="X898" s="45">
        <f t="shared" si="3"/>
        <v>0</v>
      </c>
      <c r="Y898" s="45">
        <f t="shared" si="4"/>
        <v>0</v>
      </c>
      <c r="Z898" s="42" t="str">
        <f>CONFERENCIAS!AB898</f>
        <v/>
      </c>
      <c r="AA898" s="42" t="str">
        <f>CONFERENCIAS!AC898</f>
        <v/>
      </c>
      <c r="AB898" s="47" t="str">
        <f t="shared" si="5"/>
        <v/>
      </c>
      <c r="AC898" s="9" t="str">
        <f t="shared" si="6"/>
        <v/>
      </c>
    </row>
    <row r="899">
      <c r="A899" s="42" t="str">
        <f>CONFERENCIAS!A899</f>
        <v/>
      </c>
      <c r="D899" s="42" t="str">
        <f>CONFERENCIAS!C899</f>
        <v/>
      </c>
      <c r="E899" s="42" t="str">
        <f>CONFERENCIAS!K899</f>
        <v/>
      </c>
      <c r="F899" s="49" t="str">
        <f>CONFERENCIAS!J899</f>
        <v/>
      </c>
      <c r="G899" s="42" t="str">
        <f>CONFERENCIAS!O899</f>
        <v/>
      </c>
      <c r="H899" s="42" t="str">
        <f>CONFERENCIAS!X899</f>
        <v/>
      </c>
      <c r="I899" s="42" t="str">
        <f>CONFERENCIAS!AA899</f>
        <v/>
      </c>
      <c r="J899" s="44" t="str">
        <f>CONFERENCIAS!P899</f>
        <v/>
      </c>
      <c r="K899" s="45" t="str">
        <f>CONFERENCIAS!R899</f>
        <v/>
      </c>
      <c r="L899" s="45">
        <f>IF(D899="",0,
 IF(E899=1,
   IF(H899="Presencial",
      VLOOKUP(D899,TARIFAS!A:K,3,FALSE) + IF(I899="Sí",VLOOKUP(D899,TARIFAS!A:K,5,FALSE),0),
      VLOOKUP(D899,TARIFAS!A:K,4,FALSE) + IF(I899="Sí",VLOOKUP(D899,TARIFAS!A:K,5,FALSE),0)
   ),
   IF(H899="Presencial",
      VLOOKUP(D899,TARIFAS!A:K,9,FALSE) + IF(I899="Sí",VLOOKUP(D899,TARIFAS!A:K,11,FALSE),0),
      VLOOKUP(D899,TARIFAS!A:K,10,FALSE) + IF(I899="Sí",VLOOKUP(D899,TARIFAS!A:K,11,FALSE),0)
   )
 )
)
</f>
        <v>0</v>
      </c>
      <c r="M899" s="45">
        <f>IF(J899="",0,MAX(0,J899 - TARIFAS!G$2) * TARIFAS!F$2)
</f>
        <v>0</v>
      </c>
      <c r="N899" s="45">
        <f>+L899*TARIFAS!$K$2</f>
        <v>0</v>
      </c>
      <c r="O899" s="45">
        <f t="shared" si="1"/>
        <v>0</v>
      </c>
      <c r="P899" s="45">
        <f>+M899+O899+K899+(+I899-(I899*TARIFAS!$K$2))</f>
        <v>0</v>
      </c>
      <c r="Q899" s="42" t="str">
        <f>CONFERENCIAS!T899</f>
        <v/>
      </c>
      <c r="R899" s="45" t="str">
        <f>CONFERENCIAS!U899</f>
        <v/>
      </c>
      <c r="S899" s="45" t="str">
        <f>CONFERENCIAS!W899</f>
        <v/>
      </c>
      <c r="T899" s="48">
        <f>IF(Q899="",0,
   IF(E899=1,
      IF(H899="Presencial",
         VLOOKUP(D899,TARIFAS!A:K,3,FALSE) + IF(I899="Sí",VLOOKUP(D899,TARIFAS!A:K,5,FALSE),0),
         VLOOKUP(D899,TARIFAS!A:K,4,FALSE) + IF(I899="Sí",VLOOKUP(D899,TARIFAS!A:K,5,FALSE),0)
      ),
      IF(H899="Presencial",
         VLOOKUP(D899,TARIFAS!A:K,9,FALSE) + IF(I899="Sí",VLOOKUP(D899,TARIFAS!A:K,11,FALSE),0),
         VLOOKUP(D899,TARIFAS!A:K,10,FALSE) + IF(I899="Sí",VLOOKUP(D899,TARIFAS!A:K,11,FALSE),0)
      )
   )
)
</f>
        <v>0</v>
      </c>
      <c r="U899" s="45">
        <f>IF(R899="",0,MAX(0,R899 - TARIFAS!G$2) * TARIFAS!F$2)
</f>
        <v>0</v>
      </c>
      <c r="V899" s="45">
        <f>+T899*TARIFAS!$K$2</f>
        <v>0</v>
      </c>
      <c r="W899" s="45">
        <f t="shared" si="2"/>
        <v>0</v>
      </c>
      <c r="X899" s="45">
        <f t="shared" si="3"/>
        <v>0</v>
      </c>
      <c r="Y899" s="45">
        <f t="shared" si="4"/>
        <v>0</v>
      </c>
      <c r="Z899" s="42" t="str">
        <f>CONFERENCIAS!AB899</f>
        <v/>
      </c>
      <c r="AA899" s="42" t="str">
        <f>CONFERENCIAS!AC899</f>
        <v/>
      </c>
      <c r="AB899" s="47" t="str">
        <f t="shared" si="5"/>
        <v/>
      </c>
      <c r="AC899" s="9" t="str">
        <f t="shared" si="6"/>
        <v/>
      </c>
    </row>
    <row r="900">
      <c r="A900" s="42" t="str">
        <f>CONFERENCIAS!A900</f>
        <v/>
      </c>
      <c r="D900" s="42" t="str">
        <f>CONFERENCIAS!C900</f>
        <v/>
      </c>
      <c r="E900" s="42" t="str">
        <f>CONFERENCIAS!K900</f>
        <v/>
      </c>
      <c r="F900" s="49" t="str">
        <f>CONFERENCIAS!J900</f>
        <v/>
      </c>
      <c r="G900" s="42" t="str">
        <f>CONFERENCIAS!O900</f>
        <v/>
      </c>
      <c r="H900" s="42" t="str">
        <f>CONFERENCIAS!X900</f>
        <v/>
      </c>
      <c r="I900" s="42" t="str">
        <f>CONFERENCIAS!AA900</f>
        <v/>
      </c>
      <c r="J900" s="44" t="str">
        <f>CONFERENCIAS!P900</f>
        <v/>
      </c>
      <c r="K900" s="45" t="str">
        <f>CONFERENCIAS!R900</f>
        <v/>
      </c>
      <c r="L900" s="45">
        <f>IF(D900="",0,
 IF(E900=1,
   IF(H900="Presencial",
      VLOOKUP(D900,TARIFAS!A:K,3,FALSE) + IF(I900="Sí",VLOOKUP(D900,TARIFAS!A:K,5,FALSE),0),
      VLOOKUP(D900,TARIFAS!A:K,4,FALSE) + IF(I900="Sí",VLOOKUP(D900,TARIFAS!A:K,5,FALSE),0)
   ),
   IF(H900="Presencial",
      VLOOKUP(D900,TARIFAS!A:K,9,FALSE) + IF(I900="Sí",VLOOKUP(D900,TARIFAS!A:K,11,FALSE),0),
      VLOOKUP(D900,TARIFAS!A:K,10,FALSE) + IF(I900="Sí",VLOOKUP(D900,TARIFAS!A:K,11,FALSE),0)
   )
 )
)
</f>
        <v>0</v>
      </c>
      <c r="M900" s="45">
        <f>IF(J900="",0,MAX(0,J900 - TARIFAS!G$2) * TARIFAS!F$2)
</f>
        <v>0</v>
      </c>
      <c r="N900" s="45">
        <f>+L900*TARIFAS!$K$2</f>
        <v>0</v>
      </c>
      <c r="O900" s="45">
        <f t="shared" si="1"/>
        <v>0</v>
      </c>
      <c r="P900" s="45">
        <f>+M900+O900+K900+(+I900-(I900*TARIFAS!$K$2))</f>
        <v>0</v>
      </c>
      <c r="Q900" s="42" t="str">
        <f>CONFERENCIAS!T900</f>
        <v/>
      </c>
      <c r="R900" s="45" t="str">
        <f>CONFERENCIAS!U900</f>
        <v/>
      </c>
      <c r="S900" s="45" t="str">
        <f>CONFERENCIAS!W900</f>
        <v/>
      </c>
      <c r="T900" s="48">
        <f>IF(Q900="",0,
   IF(E900=1,
      IF(H900="Presencial",
         VLOOKUP(D900,TARIFAS!A:K,3,FALSE) + IF(I900="Sí",VLOOKUP(D900,TARIFAS!A:K,5,FALSE),0),
         VLOOKUP(D900,TARIFAS!A:K,4,FALSE) + IF(I900="Sí",VLOOKUP(D900,TARIFAS!A:K,5,FALSE),0)
      ),
      IF(H900="Presencial",
         VLOOKUP(D900,TARIFAS!A:K,9,FALSE) + IF(I900="Sí",VLOOKUP(D900,TARIFAS!A:K,11,FALSE),0),
         VLOOKUP(D900,TARIFAS!A:K,10,FALSE) + IF(I900="Sí",VLOOKUP(D900,TARIFAS!A:K,11,FALSE),0)
      )
   )
)
</f>
        <v>0</v>
      </c>
      <c r="U900" s="45">
        <f>IF(R900="",0,MAX(0,R900 - TARIFAS!G$2) * TARIFAS!F$2)
</f>
        <v>0</v>
      </c>
      <c r="V900" s="45">
        <f>+T900*TARIFAS!$K$2</f>
        <v>0</v>
      </c>
      <c r="W900" s="45">
        <f t="shared" si="2"/>
        <v>0</v>
      </c>
      <c r="X900" s="45">
        <f t="shared" si="3"/>
        <v>0</v>
      </c>
      <c r="Y900" s="45">
        <f t="shared" si="4"/>
        <v>0</v>
      </c>
      <c r="Z900" s="42" t="str">
        <f>CONFERENCIAS!AB900</f>
        <v/>
      </c>
      <c r="AA900" s="42" t="str">
        <f>CONFERENCIAS!AC900</f>
        <v/>
      </c>
      <c r="AB900" s="47" t="str">
        <f t="shared" si="5"/>
        <v/>
      </c>
      <c r="AC900" s="9" t="str">
        <f t="shared" si="6"/>
        <v/>
      </c>
    </row>
    <row r="901">
      <c r="A901" s="42" t="str">
        <f>CONFERENCIAS!A901</f>
        <v/>
      </c>
      <c r="D901" s="42" t="str">
        <f>CONFERENCIAS!C901</f>
        <v/>
      </c>
      <c r="E901" s="42" t="str">
        <f>CONFERENCIAS!K901</f>
        <v/>
      </c>
      <c r="F901" s="49" t="str">
        <f>CONFERENCIAS!J901</f>
        <v/>
      </c>
      <c r="G901" s="42" t="str">
        <f>CONFERENCIAS!O901</f>
        <v/>
      </c>
      <c r="H901" s="42" t="str">
        <f>CONFERENCIAS!X901</f>
        <v/>
      </c>
      <c r="I901" s="42" t="str">
        <f>CONFERENCIAS!AA901</f>
        <v/>
      </c>
      <c r="J901" s="44" t="str">
        <f>CONFERENCIAS!P901</f>
        <v/>
      </c>
      <c r="K901" s="45" t="str">
        <f>CONFERENCIAS!R901</f>
        <v/>
      </c>
      <c r="L901" s="45">
        <f>IF(D901="",0,
 IF(E901=1,
   IF(H901="Presencial",
      VLOOKUP(D901,TARIFAS!A:K,3,FALSE) + IF(I901="Sí",VLOOKUP(D901,TARIFAS!A:K,5,FALSE),0),
      VLOOKUP(D901,TARIFAS!A:K,4,FALSE) + IF(I901="Sí",VLOOKUP(D901,TARIFAS!A:K,5,FALSE),0)
   ),
   IF(H901="Presencial",
      VLOOKUP(D901,TARIFAS!A:K,9,FALSE) + IF(I901="Sí",VLOOKUP(D901,TARIFAS!A:K,11,FALSE),0),
      VLOOKUP(D901,TARIFAS!A:K,10,FALSE) + IF(I901="Sí",VLOOKUP(D901,TARIFAS!A:K,11,FALSE),0)
   )
 )
)
</f>
        <v>0</v>
      </c>
      <c r="M901" s="45">
        <f>IF(J901="",0,MAX(0,J901 - TARIFAS!G$2) * TARIFAS!F$2)
</f>
        <v>0</v>
      </c>
      <c r="N901" s="45">
        <f>+L901*TARIFAS!$K$2</f>
        <v>0</v>
      </c>
      <c r="O901" s="45">
        <f t="shared" si="1"/>
        <v>0</v>
      </c>
      <c r="P901" s="45">
        <f>+M901+O901+K901+(+I901-(I901*TARIFAS!$K$2))</f>
        <v>0</v>
      </c>
      <c r="Q901" s="42" t="str">
        <f>CONFERENCIAS!T901</f>
        <v/>
      </c>
      <c r="R901" s="45" t="str">
        <f>CONFERENCIAS!U901</f>
        <v/>
      </c>
      <c r="S901" s="45" t="str">
        <f>CONFERENCIAS!W901</f>
        <v/>
      </c>
      <c r="T901" s="48">
        <f>IF(Q901="",0,
   IF(E901=1,
      IF(H901="Presencial",
         VLOOKUP(D901,TARIFAS!A:K,3,FALSE) + IF(I901="Sí",VLOOKUP(D901,TARIFAS!A:K,5,FALSE),0),
         VLOOKUP(D901,TARIFAS!A:K,4,FALSE) + IF(I901="Sí",VLOOKUP(D901,TARIFAS!A:K,5,FALSE),0)
      ),
      IF(H901="Presencial",
         VLOOKUP(D901,TARIFAS!A:K,9,FALSE) + IF(I901="Sí",VLOOKUP(D901,TARIFAS!A:K,11,FALSE),0),
         VLOOKUP(D901,TARIFAS!A:K,10,FALSE) + IF(I901="Sí",VLOOKUP(D901,TARIFAS!A:K,11,FALSE),0)
      )
   )
)
</f>
        <v>0</v>
      </c>
      <c r="U901" s="45">
        <f>IF(R901="",0,MAX(0,R901 - TARIFAS!G$2) * TARIFAS!F$2)
</f>
        <v>0</v>
      </c>
      <c r="V901" s="45">
        <f>+T901*TARIFAS!$K$2</f>
        <v>0</v>
      </c>
      <c r="W901" s="45">
        <f t="shared" si="2"/>
        <v>0</v>
      </c>
      <c r="X901" s="45">
        <f t="shared" si="3"/>
        <v>0</v>
      </c>
      <c r="Y901" s="45">
        <f t="shared" si="4"/>
        <v>0</v>
      </c>
      <c r="Z901" s="42" t="str">
        <f>CONFERENCIAS!AB901</f>
        <v/>
      </c>
      <c r="AA901" s="42" t="str">
        <f>CONFERENCIAS!AC901</f>
        <v/>
      </c>
      <c r="AB901" s="47" t="str">
        <f t="shared" si="5"/>
        <v/>
      </c>
      <c r="AC901" s="9" t="str">
        <f t="shared" si="6"/>
        <v/>
      </c>
    </row>
    <row r="902">
      <c r="A902" s="42" t="str">
        <f>CONFERENCIAS!A902</f>
        <v/>
      </c>
      <c r="D902" s="42" t="str">
        <f>CONFERENCIAS!C902</f>
        <v/>
      </c>
      <c r="E902" s="42" t="str">
        <f>CONFERENCIAS!K902</f>
        <v/>
      </c>
      <c r="F902" s="49" t="str">
        <f>CONFERENCIAS!J902</f>
        <v/>
      </c>
      <c r="G902" s="42" t="str">
        <f>CONFERENCIAS!O902</f>
        <v/>
      </c>
      <c r="H902" s="42" t="str">
        <f>CONFERENCIAS!X902</f>
        <v/>
      </c>
      <c r="I902" s="42" t="str">
        <f>CONFERENCIAS!AA902</f>
        <v/>
      </c>
      <c r="J902" s="44" t="str">
        <f>CONFERENCIAS!P902</f>
        <v/>
      </c>
      <c r="K902" s="45" t="str">
        <f>CONFERENCIAS!R902</f>
        <v/>
      </c>
      <c r="L902" s="45">
        <f>IF(D902="",0,
 IF(E902=1,
   IF(H902="Presencial",
      VLOOKUP(D902,TARIFAS!A:K,3,FALSE) + IF(I902="Sí",VLOOKUP(D902,TARIFAS!A:K,5,FALSE),0),
      VLOOKUP(D902,TARIFAS!A:K,4,FALSE) + IF(I902="Sí",VLOOKUP(D902,TARIFAS!A:K,5,FALSE),0)
   ),
   IF(H902="Presencial",
      VLOOKUP(D902,TARIFAS!A:K,9,FALSE) + IF(I902="Sí",VLOOKUP(D902,TARIFAS!A:K,11,FALSE),0),
      VLOOKUP(D902,TARIFAS!A:K,10,FALSE) + IF(I902="Sí",VLOOKUP(D902,TARIFAS!A:K,11,FALSE),0)
   )
 )
)
</f>
        <v>0</v>
      </c>
      <c r="M902" s="45">
        <f>IF(J902="",0,MAX(0,J902 - TARIFAS!G$2) * TARIFAS!F$2)
</f>
        <v>0</v>
      </c>
      <c r="N902" s="45">
        <f>+L902*TARIFAS!$K$2</f>
        <v>0</v>
      </c>
      <c r="O902" s="45">
        <f t="shared" si="1"/>
        <v>0</v>
      </c>
      <c r="P902" s="45">
        <f>+M902+O902+K902+(+I902-(I902*TARIFAS!$K$2))</f>
        <v>0</v>
      </c>
      <c r="Q902" s="42" t="str">
        <f>CONFERENCIAS!T902</f>
        <v/>
      </c>
      <c r="R902" s="45" t="str">
        <f>CONFERENCIAS!U902</f>
        <v/>
      </c>
      <c r="S902" s="45" t="str">
        <f>CONFERENCIAS!W902</f>
        <v/>
      </c>
      <c r="T902" s="48">
        <f>IF(Q902="",0,
   IF(E902=1,
      IF(H902="Presencial",
         VLOOKUP(D902,TARIFAS!A:K,3,FALSE) + IF(I902="Sí",VLOOKUP(D902,TARIFAS!A:K,5,FALSE),0),
         VLOOKUP(D902,TARIFAS!A:K,4,FALSE) + IF(I902="Sí",VLOOKUP(D902,TARIFAS!A:K,5,FALSE),0)
      ),
      IF(H902="Presencial",
         VLOOKUP(D902,TARIFAS!A:K,9,FALSE) + IF(I902="Sí",VLOOKUP(D902,TARIFAS!A:K,11,FALSE),0),
         VLOOKUP(D902,TARIFAS!A:K,10,FALSE) + IF(I902="Sí",VLOOKUP(D902,TARIFAS!A:K,11,FALSE),0)
      )
   )
)
</f>
        <v>0</v>
      </c>
      <c r="U902" s="45">
        <f>IF(R902="",0,MAX(0,R902 - TARIFAS!G$2) * TARIFAS!F$2)
</f>
        <v>0</v>
      </c>
      <c r="V902" s="45">
        <f>+T902*TARIFAS!$K$2</f>
        <v>0</v>
      </c>
      <c r="W902" s="45">
        <f t="shared" si="2"/>
        <v>0</v>
      </c>
      <c r="X902" s="45">
        <f t="shared" si="3"/>
        <v>0</v>
      </c>
      <c r="Y902" s="45">
        <f t="shared" si="4"/>
        <v>0</v>
      </c>
      <c r="Z902" s="42" t="str">
        <f>CONFERENCIAS!AB902</f>
        <v/>
      </c>
      <c r="AA902" s="42" t="str">
        <f>CONFERENCIAS!AC902</f>
        <v/>
      </c>
      <c r="AB902" s="47" t="str">
        <f t="shared" si="5"/>
        <v/>
      </c>
      <c r="AC902" s="9" t="str">
        <f t="shared" si="6"/>
        <v/>
      </c>
    </row>
    <row r="903">
      <c r="A903" s="42" t="str">
        <f>CONFERENCIAS!A903</f>
        <v/>
      </c>
      <c r="D903" s="42" t="str">
        <f>CONFERENCIAS!C903</f>
        <v/>
      </c>
      <c r="E903" s="42" t="str">
        <f>CONFERENCIAS!K903</f>
        <v/>
      </c>
      <c r="F903" s="49" t="str">
        <f>CONFERENCIAS!J903</f>
        <v/>
      </c>
      <c r="G903" s="42" t="str">
        <f>CONFERENCIAS!O903</f>
        <v/>
      </c>
      <c r="H903" s="42" t="str">
        <f>CONFERENCIAS!X903</f>
        <v/>
      </c>
      <c r="I903" s="42" t="str">
        <f>CONFERENCIAS!AA903</f>
        <v/>
      </c>
      <c r="J903" s="44" t="str">
        <f>CONFERENCIAS!P903</f>
        <v/>
      </c>
      <c r="K903" s="45" t="str">
        <f>CONFERENCIAS!R903</f>
        <v/>
      </c>
      <c r="L903" s="45">
        <f>IF(D903="",0,
 IF(E903=1,
   IF(H903="Presencial",
      VLOOKUP(D903,TARIFAS!A:K,3,FALSE) + IF(I903="Sí",VLOOKUP(D903,TARIFAS!A:K,5,FALSE),0),
      VLOOKUP(D903,TARIFAS!A:K,4,FALSE) + IF(I903="Sí",VLOOKUP(D903,TARIFAS!A:K,5,FALSE),0)
   ),
   IF(H903="Presencial",
      VLOOKUP(D903,TARIFAS!A:K,9,FALSE) + IF(I903="Sí",VLOOKUP(D903,TARIFAS!A:K,11,FALSE),0),
      VLOOKUP(D903,TARIFAS!A:K,10,FALSE) + IF(I903="Sí",VLOOKUP(D903,TARIFAS!A:K,11,FALSE),0)
   )
 )
)
</f>
        <v>0</v>
      </c>
      <c r="M903" s="45">
        <f>IF(J903="",0,MAX(0,J903 - TARIFAS!G$2) * TARIFAS!F$2)
</f>
        <v>0</v>
      </c>
      <c r="N903" s="45">
        <f>+L903*TARIFAS!$K$2</f>
        <v>0</v>
      </c>
      <c r="O903" s="45">
        <f t="shared" si="1"/>
        <v>0</v>
      </c>
      <c r="P903" s="45">
        <f>+M903+O903+K903+(+I903-(I903*TARIFAS!$K$2))</f>
        <v>0</v>
      </c>
      <c r="Q903" s="42" t="str">
        <f>CONFERENCIAS!T903</f>
        <v/>
      </c>
      <c r="R903" s="45" t="str">
        <f>CONFERENCIAS!U903</f>
        <v/>
      </c>
      <c r="S903" s="45" t="str">
        <f>CONFERENCIAS!W903</f>
        <v/>
      </c>
      <c r="T903" s="48">
        <f>IF(Q903="",0,
   IF(E903=1,
      IF(H903="Presencial",
         VLOOKUP(D903,TARIFAS!A:K,3,FALSE) + IF(I903="Sí",VLOOKUP(D903,TARIFAS!A:K,5,FALSE),0),
         VLOOKUP(D903,TARIFAS!A:K,4,FALSE) + IF(I903="Sí",VLOOKUP(D903,TARIFAS!A:K,5,FALSE),0)
      ),
      IF(H903="Presencial",
         VLOOKUP(D903,TARIFAS!A:K,9,FALSE) + IF(I903="Sí",VLOOKUP(D903,TARIFAS!A:K,11,FALSE),0),
         VLOOKUP(D903,TARIFAS!A:K,10,FALSE) + IF(I903="Sí",VLOOKUP(D903,TARIFAS!A:K,11,FALSE),0)
      )
   )
)
</f>
        <v>0</v>
      </c>
      <c r="U903" s="45">
        <f>IF(R903="",0,MAX(0,R903 - TARIFAS!G$2) * TARIFAS!F$2)
</f>
        <v>0</v>
      </c>
      <c r="V903" s="45">
        <f>+T903*TARIFAS!$K$2</f>
        <v>0</v>
      </c>
      <c r="W903" s="45">
        <f t="shared" si="2"/>
        <v>0</v>
      </c>
      <c r="X903" s="45">
        <f t="shared" si="3"/>
        <v>0</v>
      </c>
      <c r="Y903" s="45">
        <f t="shared" si="4"/>
        <v>0</v>
      </c>
      <c r="Z903" s="42" t="str">
        <f>CONFERENCIAS!AB903</f>
        <v/>
      </c>
      <c r="AA903" s="42" t="str">
        <f>CONFERENCIAS!AC903</f>
        <v/>
      </c>
      <c r="AB903" s="47" t="str">
        <f t="shared" si="5"/>
        <v/>
      </c>
      <c r="AC903" s="9" t="str">
        <f t="shared" si="6"/>
        <v/>
      </c>
    </row>
    <row r="904">
      <c r="A904" s="42" t="str">
        <f>CONFERENCIAS!A904</f>
        <v/>
      </c>
      <c r="D904" s="42" t="str">
        <f>CONFERENCIAS!C904</f>
        <v/>
      </c>
      <c r="E904" s="42" t="str">
        <f>CONFERENCIAS!K904</f>
        <v/>
      </c>
      <c r="F904" s="49" t="str">
        <f>CONFERENCIAS!J904</f>
        <v/>
      </c>
      <c r="G904" s="42" t="str">
        <f>CONFERENCIAS!O904</f>
        <v/>
      </c>
      <c r="H904" s="42" t="str">
        <f>CONFERENCIAS!X904</f>
        <v/>
      </c>
      <c r="I904" s="42" t="str">
        <f>CONFERENCIAS!AA904</f>
        <v/>
      </c>
      <c r="J904" s="44" t="str">
        <f>CONFERENCIAS!P904</f>
        <v/>
      </c>
      <c r="K904" s="45" t="str">
        <f>CONFERENCIAS!R904</f>
        <v/>
      </c>
      <c r="L904" s="45">
        <f>IF(D904="",0,
 IF(E904=1,
   IF(H904="Presencial",
      VLOOKUP(D904,TARIFAS!A:K,3,FALSE) + IF(I904="Sí",VLOOKUP(D904,TARIFAS!A:K,5,FALSE),0),
      VLOOKUP(D904,TARIFAS!A:K,4,FALSE) + IF(I904="Sí",VLOOKUP(D904,TARIFAS!A:K,5,FALSE),0)
   ),
   IF(H904="Presencial",
      VLOOKUP(D904,TARIFAS!A:K,9,FALSE) + IF(I904="Sí",VLOOKUP(D904,TARIFAS!A:K,11,FALSE),0),
      VLOOKUP(D904,TARIFAS!A:K,10,FALSE) + IF(I904="Sí",VLOOKUP(D904,TARIFAS!A:K,11,FALSE),0)
   )
 )
)
</f>
        <v>0</v>
      </c>
      <c r="M904" s="45">
        <f>IF(J904="",0,MAX(0,J904 - TARIFAS!G$2) * TARIFAS!F$2)
</f>
        <v>0</v>
      </c>
      <c r="N904" s="45">
        <f>+L904*TARIFAS!$K$2</f>
        <v>0</v>
      </c>
      <c r="O904" s="45">
        <f t="shared" si="1"/>
        <v>0</v>
      </c>
      <c r="P904" s="45">
        <f>+M904+O904+K904+(+I904-(I904*TARIFAS!$K$2))</f>
        <v>0</v>
      </c>
      <c r="Q904" s="42" t="str">
        <f>CONFERENCIAS!T904</f>
        <v/>
      </c>
      <c r="R904" s="45" t="str">
        <f>CONFERENCIAS!U904</f>
        <v/>
      </c>
      <c r="S904" s="45" t="str">
        <f>CONFERENCIAS!W904</f>
        <v/>
      </c>
      <c r="T904" s="48">
        <f>IF(Q904="",0,
   IF(E904=1,
      IF(H904="Presencial",
         VLOOKUP(D904,TARIFAS!A:K,3,FALSE) + IF(I904="Sí",VLOOKUP(D904,TARIFAS!A:K,5,FALSE),0),
         VLOOKUP(D904,TARIFAS!A:K,4,FALSE) + IF(I904="Sí",VLOOKUP(D904,TARIFAS!A:K,5,FALSE),0)
      ),
      IF(H904="Presencial",
         VLOOKUP(D904,TARIFAS!A:K,9,FALSE) + IF(I904="Sí",VLOOKUP(D904,TARIFAS!A:K,11,FALSE),0),
         VLOOKUP(D904,TARIFAS!A:K,10,FALSE) + IF(I904="Sí",VLOOKUP(D904,TARIFAS!A:K,11,FALSE),0)
      )
   )
)
</f>
        <v>0</v>
      </c>
      <c r="U904" s="45">
        <f>IF(R904="",0,MAX(0,R904 - TARIFAS!G$2) * TARIFAS!F$2)
</f>
        <v>0</v>
      </c>
      <c r="V904" s="45">
        <f>+T904*TARIFAS!$K$2</f>
        <v>0</v>
      </c>
      <c r="W904" s="45">
        <f t="shared" si="2"/>
        <v>0</v>
      </c>
      <c r="X904" s="45">
        <f t="shared" si="3"/>
        <v>0</v>
      </c>
      <c r="Y904" s="45">
        <f t="shared" si="4"/>
        <v>0</v>
      </c>
      <c r="Z904" s="42" t="str">
        <f>CONFERENCIAS!AB904</f>
        <v/>
      </c>
      <c r="AA904" s="42" t="str">
        <f>CONFERENCIAS!AC904</f>
        <v/>
      </c>
      <c r="AB904" s="47" t="str">
        <f t="shared" si="5"/>
        <v/>
      </c>
      <c r="AC904" s="9" t="str">
        <f t="shared" si="6"/>
        <v/>
      </c>
    </row>
    <row r="905">
      <c r="A905" s="42" t="str">
        <f>CONFERENCIAS!A905</f>
        <v/>
      </c>
      <c r="D905" s="42" t="str">
        <f>CONFERENCIAS!C905</f>
        <v/>
      </c>
      <c r="E905" s="42" t="str">
        <f>CONFERENCIAS!K905</f>
        <v/>
      </c>
      <c r="F905" s="49" t="str">
        <f>CONFERENCIAS!J905</f>
        <v/>
      </c>
      <c r="G905" s="42" t="str">
        <f>CONFERENCIAS!O905</f>
        <v/>
      </c>
      <c r="H905" s="42" t="str">
        <f>CONFERENCIAS!X905</f>
        <v/>
      </c>
      <c r="I905" s="42" t="str">
        <f>CONFERENCIAS!AA905</f>
        <v/>
      </c>
      <c r="J905" s="44" t="str">
        <f>CONFERENCIAS!P905</f>
        <v/>
      </c>
      <c r="K905" s="45" t="str">
        <f>CONFERENCIAS!R905</f>
        <v/>
      </c>
      <c r="L905" s="45">
        <f>IF(D905="",0,
 IF(E905=1,
   IF(H905="Presencial",
      VLOOKUP(D905,TARIFAS!A:K,3,FALSE) + IF(I905="Sí",VLOOKUP(D905,TARIFAS!A:K,5,FALSE),0),
      VLOOKUP(D905,TARIFAS!A:K,4,FALSE) + IF(I905="Sí",VLOOKUP(D905,TARIFAS!A:K,5,FALSE),0)
   ),
   IF(H905="Presencial",
      VLOOKUP(D905,TARIFAS!A:K,9,FALSE) + IF(I905="Sí",VLOOKUP(D905,TARIFAS!A:K,11,FALSE),0),
      VLOOKUP(D905,TARIFAS!A:K,10,FALSE) + IF(I905="Sí",VLOOKUP(D905,TARIFAS!A:K,11,FALSE),0)
   )
 )
)
</f>
        <v>0</v>
      </c>
      <c r="M905" s="45">
        <f>IF(J905="",0,MAX(0,J905 - TARIFAS!G$2) * TARIFAS!F$2)
</f>
        <v>0</v>
      </c>
      <c r="N905" s="45">
        <f>+L905*TARIFAS!$K$2</f>
        <v>0</v>
      </c>
      <c r="O905" s="45">
        <f t="shared" si="1"/>
        <v>0</v>
      </c>
      <c r="P905" s="45">
        <f>+M905+O905+K905+(+I905-(I905*TARIFAS!$K$2))</f>
        <v>0</v>
      </c>
      <c r="Q905" s="42" t="str">
        <f>CONFERENCIAS!T905</f>
        <v/>
      </c>
      <c r="R905" s="45" t="str">
        <f>CONFERENCIAS!U905</f>
        <v/>
      </c>
      <c r="S905" s="45" t="str">
        <f>CONFERENCIAS!W905</f>
        <v/>
      </c>
      <c r="T905" s="48">
        <f>IF(Q905="",0,
   IF(E905=1,
      IF(H905="Presencial",
         VLOOKUP(D905,TARIFAS!A:K,3,FALSE) + IF(I905="Sí",VLOOKUP(D905,TARIFAS!A:K,5,FALSE),0),
         VLOOKUP(D905,TARIFAS!A:K,4,FALSE) + IF(I905="Sí",VLOOKUP(D905,TARIFAS!A:K,5,FALSE),0)
      ),
      IF(H905="Presencial",
         VLOOKUP(D905,TARIFAS!A:K,9,FALSE) + IF(I905="Sí",VLOOKUP(D905,TARIFAS!A:K,11,FALSE),0),
         VLOOKUP(D905,TARIFAS!A:K,10,FALSE) + IF(I905="Sí",VLOOKUP(D905,TARIFAS!A:K,11,FALSE),0)
      )
   )
)
</f>
        <v>0</v>
      </c>
      <c r="U905" s="45">
        <f>IF(R905="",0,MAX(0,R905 - TARIFAS!G$2) * TARIFAS!F$2)
</f>
        <v>0</v>
      </c>
      <c r="V905" s="45">
        <f>+T905*TARIFAS!$K$2</f>
        <v>0</v>
      </c>
      <c r="W905" s="45">
        <f t="shared" si="2"/>
        <v>0</v>
      </c>
      <c r="X905" s="45">
        <f t="shared" si="3"/>
        <v>0</v>
      </c>
      <c r="Y905" s="45">
        <f t="shared" si="4"/>
        <v>0</v>
      </c>
      <c r="Z905" s="42" t="str">
        <f>CONFERENCIAS!AB905</f>
        <v/>
      </c>
      <c r="AA905" s="42" t="str">
        <f>CONFERENCIAS!AC905</f>
        <v/>
      </c>
      <c r="AB905" s="47" t="str">
        <f t="shared" si="5"/>
        <v/>
      </c>
      <c r="AC905" s="9" t="str">
        <f t="shared" si="6"/>
        <v/>
      </c>
    </row>
    <row r="906">
      <c r="A906" s="42" t="str">
        <f>CONFERENCIAS!A906</f>
        <v/>
      </c>
      <c r="D906" s="42" t="str">
        <f>CONFERENCIAS!C906</f>
        <v/>
      </c>
      <c r="E906" s="42" t="str">
        <f>CONFERENCIAS!K906</f>
        <v/>
      </c>
      <c r="F906" s="49" t="str">
        <f>CONFERENCIAS!J906</f>
        <v/>
      </c>
      <c r="G906" s="42" t="str">
        <f>CONFERENCIAS!O906</f>
        <v/>
      </c>
      <c r="H906" s="42" t="str">
        <f>CONFERENCIAS!X906</f>
        <v/>
      </c>
      <c r="I906" s="42" t="str">
        <f>CONFERENCIAS!AA906</f>
        <v/>
      </c>
      <c r="J906" s="44" t="str">
        <f>CONFERENCIAS!P906</f>
        <v/>
      </c>
      <c r="K906" s="45" t="str">
        <f>CONFERENCIAS!R906</f>
        <v/>
      </c>
      <c r="L906" s="45">
        <f>IF(D906="",0,
 IF(E906=1,
   IF(H906="Presencial",
      VLOOKUP(D906,TARIFAS!A:K,3,FALSE) + IF(I906="Sí",VLOOKUP(D906,TARIFAS!A:K,5,FALSE),0),
      VLOOKUP(D906,TARIFAS!A:K,4,FALSE) + IF(I906="Sí",VLOOKUP(D906,TARIFAS!A:K,5,FALSE),0)
   ),
   IF(H906="Presencial",
      VLOOKUP(D906,TARIFAS!A:K,9,FALSE) + IF(I906="Sí",VLOOKUP(D906,TARIFAS!A:K,11,FALSE),0),
      VLOOKUP(D906,TARIFAS!A:K,10,FALSE) + IF(I906="Sí",VLOOKUP(D906,TARIFAS!A:K,11,FALSE),0)
   )
 )
)
</f>
        <v>0</v>
      </c>
      <c r="M906" s="45">
        <f>IF(J906="",0,MAX(0,J906 - TARIFAS!G$2) * TARIFAS!F$2)
</f>
        <v>0</v>
      </c>
      <c r="N906" s="45">
        <f>+L906*TARIFAS!$K$2</f>
        <v>0</v>
      </c>
      <c r="O906" s="45">
        <f t="shared" si="1"/>
        <v>0</v>
      </c>
      <c r="P906" s="45">
        <f>+M906+O906+K906+(+I906-(I906*TARIFAS!$K$2))</f>
        <v>0</v>
      </c>
      <c r="Q906" s="42" t="str">
        <f>CONFERENCIAS!T906</f>
        <v/>
      </c>
      <c r="R906" s="45" t="str">
        <f>CONFERENCIAS!U906</f>
        <v/>
      </c>
      <c r="S906" s="45" t="str">
        <f>CONFERENCIAS!W906</f>
        <v/>
      </c>
      <c r="T906" s="48">
        <f>IF(Q906="",0,
   IF(E906=1,
      IF(H906="Presencial",
         VLOOKUP(D906,TARIFAS!A:K,3,FALSE) + IF(I906="Sí",VLOOKUP(D906,TARIFAS!A:K,5,FALSE),0),
         VLOOKUP(D906,TARIFAS!A:K,4,FALSE) + IF(I906="Sí",VLOOKUP(D906,TARIFAS!A:K,5,FALSE),0)
      ),
      IF(H906="Presencial",
         VLOOKUP(D906,TARIFAS!A:K,9,FALSE) + IF(I906="Sí",VLOOKUP(D906,TARIFAS!A:K,11,FALSE),0),
         VLOOKUP(D906,TARIFAS!A:K,10,FALSE) + IF(I906="Sí",VLOOKUP(D906,TARIFAS!A:K,11,FALSE),0)
      )
   )
)
</f>
        <v>0</v>
      </c>
      <c r="U906" s="45">
        <f>IF(R906="",0,MAX(0,R906 - TARIFAS!G$2) * TARIFAS!F$2)
</f>
        <v>0</v>
      </c>
      <c r="V906" s="45">
        <f>+T906*TARIFAS!$K$2</f>
        <v>0</v>
      </c>
      <c r="W906" s="45">
        <f t="shared" si="2"/>
        <v>0</v>
      </c>
      <c r="X906" s="45">
        <f t="shared" si="3"/>
        <v>0</v>
      </c>
      <c r="Y906" s="45">
        <f t="shared" si="4"/>
        <v>0</v>
      </c>
      <c r="Z906" s="42" t="str">
        <f>CONFERENCIAS!AB906</f>
        <v/>
      </c>
      <c r="AA906" s="42" t="str">
        <f>CONFERENCIAS!AC906</f>
        <v/>
      </c>
      <c r="AB906" s="47" t="str">
        <f t="shared" si="5"/>
        <v/>
      </c>
      <c r="AC906" s="9" t="str">
        <f t="shared" si="6"/>
        <v/>
      </c>
    </row>
    <row r="907">
      <c r="A907" s="42" t="str">
        <f>CONFERENCIAS!A907</f>
        <v/>
      </c>
      <c r="D907" s="42" t="str">
        <f>CONFERENCIAS!C907</f>
        <v/>
      </c>
      <c r="E907" s="42" t="str">
        <f>CONFERENCIAS!K907</f>
        <v/>
      </c>
      <c r="F907" s="49" t="str">
        <f>CONFERENCIAS!J907</f>
        <v/>
      </c>
      <c r="G907" s="42" t="str">
        <f>CONFERENCIAS!O907</f>
        <v/>
      </c>
      <c r="H907" s="42" t="str">
        <f>CONFERENCIAS!X907</f>
        <v/>
      </c>
      <c r="I907" s="42" t="str">
        <f>CONFERENCIAS!AA907</f>
        <v/>
      </c>
      <c r="J907" s="44" t="str">
        <f>CONFERENCIAS!P907</f>
        <v/>
      </c>
      <c r="K907" s="45" t="str">
        <f>CONFERENCIAS!R907</f>
        <v/>
      </c>
      <c r="L907" s="45">
        <f>IF(D907="",0,
 IF(E907=1,
   IF(H907="Presencial",
      VLOOKUP(D907,TARIFAS!A:K,3,FALSE) + IF(I907="Sí",VLOOKUP(D907,TARIFAS!A:K,5,FALSE),0),
      VLOOKUP(D907,TARIFAS!A:K,4,FALSE) + IF(I907="Sí",VLOOKUP(D907,TARIFAS!A:K,5,FALSE),0)
   ),
   IF(H907="Presencial",
      VLOOKUP(D907,TARIFAS!A:K,9,FALSE) + IF(I907="Sí",VLOOKUP(D907,TARIFAS!A:K,11,FALSE),0),
      VLOOKUP(D907,TARIFAS!A:K,10,FALSE) + IF(I907="Sí",VLOOKUP(D907,TARIFAS!A:K,11,FALSE),0)
   )
 )
)
</f>
        <v>0</v>
      </c>
      <c r="M907" s="45">
        <f>IF(J907="",0,MAX(0,J907 - TARIFAS!G$2) * TARIFAS!F$2)
</f>
        <v>0</v>
      </c>
      <c r="N907" s="45">
        <f>+L907*TARIFAS!$K$2</f>
        <v>0</v>
      </c>
      <c r="O907" s="45">
        <f t="shared" si="1"/>
        <v>0</v>
      </c>
      <c r="P907" s="45">
        <f>+M907+O907+K907+(+I907-(I907*TARIFAS!$K$2))</f>
        <v>0</v>
      </c>
      <c r="Q907" s="42" t="str">
        <f>CONFERENCIAS!T907</f>
        <v/>
      </c>
      <c r="R907" s="45" t="str">
        <f>CONFERENCIAS!U907</f>
        <v/>
      </c>
      <c r="S907" s="45" t="str">
        <f>CONFERENCIAS!W907</f>
        <v/>
      </c>
      <c r="T907" s="48">
        <f>IF(Q907="",0,
   IF(E907=1,
      IF(H907="Presencial",
         VLOOKUP(D907,TARIFAS!A:K,3,FALSE) + IF(I907="Sí",VLOOKUP(D907,TARIFAS!A:K,5,FALSE),0),
         VLOOKUP(D907,TARIFAS!A:K,4,FALSE) + IF(I907="Sí",VLOOKUP(D907,TARIFAS!A:K,5,FALSE),0)
      ),
      IF(H907="Presencial",
         VLOOKUP(D907,TARIFAS!A:K,9,FALSE) + IF(I907="Sí",VLOOKUP(D907,TARIFAS!A:K,11,FALSE),0),
         VLOOKUP(D907,TARIFAS!A:K,10,FALSE) + IF(I907="Sí",VLOOKUP(D907,TARIFAS!A:K,11,FALSE),0)
      )
   )
)
</f>
        <v>0</v>
      </c>
      <c r="U907" s="45">
        <f>IF(R907="",0,MAX(0,R907 - TARIFAS!G$2) * TARIFAS!F$2)
</f>
        <v>0</v>
      </c>
      <c r="V907" s="45">
        <f>+T907*TARIFAS!$K$2</f>
        <v>0</v>
      </c>
      <c r="W907" s="45">
        <f t="shared" si="2"/>
        <v>0</v>
      </c>
      <c r="X907" s="45">
        <f t="shared" si="3"/>
        <v>0</v>
      </c>
      <c r="Y907" s="45">
        <f t="shared" si="4"/>
        <v>0</v>
      </c>
      <c r="Z907" s="42" t="str">
        <f>CONFERENCIAS!AB907</f>
        <v/>
      </c>
      <c r="AA907" s="42" t="str">
        <f>CONFERENCIAS!AC907</f>
        <v/>
      </c>
      <c r="AB907" s="47" t="str">
        <f t="shared" si="5"/>
        <v/>
      </c>
      <c r="AC907" s="9" t="str">
        <f t="shared" si="6"/>
        <v/>
      </c>
    </row>
    <row r="908">
      <c r="A908" s="42" t="str">
        <f>CONFERENCIAS!A908</f>
        <v/>
      </c>
      <c r="D908" s="42" t="str">
        <f>CONFERENCIAS!C908</f>
        <v/>
      </c>
      <c r="E908" s="42" t="str">
        <f>CONFERENCIAS!K908</f>
        <v/>
      </c>
      <c r="F908" s="49" t="str">
        <f>CONFERENCIAS!J908</f>
        <v/>
      </c>
      <c r="G908" s="42" t="str">
        <f>CONFERENCIAS!O908</f>
        <v/>
      </c>
      <c r="H908" s="42" t="str">
        <f>CONFERENCIAS!X908</f>
        <v/>
      </c>
      <c r="I908" s="42" t="str">
        <f>CONFERENCIAS!AA908</f>
        <v/>
      </c>
      <c r="J908" s="44" t="str">
        <f>CONFERENCIAS!P908</f>
        <v/>
      </c>
      <c r="K908" s="45" t="str">
        <f>CONFERENCIAS!R908</f>
        <v/>
      </c>
      <c r="L908" s="45">
        <f>IF(D908="",0,
 IF(E908=1,
   IF(H908="Presencial",
      VLOOKUP(D908,TARIFAS!A:K,3,FALSE) + IF(I908="Sí",VLOOKUP(D908,TARIFAS!A:K,5,FALSE),0),
      VLOOKUP(D908,TARIFAS!A:K,4,FALSE) + IF(I908="Sí",VLOOKUP(D908,TARIFAS!A:K,5,FALSE),0)
   ),
   IF(H908="Presencial",
      VLOOKUP(D908,TARIFAS!A:K,9,FALSE) + IF(I908="Sí",VLOOKUP(D908,TARIFAS!A:K,11,FALSE),0),
      VLOOKUP(D908,TARIFAS!A:K,10,FALSE) + IF(I908="Sí",VLOOKUP(D908,TARIFAS!A:K,11,FALSE),0)
   )
 )
)
</f>
        <v>0</v>
      </c>
      <c r="M908" s="45">
        <f>IF(J908="",0,MAX(0,J908 - TARIFAS!G$2) * TARIFAS!F$2)
</f>
        <v>0</v>
      </c>
      <c r="N908" s="45">
        <f>+L908*TARIFAS!$K$2</f>
        <v>0</v>
      </c>
      <c r="O908" s="45">
        <f t="shared" si="1"/>
        <v>0</v>
      </c>
      <c r="P908" s="45">
        <f>+M908+O908+K908+(+I908-(I908*TARIFAS!$K$2))</f>
        <v>0</v>
      </c>
      <c r="Q908" s="42" t="str">
        <f>CONFERENCIAS!T908</f>
        <v/>
      </c>
      <c r="R908" s="45" t="str">
        <f>CONFERENCIAS!U908</f>
        <v/>
      </c>
      <c r="S908" s="45" t="str">
        <f>CONFERENCIAS!W908</f>
        <v/>
      </c>
      <c r="T908" s="48">
        <f>IF(Q908="",0,
   IF(E908=1,
      IF(H908="Presencial",
         VLOOKUP(D908,TARIFAS!A:K,3,FALSE) + IF(I908="Sí",VLOOKUP(D908,TARIFAS!A:K,5,FALSE),0),
         VLOOKUP(D908,TARIFAS!A:K,4,FALSE) + IF(I908="Sí",VLOOKUP(D908,TARIFAS!A:K,5,FALSE),0)
      ),
      IF(H908="Presencial",
         VLOOKUP(D908,TARIFAS!A:K,9,FALSE) + IF(I908="Sí",VLOOKUP(D908,TARIFAS!A:K,11,FALSE),0),
         VLOOKUP(D908,TARIFAS!A:K,10,FALSE) + IF(I908="Sí",VLOOKUP(D908,TARIFAS!A:K,11,FALSE),0)
      )
   )
)
</f>
        <v>0</v>
      </c>
      <c r="U908" s="45">
        <f>IF(R908="",0,MAX(0,R908 - TARIFAS!G$2) * TARIFAS!F$2)
</f>
        <v>0</v>
      </c>
      <c r="V908" s="45">
        <f>+T908*TARIFAS!$K$2</f>
        <v>0</v>
      </c>
      <c r="W908" s="45">
        <f t="shared" si="2"/>
        <v>0</v>
      </c>
      <c r="X908" s="45">
        <f t="shared" si="3"/>
        <v>0</v>
      </c>
      <c r="Y908" s="45">
        <f t="shared" si="4"/>
        <v>0</v>
      </c>
      <c r="Z908" s="42" t="str">
        <f>CONFERENCIAS!AB908</f>
        <v/>
      </c>
      <c r="AA908" s="42" t="str">
        <f>CONFERENCIAS!AC908</f>
        <v/>
      </c>
      <c r="AB908" s="47" t="str">
        <f t="shared" si="5"/>
        <v/>
      </c>
      <c r="AC908" s="9" t="str">
        <f t="shared" si="6"/>
        <v/>
      </c>
    </row>
    <row r="909">
      <c r="A909" s="42" t="str">
        <f>CONFERENCIAS!A909</f>
        <v/>
      </c>
      <c r="D909" s="42" t="str">
        <f>CONFERENCIAS!C909</f>
        <v/>
      </c>
      <c r="E909" s="42" t="str">
        <f>CONFERENCIAS!K909</f>
        <v/>
      </c>
      <c r="F909" s="49" t="str">
        <f>CONFERENCIAS!J909</f>
        <v/>
      </c>
      <c r="G909" s="42" t="str">
        <f>CONFERENCIAS!O909</f>
        <v/>
      </c>
      <c r="H909" s="42" t="str">
        <f>CONFERENCIAS!X909</f>
        <v/>
      </c>
      <c r="I909" s="42" t="str">
        <f>CONFERENCIAS!AA909</f>
        <v/>
      </c>
      <c r="J909" s="44" t="str">
        <f>CONFERENCIAS!P909</f>
        <v/>
      </c>
      <c r="K909" s="45" t="str">
        <f>CONFERENCIAS!R909</f>
        <v/>
      </c>
      <c r="L909" s="45">
        <f>IF(D909="",0,
 IF(E909=1,
   IF(H909="Presencial",
      VLOOKUP(D909,TARIFAS!A:K,3,FALSE) + IF(I909="Sí",VLOOKUP(D909,TARIFAS!A:K,5,FALSE),0),
      VLOOKUP(D909,TARIFAS!A:K,4,FALSE) + IF(I909="Sí",VLOOKUP(D909,TARIFAS!A:K,5,FALSE),0)
   ),
   IF(H909="Presencial",
      VLOOKUP(D909,TARIFAS!A:K,9,FALSE) + IF(I909="Sí",VLOOKUP(D909,TARIFAS!A:K,11,FALSE),0),
      VLOOKUP(D909,TARIFAS!A:K,10,FALSE) + IF(I909="Sí",VLOOKUP(D909,TARIFAS!A:K,11,FALSE),0)
   )
 )
)
</f>
        <v>0</v>
      </c>
      <c r="M909" s="45">
        <f>IF(J909="",0,MAX(0,J909 - TARIFAS!G$2) * TARIFAS!F$2)
</f>
        <v>0</v>
      </c>
      <c r="N909" s="45">
        <f>+L909*TARIFAS!$K$2</f>
        <v>0</v>
      </c>
      <c r="O909" s="45">
        <f t="shared" si="1"/>
        <v>0</v>
      </c>
      <c r="P909" s="45">
        <f>+M909+O909+K909+(+I909-(I909*TARIFAS!$K$2))</f>
        <v>0</v>
      </c>
      <c r="Q909" s="42" t="str">
        <f>CONFERENCIAS!T909</f>
        <v/>
      </c>
      <c r="R909" s="45" t="str">
        <f>CONFERENCIAS!U909</f>
        <v/>
      </c>
      <c r="S909" s="45" t="str">
        <f>CONFERENCIAS!W909</f>
        <v/>
      </c>
      <c r="T909" s="48">
        <f>IF(Q909="",0,
   IF(E909=1,
      IF(H909="Presencial",
         VLOOKUP(D909,TARIFAS!A:K,3,FALSE) + IF(I909="Sí",VLOOKUP(D909,TARIFAS!A:K,5,FALSE),0),
         VLOOKUP(D909,TARIFAS!A:K,4,FALSE) + IF(I909="Sí",VLOOKUP(D909,TARIFAS!A:K,5,FALSE),0)
      ),
      IF(H909="Presencial",
         VLOOKUP(D909,TARIFAS!A:K,9,FALSE) + IF(I909="Sí",VLOOKUP(D909,TARIFAS!A:K,11,FALSE),0),
         VLOOKUP(D909,TARIFAS!A:K,10,FALSE) + IF(I909="Sí",VLOOKUP(D909,TARIFAS!A:K,11,FALSE),0)
      )
   )
)
</f>
        <v>0</v>
      </c>
      <c r="U909" s="45">
        <f>IF(R909="",0,MAX(0,R909 - TARIFAS!G$2) * TARIFAS!F$2)
</f>
        <v>0</v>
      </c>
      <c r="V909" s="45">
        <f>+T909*TARIFAS!$K$2</f>
        <v>0</v>
      </c>
      <c r="W909" s="45">
        <f t="shared" si="2"/>
        <v>0</v>
      </c>
      <c r="X909" s="45">
        <f t="shared" si="3"/>
        <v>0</v>
      </c>
      <c r="Y909" s="45">
        <f t="shared" si="4"/>
        <v>0</v>
      </c>
      <c r="Z909" s="42" t="str">
        <f>CONFERENCIAS!AB909</f>
        <v/>
      </c>
      <c r="AA909" s="42" t="str">
        <f>CONFERENCIAS!AC909</f>
        <v/>
      </c>
      <c r="AB909" s="47" t="str">
        <f t="shared" si="5"/>
        <v/>
      </c>
      <c r="AC909" s="9" t="str">
        <f t="shared" si="6"/>
        <v/>
      </c>
    </row>
    <row r="910">
      <c r="A910" s="42" t="str">
        <f>CONFERENCIAS!A910</f>
        <v/>
      </c>
      <c r="D910" s="42" t="str">
        <f>CONFERENCIAS!C910</f>
        <v/>
      </c>
      <c r="E910" s="42" t="str">
        <f>CONFERENCIAS!K910</f>
        <v/>
      </c>
      <c r="F910" s="49" t="str">
        <f>CONFERENCIAS!J910</f>
        <v/>
      </c>
      <c r="G910" s="42" t="str">
        <f>CONFERENCIAS!O910</f>
        <v/>
      </c>
      <c r="H910" s="42" t="str">
        <f>CONFERENCIAS!X910</f>
        <v/>
      </c>
      <c r="I910" s="42" t="str">
        <f>CONFERENCIAS!AA910</f>
        <v/>
      </c>
      <c r="J910" s="44" t="str">
        <f>CONFERENCIAS!P910</f>
        <v/>
      </c>
      <c r="K910" s="45" t="str">
        <f>CONFERENCIAS!R910</f>
        <v/>
      </c>
      <c r="L910" s="45">
        <f>IF(D910="",0,
 IF(E910=1,
   IF(H910="Presencial",
      VLOOKUP(D910,TARIFAS!A:K,3,FALSE) + IF(I910="Sí",VLOOKUP(D910,TARIFAS!A:K,5,FALSE),0),
      VLOOKUP(D910,TARIFAS!A:K,4,FALSE) + IF(I910="Sí",VLOOKUP(D910,TARIFAS!A:K,5,FALSE),0)
   ),
   IF(H910="Presencial",
      VLOOKUP(D910,TARIFAS!A:K,9,FALSE) + IF(I910="Sí",VLOOKUP(D910,TARIFAS!A:K,11,FALSE),0),
      VLOOKUP(D910,TARIFAS!A:K,10,FALSE) + IF(I910="Sí",VLOOKUP(D910,TARIFAS!A:K,11,FALSE),0)
   )
 )
)
</f>
        <v>0</v>
      </c>
      <c r="M910" s="45">
        <f>IF(J910="",0,MAX(0,J910 - TARIFAS!G$2) * TARIFAS!F$2)
</f>
        <v>0</v>
      </c>
      <c r="N910" s="45">
        <f>+L910*TARIFAS!$K$2</f>
        <v>0</v>
      </c>
      <c r="O910" s="45">
        <f t="shared" si="1"/>
        <v>0</v>
      </c>
      <c r="P910" s="45">
        <f>+M910+O910+K910+(+I910-(I910*TARIFAS!$K$2))</f>
        <v>0</v>
      </c>
      <c r="Q910" s="42" t="str">
        <f>CONFERENCIAS!T910</f>
        <v/>
      </c>
      <c r="R910" s="45" t="str">
        <f>CONFERENCIAS!U910</f>
        <v/>
      </c>
      <c r="S910" s="45" t="str">
        <f>CONFERENCIAS!W910</f>
        <v/>
      </c>
      <c r="T910" s="48">
        <f>IF(Q910="",0,
   IF(E910=1,
      IF(H910="Presencial",
         VLOOKUP(D910,TARIFAS!A:K,3,FALSE) + IF(I910="Sí",VLOOKUP(D910,TARIFAS!A:K,5,FALSE),0),
         VLOOKUP(D910,TARIFAS!A:K,4,FALSE) + IF(I910="Sí",VLOOKUP(D910,TARIFAS!A:K,5,FALSE),0)
      ),
      IF(H910="Presencial",
         VLOOKUP(D910,TARIFAS!A:K,9,FALSE) + IF(I910="Sí",VLOOKUP(D910,TARIFAS!A:K,11,FALSE),0),
         VLOOKUP(D910,TARIFAS!A:K,10,FALSE) + IF(I910="Sí",VLOOKUP(D910,TARIFAS!A:K,11,FALSE),0)
      )
   )
)
</f>
        <v>0</v>
      </c>
      <c r="U910" s="45">
        <f>IF(R910="",0,MAX(0,R910 - TARIFAS!G$2) * TARIFAS!F$2)
</f>
        <v>0</v>
      </c>
      <c r="V910" s="45">
        <f>+T910*TARIFAS!$K$2</f>
        <v>0</v>
      </c>
      <c r="W910" s="45">
        <f t="shared" si="2"/>
        <v>0</v>
      </c>
      <c r="X910" s="45">
        <f t="shared" si="3"/>
        <v>0</v>
      </c>
      <c r="Y910" s="45">
        <f t="shared" si="4"/>
        <v>0</v>
      </c>
      <c r="Z910" s="42" t="str">
        <f>CONFERENCIAS!AB910</f>
        <v/>
      </c>
      <c r="AA910" s="42" t="str">
        <f>CONFERENCIAS!AC910</f>
        <v/>
      </c>
      <c r="AB910" s="47" t="str">
        <f t="shared" si="5"/>
        <v/>
      </c>
      <c r="AC910" s="9" t="str">
        <f t="shared" si="6"/>
        <v/>
      </c>
    </row>
    <row r="911">
      <c r="A911" s="42" t="str">
        <f>CONFERENCIAS!A911</f>
        <v/>
      </c>
      <c r="D911" s="42" t="str">
        <f>CONFERENCIAS!C911</f>
        <v/>
      </c>
      <c r="E911" s="42" t="str">
        <f>CONFERENCIAS!K911</f>
        <v/>
      </c>
      <c r="F911" s="49" t="str">
        <f>CONFERENCIAS!J911</f>
        <v/>
      </c>
      <c r="G911" s="42" t="str">
        <f>CONFERENCIAS!O911</f>
        <v/>
      </c>
      <c r="H911" s="42" t="str">
        <f>CONFERENCIAS!X911</f>
        <v/>
      </c>
      <c r="I911" s="42" t="str">
        <f>CONFERENCIAS!AA911</f>
        <v/>
      </c>
      <c r="J911" s="44" t="str">
        <f>CONFERENCIAS!P911</f>
        <v/>
      </c>
      <c r="K911" s="45" t="str">
        <f>CONFERENCIAS!R911</f>
        <v/>
      </c>
      <c r="L911" s="45">
        <f>IF(D911="",0,
 IF(E911=1,
   IF(H911="Presencial",
      VLOOKUP(D911,TARIFAS!A:K,3,FALSE) + IF(I911="Sí",VLOOKUP(D911,TARIFAS!A:K,5,FALSE),0),
      VLOOKUP(D911,TARIFAS!A:K,4,FALSE) + IF(I911="Sí",VLOOKUP(D911,TARIFAS!A:K,5,FALSE),0)
   ),
   IF(H911="Presencial",
      VLOOKUP(D911,TARIFAS!A:K,9,FALSE) + IF(I911="Sí",VLOOKUP(D911,TARIFAS!A:K,11,FALSE),0),
      VLOOKUP(D911,TARIFAS!A:K,10,FALSE) + IF(I911="Sí",VLOOKUP(D911,TARIFAS!A:K,11,FALSE),0)
   )
 )
)
</f>
        <v>0</v>
      </c>
      <c r="M911" s="45">
        <f>IF(J911="",0,MAX(0,J911 - TARIFAS!G$2) * TARIFAS!F$2)
</f>
        <v>0</v>
      </c>
      <c r="N911" s="45">
        <f>+L911*TARIFAS!$K$2</f>
        <v>0</v>
      </c>
      <c r="O911" s="45">
        <f t="shared" si="1"/>
        <v>0</v>
      </c>
      <c r="P911" s="45">
        <f>+M911+O911+K911+(+I911-(I911*TARIFAS!$K$2))</f>
        <v>0</v>
      </c>
      <c r="Q911" s="42" t="str">
        <f>CONFERENCIAS!T911</f>
        <v/>
      </c>
      <c r="R911" s="45" t="str">
        <f>CONFERENCIAS!U911</f>
        <v/>
      </c>
      <c r="S911" s="45" t="str">
        <f>CONFERENCIAS!W911</f>
        <v/>
      </c>
      <c r="T911" s="48">
        <f>IF(Q911="",0,
   IF(E911=1,
      IF(H911="Presencial",
         VLOOKUP(D911,TARIFAS!A:K,3,FALSE) + IF(I911="Sí",VLOOKUP(D911,TARIFAS!A:K,5,FALSE),0),
         VLOOKUP(D911,TARIFAS!A:K,4,FALSE) + IF(I911="Sí",VLOOKUP(D911,TARIFAS!A:K,5,FALSE),0)
      ),
      IF(H911="Presencial",
         VLOOKUP(D911,TARIFAS!A:K,9,FALSE) + IF(I911="Sí",VLOOKUP(D911,TARIFAS!A:K,11,FALSE),0),
         VLOOKUP(D911,TARIFAS!A:K,10,FALSE) + IF(I911="Sí",VLOOKUP(D911,TARIFAS!A:K,11,FALSE),0)
      )
   )
)
</f>
        <v>0</v>
      </c>
      <c r="U911" s="45">
        <f>IF(R911="",0,MAX(0,R911 - TARIFAS!G$2) * TARIFAS!F$2)
</f>
        <v>0</v>
      </c>
      <c r="V911" s="45">
        <f>+T911*TARIFAS!$K$2</f>
        <v>0</v>
      </c>
      <c r="W911" s="45">
        <f t="shared" si="2"/>
        <v>0</v>
      </c>
      <c r="X911" s="45">
        <f t="shared" si="3"/>
        <v>0</v>
      </c>
      <c r="Y911" s="45">
        <f t="shared" si="4"/>
        <v>0</v>
      </c>
      <c r="Z911" s="42" t="str">
        <f>CONFERENCIAS!AB911</f>
        <v/>
      </c>
      <c r="AA911" s="42" t="str">
        <f>CONFERENCIAS!AC911</f>
        <v/>
      </c>
      <c r="AB911" s="47" t="str">
        <f t="shared" si="5"/>
        <v/>
      </c>
      <c r="AC911" s="9" t="str">
        <f t="shared" si="6"/>
        <v/>
      </c>
    </row>
    <row r="912">
      <c r="A912" s="42" t="str">
        <f>CONFERENCIAS!A912</f>
        <v/>
      </c>
      <c r="D912" s="42" t="str">
        <f>CONFERENCIAS!C912</f>
        <v/>
      </c>
      <c r="E912" s="42" t="str">
        <f>CONFERENCIAS!K912</f>
        <v/>
      </c>
      <c r="F912" s="49" t="str">
        <f>CONFERENCIAS!J912</f>
        <v/>
      </c>
      <c r="G912" s="42" t="str">
        <f>CONFERENCIAS!O912</f>
        <v/>
      </c>
      <c r="H912" s="42" t="str">
        <f>CONFERENCIAS!X912</f>
        <v/>
      </c>
      <c r="I912" s="42" t="str">
        <f>CONFERENCIAS!AA912</f>
        <v/>
      </c>
      <c r="J912" s="44" t="str">
        <f>CONFERENCIAS!P912</f>
        <v/>
      </c>
      <c r="K912" s="45" t="str">
        <f>CONFERENCIAS!R912</f>
        <v/>
      </c>
      <c r="L912" s="45">
        <f>IF(D912="",0,
 IF(E912=1,
   IF(H912="Presencial",
      VLOOKUP(D912,TARIFAS!A:K,3,FALSE) + IF(I912="Sí",VLOOKUP(D912,TARIFAS!A:K,5,FALSE),0),
      VLOOKUP(D912,TARIFAS!A:K,4,FALSE) + IF(I912="Sí",VLOOKUP(D912,TARIFAS!A:K,5,FALSE),0)
   ),
   IF(H912="Presencial",
      VLOOKUP(D912,TARIFAS!A:K,9,FALSE) + IF(I912="Sí",VLOOKUP(D912,TARIFAS!A:K,11,FALSE),0),
      VLOOKUP(D912,TARIFAS!A:K,10,FALSE) + IF(I912="Sí",VLOOKUP(D912,TARIFAS!A:K,11,FALSE),0)
   )
 )
)
</f>
        <v>0</v>
      </c>
      <c r="M912" s="45">
        <f>IF(J912="",0,MAX(0,J912 - TARIFAS!G$2) * TARIFAS!F$2)
</f>
        <v>0</v>
      </c>
      <c r="N912" s="45">
        <f>+L912*TARIFAS!$K$2</f>
        <v>0</v>
      </c>
      <c r="O912" s="45">
        <f t="shared" si="1"/>
        <v>0</v>
      </c>
      <c r="P912" s="45">
        <f>+M912+O912+K912+(+I912-(I912*TARIFAS!$K$2))</f>
        <v>0</v>
      </c>
      <c r="Q912" s="42" t="str">
        <f>CONFERENCIAS!T912</f>
        <v/>
      </c>
      <c r="R912" s="45" t="str">
        <f>CONFERENCIAS!U912</f>
        <v/>
      </c>
      <c r="S912" s="45" t="str">
        <f>CONFERENCIAS!W912</f>
        <v/>
      </c>
      <c r="T912" s="48">
        <f>IF(Q912="",0,
   IF(E912=1,
      IF(H912="Presencial",
         VLOOKUP(D912,TARIFAS!A:K,3,FALSE) + IF(I912="Sí",VLOOKUP(D912,TARIFAS!A:K,5,FALSE),0),
         VLOOKUP(D912,TARIFAS!A:K,4,FALSE) + IF(I912="Sí",VLOOKUP(D912,TARIFAS!A:K,5,FALSE),0)
      ),
      IF(H912="Presencial",
         VLOOKUP(D912,TARIFAS!A:K,9,FALSE) + IF(I912="Sí",VLOOKUP(D912,TARIFAS!A:K,11,FALSE),0),
         VLOOKUP(D912,TARIFAS!A:K,10,FALSE) + IF(I912="Sí",VLOOKUP(D912,TARIFAS!A:K,11,FALSE),0)
      )
   )
)
</f>
        <v>0</v>
      </c>
      <c r="U912" s="45">
        <f>IF(R912="",0,MAX(0,R912 - TARIFAS!G$2) * TARIFAS!F$2)
</f>
        <v>0</v>
      </c>
      <c r="V912" s="45">
        <f>+T912*TARIFAS!$K$2</f>
        <v>0</v>
      </c>
      <c r="W912" s="45">
        <f t="shared" si="2"/>
        <v>0</v>
      </c>
      <c r="X912" s="45">
        <f t="shared" si="3"/>
        <v>0</v>
      </c>
      <c r="Y912" s="45">
        <f t="shared" si="4"/>
        <v>0</v>
      </c>
      <c r="Z912" s="42" t="str">
        <f>CONFERENCIAS!AB912</f>
        <v/>
      </c>
      <c r="AA912" s="42" t="str">
        <f>CONFERENCIAS!AC912</f>
        <v/>
      </c>
      <c r="AB912" s="47" t="str">
        <f t="shared" si="5"/>
        <v/>
      </c>
      <c r="AC912" s="9" t="str">
        <f t="shared" si="6"/>
        <v/>
      </c>
    </row>
    <row r="913">
      <c r="A913" s="42" t="str">
        <f>CONFERENCIAS!A913</f>
        <v/>
      </c>
      <c r="D913" s="42" t="str">
        <f>CONFERENCIAS!C913</f>
        <v/>
      </c>
      <c r="E913" s="42" t="str">
        <f>CONFERENCIAS!K913</f>
        <v/>
      </c>
      <c r="F913" s="49" t="str">
        <f>CONFERENCIAS!J913</f>
        <v/>
      </c>
      <c r="G913" s="42" t="str">
        <f>CONFERENCIAS!O913</f>
        <v/>
      </c>
      <c r="H913" s="42" t="str">
        <f>CONFERENCIAS!X913</f>
        <v/>
      </c>
      <c r="I913" s="42" t="str">
        <f>CONFERENCIAS!AA913</f>
        <v/>
      </c>
      <c r="J913" s="44" t="str">
        <f>CONFERENCIAS!P913</f>
        <v/>
      </c>
      <c r="K913" s="45" t="str">
        <f>CONFERENCIAS!R913</f>
        <v/>
      </c>
      <c r="L913" s="45">
        <f>IF(D913="",0,
 IF(E913=1,
   IF(H913="Presencial",
      VLOOKUP(D913,TARIFAS!A:K,3,FALSE) + IF(I913="Sí",VLOOKUP(D913,TARIFAS!A:K,5,FALSE),0),
      VLOOKUP(D913,TARIFAS!A:K,4,FALSE) + IF(I913="Sí",VLOOKUP(D913,TARIFAS!A:K,5,FALSE),0)
   ),
   IF(H913="Presencial",
      VLOOKUP(D913,TARIFAS!A:K,9,FALSE) + IF(I913="Sí",VLOOKUP(D913,TARIFAS!A:K,11,FALSE),0),
      VLOOKUP(D913,TARIFAS!A:K,10,FALSE) + IF(I913="Sí",VLOOKUP(D913,TARIFAS!A:K,11,FALSE),0)
   )
 )
)
</f>
        <v>0</v>
      </c>
      <c r="M913" s="45">
        <f>IF(J913="",0,MAX(0,J913 - TARIFAS!G$2) * TARIFAS!F$2)
</f>
        <v>0</v>
      </c>
      <c r="N913" s="45">
        <f>+L913*TARIFAS!$K$2</f>
        <v>0</v>
      </c>
      <c r="O913" s="45">
        <f t="shared" si="1"/>
        <v>0</v>
      </c>
      <c r="P913" s="45">
        <f>+M913+O913+K913+(+I913-(I913*TARIFAS!$K$2))</f>
        <v>0</v>
      </c>
      <c r="Q913" s="42" t="str">
        <f>CONFERENCIAS!T913</f>
        <v/>
      </c>
      <c r="R913" s="45" t="str">
        <f>CONFERENCIAS!U913</f>
        <v/>
      </c>
      <c r="S913" s="45" t="str">
        <f>CONFERENCIAS!W913</f>
        <v/>
      </c>
      <c r="T913" s="48">
        <f>IF(Q913="",0,
   IF(E913=1,
      IF(H913="Presencial",
         VLOOKUP(D913,TARIFAS!A:K,3,FALSE) + IF(I913="Sí",VLOOKUP(D913,TARIFAS!A:K,5,FALSE),0),
         VLOOKUP(D913,TARIFAS!A:K,4,FALSE) + IF(I913="Sí",VLOOKUP(D913,TARIFAS!A:K,5,FALSE),0)
      ),
      IF(H913="Presencial",
         VLOOKUP(D913,TARIFAS!A:K,9,FALSE) + IF(I913="Sí",VLOOKUP(D913,TARIFAS!A:K,11,FALSE),0),
         VLOOKUP(D913,TARIFAS!A:K,10,FALSE) + IF(I913="Sí",VLOOKUP(D913,TARIFAS!A:K,11,FALSE),0)
      )
   )
)
</f>
        <v>0</v>
      </c>
      <c r="U913" s="45">
        <f>IF(R913="",0,MAX(0,R913 - TARIFAS!G$2) * TARIFAS!F$2)
</f>
        <v>0</v>
      </c>
      <c r="V913" s="45">
        <f>+T913*TARIFAS!$K$2</f>
        <v>0</v>
      </c>
      <c r="W913" s="45">
        <f t="shared" si="2"/>
        <v>0</v>
      </c>
      <c r="X913" s="45">
        <f t="shared" si="3"/>
        <v>0</v>
      </c>
      <c r="Y913" s="45">
        <f t="shared" si="4"/>
        <v>0</v>
      </c>
      <c r="Z913" s="42" t="str">
        <f>CONFERENCIAS!AB913</f>
        <v/>
      </c>
      <c r="AA913" s="42" t="str">
        <f>CONFERENCIAS!AC913</f>
        <v/>
      </c>
      <c r="AB913" s="47" t="str">
        <f t="shared" si="5"/>
        <v/>
      </c>
      <c r="AC913" s="9" t="str">
        <f t="shared" si="6"/>
        <v/>
      </c>
    </row>
    <row r="914">
      <c r="A914" s="42" t="str">
        <f>CONFERENCIAS!A914</f>
        <v/>
      </c>
      <c r="D914" s="42" t="str">
        <f>CONFERENCIAS!C914</f>
        <v/>
      </c>
      <c r="E914" s="42" t="str">
        <f>CONFERENCIAS!K914</f>
        <v/>
      </c>
      <c r="F914" s="49" t="str">
        <f>CONFERENCIAS!J914</f>
        <v/>
      </c>
      <c r="G914" s="42" t="str">
        <f>CONFERENCIAS!O914</f>
        <v/>
      </c>
      <c r="H914" s="42" t="str">
        <f>CONFERENCIAS!X914</f>
        <v/>
      </c>
      <c r="I914" s="42" t="str">
        <f>CONFERENCIAS!AA914</f>
        <v/>
      </c>
      <c r="J914" s="44" t="str">
        <f>CONFERENCIAS!P914</f>
        <v/>
      </c>
      <c r="K914" s="45" t="str">
        <f>CONFERENCIAS!R914</f>
        <v/>
      </c>
      <c r="L914" s="45">
        <f>IF(D914="",0,
 IF(E914=1,
   IF(H914="Presencial",
      VLOOKUP(D914,TARIFAS!A:K,3,FALSE) + IF(I914="Sí",VLOOKUP(D914,TARIFAS!A:K,5,FALSE),0),
      VLOOKUP(D914,TARIFAS!A:K,4,FALSE) + IF(I914="Sí",VLOOKUP(D914,TARIFAS!A:K,5,FALSE),0)
   ),
   IF(H914="Presencial",
      VLOOKUP(D914,TARIFAS!A:K,9,FALSE) + IF(I914="Sí",VLOOKUP(D914,TARIFAS!A:K,11,FALSE),0),
      VLOOKUP(D914,TARIFAS!A:K,10,FALSE) + IF(I914="Sí",VLOOKUP(D914,TARIFAS!A:K,11,FALSE),0)
   )
 )
)
</f>
        <v>0</v>
      </c>
      <c r="M914" s="45">
        <f>IF(J914="",0,MAX(0,J914 - TARIFAS!G$2) * TARIFAS!F$2)
</f>
        <v>0</v>
      </c>
      <c r="N914" s="45">
        <f>+L914*TARIFAS!$K$2</f>
        <v>0</v>
      </c>
      <c r="O914" s="45">
        <f t="shared" si="1"/>
        <v>0</v>
      </c>
      <c r="P914" s="45">
        <f>+M914+O914+K914+(+I914-(I914*TARIFAS!$K$2))</f>
        <v>0</v>
      </c>
      <c r="Q914" s="42" t="str">
        <f>CONFERENCIAS!T914</f>
        <v/>
      </c>
      <c r="R914" s="45" t="str">
        <f>CONFERENCIAS!U914</f>
        <v/>
      </c>
      <c r="S914" s="45" t="str">
        <f>CONFERENCIAS!W914</f>
        <v/>
      </c>
      <c r="T914" s="48">
        <f>IF(Q914="",0,
   IF(E914=1,
      IF(H914="Presencial",
         VLOOKUP(D914,TARIFAS!A:K,3,FALSE) + IF(I914="Sí",VLOOKUP(D914,TARIFAS!A:K,5,FALSE),0),
         VLOOKUP(D914,TARIFAS!A:K,4,FALSE) + IF(I914="Sí",VLOOKUP(D914,TARIFAS!A:K,5,FALSE),0)
      ),
      IF(H914="Presencial",
         VLOOKUP(D914,TARIFAS!A:K,9,FALSE) + IF(I914="Sí",VLOOKUP(D914,TARIFAS!A:K,11,FALSE),0),
         VLOOKUP(D914,TARIFAS!A:K,10,FALSE) + IF(I914="Sí",VLOOKUP(D914,TARIFAS!A:K,11,FALSE),0)
      )
   )
)
</f>
        <v>0</v>
      </c>
      <c r="U914" s="45">
        <f>IF(R914="",0,MAX(0,R914 - TARIFAS!G$2) * TARIFAS!F$2)
</f>
        <v>0</v>
      </c>
      <c r="V914" s="45">
        <f>+T914*TARIFAS!$K$2</f>
        <v>0</v>
      </c>
      <c r="W914" s="45">
        <f t="shared" si="2"/>
        <v>0</v>
      </c>
      <c r="X914" s="45">
        <f t="shared" si="3"/>
        <v>0</v>
      </c>
      <c r="Y914" s="45">
        <f t="shared" si="4"/>
        <v>0</v>
      </c>
      <c r="Z914" s="42" t="str">
        <f>CONFERENCIAS!AB914</f>
        <v/>
      </c>
      <c r="AA914" s="42" t="str">
        <f>CONFERENCIAS!AC914</f>
        <v/>
      </c>
      <c r="AB914" s="47" t="str">
        <f t="shared" si="5"/>
        <v/>
      </c>
      <c r="AC914" s="9" t="str">
        <f t="shared" si="6"/>
        <v/>
      </c>
    </row>
    <row r="915">
      <c r="A915" s="42" t="str">
        <f>CONFERENCIAS!A915</f>
        <v/>
      </c>
      <c r="D915" s="42" t="str">
        <f>CONFERENCIAS!C915</f>
        <v/>
      </c>
      <c r="E915" s="42" t="str">
        <f>CONFERENCIAS!K915</f>
        <v/>
      </c>
      <c r="F915" s="49" t="str">
        <f>CONFERENCIAS!J915</f>
        <v/>
      </c>
      <c r="G915" s="42" t="str">
        <f>CONFERENCIAS!O915</f>
        <v/>
      </c>
      <c r="H915" s="42" t="str">
        <f>CONFERENCIAS!X915</f>
        <v/>
      </c>
      <c r="I915" s="42" t="str">
        <f>CONFERENCIAS!AA915</f>
        <v/>
      </c>
      <c r="J915" s="44" t="str">
        <f>CONFERENCIAS!P915</f>
        <v/>
      </c>
      <c r="K915" s="45" t="str">
        <f>CONFERENCIAS!R915</f>
        <v/>
      </c>
      <c r="L915" s="45">
        <f>IF(D915="",0,
 IF(E915=1,
   IF(H915="Presencial",
      VLOOKUP(D915,TARIFAS!A:K,3,FALSE) + IF(I915="Sí",VLOOKUP(D915,TARIFAS!A:K,5,FALSE),0),
      VLOOKUP(D915,TARIFAS!A:K,4,FALSE) + IF(I915="Sí",VLOOKUP(D915,TARIFAS!A:K,5,FALSE),0)
   ),
   IF(H915="Presencial",
      VLOOKUP(D915,TARIFAS!A:K,9,FALSE) + IF(I915="Sí",VLOOKUP(D915,TARIFAS!A:K,11,FALSE),0),
      VLOOKUP(D915,TARIFAS!A:K,10,FALSE) + IF(I915="Sí",VLOOKUP(D915,TARIFAS!A:K,11,FALSE),0)
   )
 )
)
</f>
        <v>0</v>
      </c>
      <c r="M915" s="45">
        <f>IF(J915="",0,MAX(0,J915 - TARIFAS!G$2) * TARIFAS!F$2)
</f>
        <v>0</v>
      </c>
      <c r="N915" s="45">
        <f>+L915*TARIFAS!$K$2</f>
        <v>0</v>
      </c>
      <c r="O915" s="45">
        <f t="shared" si="1"/>
        <v>0</v>
      </c>
      <c r="P915" s="45">
        <f>+M915+O915+K915+(+I915-(I915*TARIFAS!$K$2))</f>
        <v>0</v>
      </c>
      <c r="Q915" s="42" t="str">
        <f>CONFERENCIAS!T915</f>
        <v/>
      </c>
      <c r="R915" s="45" t="str">
        <f>CONFERENCIAS!U915</f>
        <v/>
      </c>
      <c r="S915" s="45" t="str">
        <f>CONFERENCIAS!W915</f>
        <v/>
      </c>
      <c r="T915" s="48">
        <f>IF(Q915="",0,
   IF(E915=1,
      IF(H915="Presencial",
         VLOOKUP(D915,TARIFAS!A:K,3,FALSE) + IF(I915="Sí",VLOOKUP(D915,TARIFAS!A:K,5,FALSE),0),
         VLOOKUP(D915,TARIFAS!A:K,4,FALSE) + IF(I915="Sí",VLOOKUP(D915,TARIFAS!A:K,5,FALSE),0)
      ),
      IF(H915="Presencial",
         VLOOKUP(D915,TARIFAS!A:K,9,FALSE) + IF(I915="Sí",VLOOKUP(D915,TARIFAS!A:K,11,FALSE),0),
         VLOOKUP(D915,TARIFAS!A:K,10,FALSE) + IF(I915="Sí",VLOOKUP(D915,TARIFAS!A:K,11,FALSE),0)
      )
   )
)
</f>
        <v>0</v>
      </c>
      <c r="U915" s="45">
        <f>IF(R915="",0,MAX(0,R915 - TARIFAS!G$2) * TARIFAS!F$2)
</f>
        <v>0</v>
      </c>
      <c r="V915" s="45">
        <f>+T915*TARIFAS!$K$2</f>
        <v>0</v>
      </c>
      <c r="W915" s="45">
        <f t="shared" si="2"/>
        <v>0</v>
      </c>
      <c r="X915" s="45">
        <f t="shared" si="3"/>
        <v>0</v>
      </c>
      <c r="Y915" s="45">
        <f t="shared" si="4"/>
        <v>0</v>
      </c>
      <c r="Z915" s="42" t="str">
        <f>CONFERENCIAS!AB915</f>
        <v/>
      </c>
      <c r="AA915" s="42" t="str">
        <f>CONFERENCIAS!AC915</f>
        <v/>
      </c>
      <c r="AB915" s="47" t="str">
        <f t="shared" si="5"/>
        <v/>
      </c>
      <c r="AC915" s="9" t="str">
        <f t="shared" si="6"/>
        <v/>
      </c>
    </row>
    <row r="916">
      <c r="A916" s="42" t="str">
        <f>CONFERENCIAS!A916</f>
        <v/>
      </c>
      <c r="D916" s="42" t="str">
        <f>CONFERENCIAS!C916</f>
        <v/>
      </c>
      <c r="E916" s="42" t="str">
        <f>CONFERENCIAS!K916</f>
        <v/>
      </c>
      <c r="F916" s="49" t="str">
        <f>CONFERENCIAS!J916</f>
        <v/>
      </c>
      <c r="G916" s="42" t="str">
        <f>CONFERENCIAS!O916</f>
        <v/>
      </c>
      <c r="H916" s="42" t="str">
        <f>CONFERENCIAS!X916</f>
        <v/>
      </c>
      <c r="I916" s="42" t="str">
        <f>CONFERENCIAS!AA916</f>
        <v/>
      </c>
      <c r="J916" s="44" t="str">
        <f>CONFERENCIAS!P916</f>
        <v/>
      </c>
      <c r="K916" s="45" t="str">
        <f>CONFERENCIAS!R916</f>
        <v/>
      </c>
      <c r="L916" s="45">
        <f>IF(D916="",0,
 IF(E916=1,
   IF(H916="Presencial",
      VLOOKUP(D916,TARIFAS!A:K,3,FALSE) + IF(I916="Sí",VLOOKUP(D916,TARIFAS!A:K,5,FALSE),0),
      VLOOKUP(D916,TARIFAS!A:K,4,FALSE) + IF(I916="Sí",VLOOKUP(D916,TARIFAS!A:K,5,FALSE),0)
   ),
   IF(H916="Presencial",
      VLOOKUP(D916,TARIFAS!A:K,9,FALSE) + IF(I916="Sí",VLOOKUP(D916,TARIFAS!A:K,11,FALSE),0),
      VLOOKUP(D916,TARIFAS!A:K,10,FALSE) + IF(I916="Sí",VLOOKUP(D916,TARIFAS!A:K,11,FALSE),0)
   )
 )
)
</f>
        <v>0</v>
      </c>
      <c r="M916" s="45">
        <f>IF(J916="",0,MAX(0,J916 - TARIFAS!G$2) * TARIFAS!F$2)
</f>
        <v>0</v>
      </c>
      <c r="N916" s="45">
        <f>+L916*TARIFAS!$K$2</f>
        <v>0</v>
      </c>
      <c r="O916" s="45">
        <f t="shared" si="1"/>
        <v>0</v>
      </c>
      <c r="P916" s="45">
        <f>+M916+O916+K916+(+I916-(I916*TARIFAS!$K$2))</f>
        <v>0</v>
      </c>
      <c r="Q916" s="42" t="str">
        <f>CONFERENCIAS!T916</f>
        <v/>
      </c>
      <c r="R916" s="45" t="str">
        <f>CONFERENCIAS!U916</f>
        <v/>
      </c>
      <c r="S916" s="45" t="str">
        <f>CONFERENCIAS!W916</f>
        <v/>
      </c>
      <c r="T916" s="48">
        <f>IF(Q916="",0,
   IF(E916=1,
      IF(H916="Presencial",
         VLOOKUP(D916,TARIFAS!A:K,3,FALSE) + IF(I916="Sí",VLOOKUP(D916,TARIFAS!A:K,5,FALSE),0),
         VLOOKUP(D916,TARIFAS!A:K,4,FALSE) + IF(I916="Sí",VLOOKUP(D916,TARIFAS!A:K,5,FALSE),0)
      ),
      IF(H916="Presencial",
         VLOOKUP(D916,TARIFAS!A:K,9,FALSE) + IF(I916="Sí",VLOOKUP(D916,TARIFAS!A:K,11,FALSE),0),
         VLOOKUP(D916,TARIFAS!A:K,10,FALSE) + IF(I916="Sí",VLOOKUP(D916,TARIFAS!A:K,11,FALSE),0)
      )
   )
)
</f>
        <v>0</v>
      </c>
      <c r="U916" s="45">
        <f>IF(R916="",0,MAX(0,R916 - TARIFAS!G$2) * TARIFAS!F$2)
</f>
        <v>0</v>
      </c>
      <c r="V916" s="45">
        <f>+T916*TARIFAS!$K$2</f>
        <v>0</v>
      </c>
      <c r="W916" s="45">
        <f t="shared" si="2"/>
        <v>0</v>
      </c>
      <c r="X916" s="45">
        <f t="shared" si="3"/>
        <v>0</v>
      </c>
      <c r="Y916" s="45">
        <f t="shared" si="4"/>
        <v>0</v>
      </c>
      <c r="Z916" s="42" t="str">
        <f>CONFERENCIAS!AB916</f>
        <v/>
      </c>
      <c r="AA916" s="42" t="str">
        <f>CONFERENCIAS!AC916</f>
        <v/>
      </c>
      <c r="AB916" s="47" t="str">
        <f t="shared" si="5"/>
        <v/>
      </c>
      <c r="AC916" s="9" t="str">
        <f t="shared" si="6"/>
        <v/>
      </c>
    </row>
    <row r="917">
      <c r="A917" s="42" t="str">
        <f>CONFERENCIAS!A917</f>
        <v/>
      </c>
      <c r="D917" s="42" t="str">
        <f>CONFERENCIAS!C917</f>
        <v/>
      </c>
      <c r="E917" s="42" t="str">
        <f>CONFERENCIAS!K917</f>
        <v/>
      </c>
      <c r="F917" s="49" t="str">
        <f>CONFERENCIAS!J917</f>
        <v/>
      </c>
      <c r="G917" s="42" t="str">
        <f>CONFERENCIAS!O917</f>
        <v/>
      </c>
      <c r="H917" s="42" t="str">
        <f>CONFERENCIAS!X917</f>
        <v/>
      </c>
      <c r="I917" s="42" t="str">
        <f>CONFERENCIAS!AA917</f>
        <v/>
      </c>
      <c r="J917" s="44" t="str">
        <f>CONFERENCIAS!P917</f>
        <v/>
      </c>
      <c r="K917" s="45" t="str">
        <f>CONFERENCIAS!R917</f>
        <v/>
      </c>
      <c r="L917" s="45">
        <f>IF(D917="",0,
 IF(E917=1,
   IF(H917="Presencial",
      VLOOKUP(D917,TARIFAS!A:K,3,FALSE) + IF(I917="Sí",VLOOKUP(D917,TARIFAS!A:K,5,FALSE),0),
      VLOOKUP(D917,TARIFAS!A:K,4,FALSE) + IF(I917="Sí",VLOOKUP(D917,TARIFAS!A:K,5,FALSE),0)
   ),
   IF(H917="Presencial",
      VLOOKUP(D917,TARIFAS!A:K,9,FALSE) + IF(I917="Sí",VLOOKUP(D917,TARIFAS!A:K,11,FALSE),0),
      VLOOKUP(D917,TARIFAS!A:K,10,FALSE) + IF(I917="Sí",VLOOKUP(D917,TARIFAS!A:K,11,FALSE),0)
   )
 )
)
</f>
        <v>0</v>
      </c>
      <c r="M917" s="45">
        <f>IF(J917="",0,MAX(0,J917 - TARIFAS!G$2) * TARIFAS!F$2)
</f>
        <v>0</v>
      </c>
      <c r="N917" s="45">
        <f>+L917*TARIFAS!$K$2</f>
        <v>0</v>
      </c>
      <c r="O917" s="45">
        <f t="shared" si="1"/>
        <v>0</v>
      </c>
      <c r="P917" s="45">
        <f>+M917+O917+K917+(+I917-(I917*TARIFAS!$K$2))</f>
        <v>0</v>
      </c>
      <c r="Q917" s="42" t="str">
        <f>CONFERENCIAS!T917</f>
        <v/>
      </c>
      <c r="R917" s="45" t="str">
        <f>CONFERENCIAS!U917</f>
        <v/>
      </c>
      <c r="S917" s="45" t="str">
        <f>CONFERENCIAS!W917</f>
        <v/>
      </c>
      <c r="T917" s="48">
        <f>IF(Q917="",0,
   IF(E917=1,
      IF(H917="Presencial",
         VLOOKUP(D917,TARIFAS!A:K,3,FALSE) + IF(I917="Sí",VLOOKUP(D917,TARIFAS!A:K,5,FALSE),0),
         VLOOKUP(D917,TARIFAS!A:K,4,FALSE) + IF(I917="Sí",VLOOKUP(D917,TARIFAS!A:K,5,FALSE),0)
      ),
      IF(H917="Presencial",
         VLOOKUP(D917,TARIFAS!A:K,9,FALSE) + IF(I917="Sí",VLOOKUP(D917,TARIFAS!A:K,11,FALSE),0),
         VLOOKUP(D917,TARIFAS!A:K,10,FALSE) + IF(I917="Sí",VLOOKUP(D917,TARIFAS!A:K,11,FALSE),0)
      )
   )
)
</f>
        <v>0</v>
      </c>
      <c r="U917" s="45">
        <f>IF(R917="",0,MAX(0,R917 - TARIFAS!G$2) * TARIFAS!F$2)
</f>
        <v>0</v>
      </c>
      <c r="V917" s="45">
        <f>+T917*TARIFAS!$K$2</f>
        <v>0</v>
      </c>
      <c r="W917" s="45">
        <f t="shared" si="2"/>
        <v>0</v>
      </c>
      <c r="X917" s="45">
        <f t="shared" si="3"/>
        <v>0</v>
      </c>
      <c r="Y917" s="45">
        <f t="shared" si="4"/>
        <v>0</v>
      </c>
      <c r="Z917" s="42" t="str">
        <f>CONFERENCIAS!AB917</f>
        <v/>
      </c>
      <c r="AA917" s="42" t="str">
        <f>CONFERENCIAS!AC917</f>
        <v/>
      </c>
      <c r="AB917" s="47" t="str">
        <f t="shared" si="5"/>
        <v/>
      </c>
      <c r="AC917" s="9" t="str">
        <f t="shared" si="6"/>
        <v/>
      </c>
    </row>
    <row r="918">
      <c r="A918" s="42" t="str">
        <f>CONFERENCIAS!A918</f>
        <v/>
      </c>
      <c r="D918" s="42" t="str">
        <f>CONFERENCIAS!C918</f>
        <v/>
      </c>
      <c r="E918" s="42" t="str">
        <f>CONFERENCIAS!K918</f>
        <v/>
      </c>
      <c r="F918" s="49" t="str">
        <f>CONFERENCIAS!J918</f>
        <v/>
      </c>
      <c r="G918" s="42" t="str">
        <f>CONFERENCIAS!O918</f>
        <v/>
      </c>
      <c r="H918" s="42" t="str">
        <f>CONFERENCIAS!X918</f>
        <v/>
      </c>
      <c r="I918" s="42" t="str">
        <f>CONFERENCIAS!AA918</f>
        <v/>
      </c>
      <c r="J918" s="44" t="str">
        <f>CONFERENCIAS!P918</f>
        <v/>
      </c>
      <c r="K918" s="45" t="str">
        <f>CONFERENCIAS!R918</f>
        <v/>
      </c>
      <c r="L918" s="45">
        <f>IF(D918="",0,
 IF(E918=1,
   IF(H918="Presencial",
      VLOOKUP(D918,TARIFAS!A:K,3,FALSE) + IF(I918="Sí",VLOOKUP(D918,TARIFAS!A:K,5,FALSE),0),
      VLOOKUP(D918,TARIFAS!A:K,4,FALSE) + IF(I918="Sí",VLOOKUP(D918,TARIFAS!A:K,5,FALSE),0)
   ),
   IF(H918="Presencial",
      VLOOKUP(D918,TARIFAS!A:K,9,FALSE) + IF(I918="Sí",VLOOKUP(D918,TARIFAS!A:K,11,FALSE),0),
      VLOOKUP(D918,TARIFAS!A:K,10,FALSE) + IF(I918="Sí",VLOOKUP(D918,TARIFAS!A:K,11,FALSE),0)
   )
 )
)
</f>
        <v>0</v>
      </c>
      <c r="M918" s="45">
        <f>IF(J918="",0,MAX(0,J918 - TARIFAS!G$2) * TARIFAS!F$2)
</f>
        <v>0</v>
      </c>
      <c r="N918" s="45">
        <f>+L918*TARIFAS!$K$2</f>
        <v>0</v>
      </c>
      <c r="O918" s="45">
        <f t="shared" si="1"/>
        <v>0</v>
      </c>
      <c r="P918" s="45">
        <f>+M918+O918+K918+(+I918-(I918*TARIFAS!$K$2))</f>
        <v>0</v>
      </c>
      <c r="Q918" s="42" t="str">
        <f>CONFERENCIAS!T918</f>
        <v/>
      </c>
      <c r="R918" s="45" t="str">
        <f>CONFERENCIAS!U918</f>
        <v/>
      </c>
      <c r="S918" s="45" t="str">
        <f>CONFERENCIAS!W918</f>
        <v/>
      </c>
      <c r="T918" s="48">
        <f>IF(Q918="",0,
   IF(E918=1,
      IF(H918="Presencial",
         VLOOKUP(D918,TARIFAS!A:K,3,FALSE) + IF(I918="Sí",VLOOKUP(D918,TARIFAS!A:K,5,FALSE),0),
         VLOOKUP(D918,TARIFAS!A:K,4,FALSE) + IF(I918="Sí",VLOOKUP(D918,TARIFAS!A:K,5,FALSE),0)
      ),
      IF(H918="Presencial",
         VLOOKUP(D918,TARIFAS!A:K,9,FALSE) + IF(I918="Sí",VLOOKUP(D918,TARIFAS!A:K,11,FALSE),0),
         VLOOKUP(D918,TARIFAS!A:K,10,FALSE) + IF(I918="Sí",VLOOKUP(D918,TARIFAS!A:K,11,FALSE),0)
      )
   )
)
</f>
        <v>0</v>
      </c>
      <c r="U918" s="45">
        <f>IF(R918="",0,MAX(0,R918 - TARIFAS!G$2) * TARIFAS!F$2)
</f>
        <v>0</v>
      </c>
      <c r="V918" s="45">
        <f>+T918*TARIFAS!$K$2</f>
        <v>0</v>
      </c>
      <c r="W918" s="45">
        <f t="shared" si="2"/>
        <v>0</v>
      </c>
      <c r="X918" s="45">
        <f t="shared" si="3"/>
        <v>0</v>
      </c>
      <c r="Y918" s="45">
        <f t="shared" si="4"/>
        <v>0</v>
      </c>
      <c r="Z918" s="42" t="str">
        <f>CONFERENCIAS!AB918</f>
        <v/>
      </c>
      <c r="AA918" s="42" t="str">
        <f>CONFERENCIAS!AC918</f>
        <v/>
      </c>
      <c r="AB918" s="47" t="str">
        <f t="shared" si="5"/>
        <v/>
      </c>
      <c r="AC918" s="9" t="str">
        <f t="shared" si="6"/>
        <v/>
      </c>
    </row>
    <row r="919">
      <c r="A919" s="42" t="str">
        <f>CONFERENCIAS!A919</f>
        <v/>
      </c>
      <c r="D919" s="42" t="str">
        <f>CONFERENCIAS!C919</f>
        <v/>
      </c>
      <c r="E919" s="42" t="str">
        <f>CONFERENCIAS!K919</f>
        <v/>
      </c>
      <c r="F919" s="49" t="str">
        <f>CONFERENCIAS!J919</f>
        <v/>
      </c>
      <c r="G919" s="42" t="str">
        <f>CONFERENCIAS!O919</f>
        <v/>
      </c>
      <c r="H919" s="42" t="str">
        <f>CONFERENCIAS!X919</f>
        <v/>
      </c>
      <c r="I919" s="42" t="str">
        <f>CONFERENCIAS!AA919</f>
        <v/>
      </c>
      <c r="J919" s="44" t="str">
        <f>CONFERENCIAS!P919</f>
        <v/>
      </c>
      <c r="K919" s="45" t="str">
        <f>CONFERENCIAS!R919</f>
        <v/>
      </c>
      <c r="L919" s="45">
        <f>IF(D919="",0,
 IF(E919=1,
   IF(H919="Presencial",
      VLOOKUP(D919,TARIFAS!A:K,3,FALSE) + IF(I919="Sí",VLOOKUP(D919,TARIFAS!A:K,5,FALSE),0),
      VLOOKUP(D919,TARIFAS!A:K,4,FALSE) + IF(I919="Sí",VLOOKUP(D919,TARIFAS!A:K,5,FALSE),0)
   ),
   IF(H919="Presencial",
      VLOOKUP(D919,TARIFAS!A:K,9,FALSE) + IF(I919="Sí",VLOOKUP(D919,TARIFAS!A:K,11,FALSE),0),
      VLOOKUP(D919,TARIFAS!A:K,10,FALSE) + IF(I919="Sí",VLOOKUP(D919,TARIFAS!A:K,11,FALSE),0)
   )
 )
)
</f>
        <v>0</v>
      </c>
      <c r="M919" s="45">
        <f>IF(J919="",0,MAX(0,J919 - TARIFAS!G$2) * TARIFAS!F$2)
</f>
        <v>0</v>
      </c>
      <c r="N919" s="45">
        <f>+L919*TARIFAS!$K$2</f>
        <v>0</v>
      </c>
      <c r="O919" s="45">
        <f t="shared" si="1"/>
        <v>0</v>
      </c>
      <c r="P919" s="45">
        <f>+M919+O919+K919+(+I919-(I919*TARIFAS!$K$2))</f>
        <v>0</v>
      </c>
      <c r="Q919" s="42" t="str">
        <f>CONFERENCIAS!T919</f>
        <v/>
      </c>
      <c r="R919" s="45" t="str">
        <f>CONFERENCIAS!U919</f>
        <v/>
      </c>
      <c r="S919" s="45" t="str">
        <f>CONFERENCIAS!W919</f>
        <v/>
      </c>
      <c r="T919" s="48">
        <f>IF(Q919="",0,
   IF(E919=1,
      IF(H919="Presencial",
         VLOOKUP(D919,TARIFAS!A:K,3,FALSE) + IF(I919="Sí",VLOOKUP(D919,TARIFAS!A:K,5,FALSE),0),
         VLOOKUP(D919,TARIFAS!A:K,4,FALSE) + IF(I919="Sí",VLOOKUP(D919,TARIFAS!A:K,5,FALSE),0)
      ),
      IF(H919="Presencial",
         VLOOKUP(D919,TARIFAS!A:K,9,FALSE) + IF(I919="Sí",VLOOKUP(D919,TARIFAS!A:K,11,FALSE),0),
         VLOOKUP(D919,TARIFAS!A:K,10,FALSE) + IF(I919="Sí",VLOOKUP(D919,TARIFAS!A:K,11,FALSE),0)
      )
   )
)
</f>
        <v>0</v>
      </c>
      <c r="U919" s="45">
        <f>IF(R919="",0,MAX(0,R919 - TARIFAS!G$2) * TARIFAS!F$2)
</f>
        <v>0</v>
      </c>
      <c r="V919" s="45">
        <f>+T919*TARIFAS!$K$2</f>
        <v>0</v>
      </c>
      <c r="W919" s="45">
        <f t="shared" si="2"/>
        <v>0</v>
      </c>
      <c r="X919" s="45">
        <f t="shared" si="3"/>
        <v>0</v>
      </c>
      <c r="Y919" s="45">
        <f t="shared" si="4"/>
        <v>0</v>
      </c>
      <c r="Z919" s="42" t="str">
        <f>CONFERENCIAS!AB919</f>
        <v/>
      </c>
      <c r="AA919" s="42" t="str">
        <f>CONFERENCIAS!AC919</f>
        <v/>
      </c>
      <c r="AB919" s="47" t="str">
        <f t="shared" si="5"/>
        <v/>
      </c>
      <c r="AC919" s="9" t="str">
        <f t="shared" si="6"/>
        <v/>
      </c>
    </row>
    <row r="920">
      <c r="A920" s="42" t="str">
        <f>CONFERENCIAS!A920</f>
        <v/>
      </c>
      <c r="D920" s="42" t="str">
        <f>CONFERENCIAS!C920</f>
        <v/>
      </c>
      <c r="E920" s="42" t="str">
        <f>CONFERENCIAS!K920</f>
        <v/>
      </c>
      <c r="F920" s="49" t="str">
        <f>CONFERENCIAS!J920</f>
        <v/>
      </c>
      <c r="G920" s="42" t="str">
        <f>CONFERENCIAS!O920</f>
        <v/>
      </c>
      <c r="H920" s="42" t="str">
        <f>CONFERENCIAS!X920</f>
        <v/>
      </c>
      <c r="I920" s="42" t="str">
        <f>CONFERENCIAS!AA920</f>
        <v/>
      </c>
      <c r="J920" s="44" t="str">
        <f>CONFERENCIAS!P920</f>
        <v/>
      </c>
      <c r="K920" s="45" t="str">
        <f>CONFERENCIAS!R920</f>
        <v/>
      </c>
      <c r="L920" s="45">
        <f>IF(D920="",0,
 IF(E920=1,
   IF(H920="Presencial",
      VLOOKUP(D920,TARIFAS!A:K,3,FALSE) + IF(I920="Sí",VLOOKUP(D920,TARIFAS!A:K,5,FALSE),0),
      VLOOKUP(D920,TARIFAS!A:K,4,FALSE) + IF(I920="Sí",VLOOKUP(D920,TARIFAS!A:K,5,FALSE),0)
   ),
   IF(H920="Presencial",
      VLOOKUP(D920,TARIFAS!A:K,9,FALSE) + IF(I920="Sí",VLOOKUP(D920,TARIFAS!A:K,11,FALSE),0),
      VLOOKUP(D920,TARIFAS!A:K,10,FALSE) + IF(I920="Sí",VLOOKUP(D920,TARIFAS!A:K,11,FALSE),0)
   )
 )
)
</f>
        <v>0</v>
      </c>
      <c r="M920" s="45">
        <f>IF(J920="",0,MAX(0,J920 - TARIFAS!G$2) * TARIFAS!F$2)
</f>
        <v>0</v>
      </c>
      <c r="N920" s="45">
        <f>+L920*TARIFAS!$K$2</f>
        <v>0</v>
      </c>
      <c r="O920" s="45">
        <f t="shared" si="1"/>
        <v>0</v>
      </c>
      <c r="P920" s="45">
        <f>+M920+O920+K920+(+I920-(I920*TARIFAS!$K$2))</f>
        <v>0</v>
      </c>
      <c r="Q920" s="42" t="str">
        <f>CONFERENCIAS!T920</f>
        <v/>
      </c>
      <c r="R920" s="45" t="str">
        <f>CONFERENCIAS!U920</f>
        <v/>
      </c>
      <c r="S920" s="45" t="str">
        <f>CONFERENCIAS!W920</f>
        <v/>
      </c>
      <c r="T920" s="48">
        <f>IF(Q920="",0,
   IF(E920=1,
      IF(H920="Presencial",
         VLOOKUP(D920,TARIFAS!A:K,3,FALSE) + IF(I920="Sí",VLOOKUP(D920,TARIFAS!A:K,5,FALSE),0),
         VLOOKUP(D920,TARIFAS!A:K,4,FALSE) + IF(I920="Sí",VLOOKUP(D920,TARIFAS!A:K,5,FALSE),0)
      ),
      IF(H920="Presencial",
         VLOOKUP(D920,TARIFAS!A:K,9,FALSE) + IF(I920="Sí",VLOOKUP(D920,TARIFAS!A:K,11,FALSE),0),
         VLOOKUP(D920,TARIFAS!A:K,10,FALSE) + IF(I920="Sí",VLOOKUP(D920,TARIFAS!A:K,11,FALSE),0)
      )
   )
)
</f>
        <v>0</v>
      </c>
      <c r="U920" s="45">
        <f>IF(R920="",0,MAX(0,R920 - TARIFAS!G$2) * TARIFAS!F$2)
</f>
        <v>0</v>
      </c>
      <c r="V920" s="45">
        <f>+T920*TARIFAS!$K$2</f>
        <v>0</v>
      </c>
      <c r="W920" s="45">
        <f t="shared" si="2"/>
        <v>0</v>
      </c>
      <c r="X920" s="45">
        <f t="shared" si="3"/>
        <v>0</v>
      </c>
      <c r="Y920" s="45">
        <f t="shared" si="4"/>
        <v>0</v>
      </c>
      <c r="Z920" s="42" t="str">
        <f>CONFERENCIAS!AB920</f>
        <v/>
      </c>
      <c r="AA920" s="42" t="str">
        <f>CONFERENCIAS!AC920</f>
        <v/>
      </c>
      <c r="AB920" s="47" t="str">
        <f t="shared" si="5"/>
        <v/>
      </c>
      <c r="AC920" s="9" t="str">
        <f t="shared" si="6"/>
        <v/>
      </c>
    </row>
    <row r="921">
      <c r="A921" s="42" t="str">
        <f>CONFERENCIAS!A921</f>
        <v/>
      </c>
      <c r="D921" s="42" t="str">
        <f>CONFERENCIAS!C921</f>
        <v/>
      </c>
      <c r="E921" s="42" t="str">
        <f>CONFERENCIAS!K921</f>
        <v/>
      </c>
      <c r="F921" s="49" t="str">
        <f>CONFERENCIAS!J921</f>
        <v/>
      </c>
      <c r="G921" s="42" t="str">
        <f>CONFERENCIAS!O921</f>
        <v/>
      </c>
      <c r="H921" s="42" t="str">
        <f>CONFERENCIAS!X921</f>
        <v/>
      </c>
      <c r="I921" s="42" t="str">
        <f>CONFERENCIAS!AA921</f>
        <v/>
      </c>
      <c r="J921" s="44" t="str">
        <f>CONFERENCIAS!P921</f>
        <v/>
      </c>
      <c r="K921" s="45" t="str">
        <f>CONFERENCIAS!R921</f>
        <v/>
      </c>
      <c r="L921" s="45">
        <f>IF(D921="",0,
 IF(E921=1,
   IF(H921="Presencial",
      VLOOKUP(D921,TARIFAS!A:K,3,FALSE) + IF(I921="Sí",VLOOKUP(D921,TARIFAS!A:K,5,FALSE),0),
      VLOOKUP(D921,TARIFAS!A:K,4,FALSE) + IF(I921="Sí",VLOOKUP(D921,TARIFAS!A:K,5,FALSE),0)
   ),
   IF(H921="Presencial",
      VLOOKUP(D921,TARIFAS!A:K,9,FALSE) + IF(I921="Sí",VLOOKUP(D921,TARIFAS!A:K,11,FALSE),0),
      VLOOKUP(D921,TARIFAS!A:K,10,FALSE) + IF(I921="Sí",VLOOKUP(D921,TARIFAS!A:K,11,FALSE),0)
   )
 )
)
</f>
        <v>0</v>
      </c>
      <c r="M921" s="45">
        <f>IF(J921="",0,MAX(0,J921 - TARIFAS!G$2) * TARIFAS!F$2)
</f>
        <v>0</v>
      </c>
      <c r="N921" s="45">
        <f>+L921*TARIFAS!$K$2</f>
        <v>0</v>
      </c>
      <c r="O921" s="45">
        <f t="shared" si="1"/>
        <v>0</v>
      </c>
      <c r="P921" s="45">
        <f>+M921+O921+K921+(+I921-(I921*TARIFAS!$K$2))</f>
        <v>0</v>
      </c>
      <c r="Q921" s="42" t="str">
        <f>CONFERENCIAS!T921</f>
        <v/>
      </c>
      <c r="R921" s="45" t="str">
        <f>CONFERENCIAS!U921</f>
        <v/>
      </c>
      <c r="S921" s="45" t="str">
        <f>CONFERENCIAS!W921</f>
        <v/>
      </c>
      <c r="T921" s="48">
        <f>IF(Q921="",0,
   IF(E921=1,
      IF(H921="Presencial",
         VLOOKUP(D921,TARIFAS!A:K,3,FALSE) + IF(I921="Sí",VLOOKUP(D921,TARIFAS!A:K,5,FALSE),0),
         VLOOKUP(D921,TARIFAS!A:K,4,FALSE) + IF(I921="Sí",VLOOKUP(D921,TARIFAS!A:K,5,FALSE),0)
      ),
      IF(H921="Presencial",
         VLOOKUP(D921,TARIFAS!A:K,9,FALSE) + IF(I921="Sí",VLOOKUP(D921,TARIFAS!A:K,11,FALSE),0),
         VLOOKUP(D921,TARIFAS!A:K,10,FALSE) + IF(I921="Sí",VLOOKUP(D921,TARIFAS!A:K,11,FALSE),0)
      )
   )
)
</f>
        <v>0</v>
      </c>
      <c r="U921" s="45">
        <f>IF(R921="",0,MAX(0,R921 - TARIFAS!G$2) * TARIFAS!F$2)
</f>
        <v>0</v>
      </c>
      <c r="V921" s="45">
        <f>+T921*TARIFAS!$K$2</f>
        <v>0</v>
      </c>
      <c r="W921" s="45">
        <f t="shared" si="2"/>
        <v>0</v>
      </c>
      <c r="X921" s="45">
        <f t="shared" si="3"/>
        <v>0</v>
      </c>
      <c r="Y921" s="45">
        <f t="shared" si="4"/>
        <v>0</v>
      </c>
      <c r="Z921" s="42" t="str">
        <f>CONFERENCIAS!AB921</f>
        <v/>
      </c>
      <c r="AA921" s="42" t="str">
        <f>CONFERENCIAS!AC921</f>
        <v/>
      </c>
      <c r="AB921" s="47" t="str">
        <f t="shared" si="5"/>
        <v/>
      </c>
      <c r="AC921" s="9" t="str">
        <f t="shared" si="6"/>
        <v/>
      </c>
    </row>
    <row r="922">
      <c r="A922" s="42" t="str">
        <f>CONFERENCIAS!A922</f>
        <v/>
      </c>
      <c r="D922" s="42" t="str">
        <f>CONFERENCIAS!C922</f>
        <v/>
      </c>
      <c r="E922" s="42" t="str">
        <f>CONFERENCIAS!K922</f>
        <v/>
      </c>
      <c r="F922" s="49" t="str">
        <f>CONFERENCIAS!J922</f>
        <v/>
      </c>
      <c r="G922" s="42" t="str">
        <f>CONFERENCIAS!O922</f>
        <v/>
      </c>
      <c r="H922" s="42" t="str">
        <f>CONFERENCIAS!X922</f>
        <v/>
      </c>
      <c r="I922" s="42" t="str">
        <f>CONFERENCIAS!AA922</f>
        <v/>
      </c>
      <c r="J922" s="44" t="str">
        <f>CONFERENCIAS!P922</f>
        <v/>
      </c>
      <c r="K922" s="45" t="str">
        <f>CONFERENCIAS!R922</f>
        <v/>
      </c>
      <c r="L922" s="45">
        <f>IF(D922="",0,
 IF(E922=1,
   IF(H922="Presencial",
      VLOOKUP(D922,TARIFAS!A:K,3,FALSE) + IF(I922="Sí",VLOOKUP(D922,TARIFAS!A:K,5,FALSE),0),
      VLOOKUP(D922,TARIFAS!A:K,4,FALSE) + IF(I922="Sí",VLOOKUP(D922,TARIFAS!A:K,5,FALSE),0)
   ),
   IF(H922="Presencial",
      VLOOKUP(D922,TARIFAS!A:K,9,FALSE) + IF(I922="Sí",VLOOKUP(D922,TARIFAS!A:K,11,FALSE),0),
      VLOOKUP(D922,TARIFAS!A:K,10,FALSE) + IF(I922="Sí",VLOOKUP(D922,TARIFAS!A:K,11,FALSE),0)
   )
 )
)
</f>
        <v>0</v>
      </c>
      <c r="M922" s="45">
        <f>IF(J922="",0,MAX(0,J922 - TARIFAS!G$2) * TARIFAS!F$2)
</f>
        <v>0</v>
      </c>
      <c r="N922" s="45">
        <f>+L922*TARIFAS!$K$2</f>
        <v>0</v>
      </c>
      <c r="O922" s="45">
        <f t="shared" si="1"/>
        <v>0</v>
      </c>
      <c r="P922" s="45">
        <f>+M922+O922+K922+(+I922-(I922*TARIFAS!$K$2))</f>
        <v>0</v>
      </c>
      <c r="Q922" s="42" t="str">
        <f>CONFERENCIAS!T922</f>
        <v/>
      </c>
      <c r="R922" s="45" t="str">
        <f>CONFERENCIAS!U922</f>
        <v/>
      </c>
      <c r="S922" s="45" t="str">
        <f>CONFERENCIAS!W922</f>
        <v/>
      </c>
      <c r="T922" s="48">
        <f>IF(Q922="",0,
   IF(E922=1,
      IF(H922="Presencial",
         VLOOKUP(D922,TARIFAS!A:K,3,FALSE) + IF(I922="Sí",VLOOKUP(D922,TARIFAS!A:K,5,FALSE),0),
         VLOOKUP(D922,TARIFAS!A:K,4,FALSE) + IF(I922="Sí",VLOOKUP(D922,TARIFAS!A:K,5,FALSE),0)
      ),
      IF(H922="Presencial",
         VLOOKUP(D922,TARIFAS!A:K,9,FALSE) + IF(I922="Sí",VLOOKUP(D922,TARIFAS!A:K,11,FALSE),0),
         VLOOKUP(D922,TARIFAS!A:K,10,FALSE) + IF(I922="Sí",VLOOKUP(D922,TARIFAS!A:K,11,FALSE),0)
      )
   )
)
</f>
        <v>0</v>
      </c>
      <c r="U922" s="45">
        <f>IF(R922="",0,MAX(0,R922 - TARIFAS!G$2) * TARIFAS!F$2)
</f>
        <v>0</v>
      </c>
      <c r="V922" s="45">
        <f>+T922*TARIFAS!$K$2</f>
        <v>0</v>
      </c>
      <c r="W922" s="45">
        <f t="shared" si="2"/>
        <v>0</v>
      </c>
      <c r="X922" s="45">
        <f t="shared" si="3"/>
        <v>0</v>
      </c>
      <c r="Y922" s="45">
        <f t="shared" si="4"/>
        <v>0</v>
      </c>
      <c r="Z922" s="42" t="str">
        <f>CONFERENCIAS!AB922</f>
        <v/>
      </c>
      <c r="AA922" s="42" t="str">
        <f>CONFERENCIAS!AC922</f>
        <v/>
      </c>
      <c r="AB922" s="47" t="str">
        <f t="shared" si="5"/>
        <v/>
      </c>
      <c r="AC922" s="9" t="str">
        <f t="shared" si="6"/>
        <v/>
      </c>
    </row>
    <row r="923">
      <c r="A923" s="42" t="str">
        <f>CONFERENCIAS!A923</f>
        <v/>
      </c>
      <c r="D923" s="42" t="str">
        <f>CONFERENCIAS!C923</f>
        <v/>
      </c>
      <c r="E923" s="42" t="str">
        <f>CONFERENCIAS!K923</f>
        <v/>
      </c>
      <c r="F923" s="49" t="str">
        <f>CONFERENCIAS!J923</f>
        <v/>
      </c>
      <c r="G923" s="42" t="str">
        <f>CONFERENCIAS!O923</f>
        <v/>
      </c>
      <c r="H923" s="42" t="str">
        <f>CONFERENCIAS!X923</f>
        <v/>
      </c>
      <c r="I923" s="42" t="str">
        <f>CONFERENCIAS!AA923</f>
        <v/>
      </c>
      <c r="J923" s="44" t="str">
        <f>CONFERENCIAS!P923</f>
        <v/>
      </c>
      <c r="K923" s="45" t="str">
        <f>CONFERENCIAS!R923</f>
        <v/>
      </c>
      <c r="L923" s="45">
        <f>IF(D923="",0,
 IF(E923=1,
   IF(H923="Presencial",
      VLOOKUP(D923,TARIFAS!A:K,3,FALSE) + IF(I923="Sí",VLOOKUP(D923,TARIFAS!A:K,5,FALSE),0),
      VLOOKUP(D923,TARIFAS!A:K,4,FALSE) + IF(I923="Sí",VLOOKUP(D923,TARIFAS!A:K,5,FALSE),0)
   ),
   IF(H923="Presencial",
      VLOOKUP(D923,TARIFAS!A:K,9,FALSE) + IF(I923="Sí",VLOOKUP(D923,TARIFAS!A:K,11,FALSE),0),
      VLOOKUP(D923,TARIFAS!A:K,10,FALSE) + IF(I923="Sí",VLOOKUP(D923,TARIFAS!A:K,11,FALSE),0)
   )
 )
)
</f>
        <v>0</v>
      </c>
      <c r="M923" s="45">
        <f>IF(J923="",0,MAX(0,J923 - TARIFAS!G$2) * TARIFAS!F$2)
</f>
        <v>0</v>
      </c>
      <c r="N923" s="45">
        <f>+L923*TARIFAS!$K$2</f>
        <v>0</v>
      </c>
      <c r="O923" s="45">
        <f t="shared" si="1"/>
        <v>0</v>
      </c>
      <c r="P923" s="45">
        <f>+M923+O923+K923+(+I923-(I923*TARIFAS!$K$2))</f>
        <v>0</v>
      </c>
      <c r="Q923" s="42" t="str">
        <f>CONFERENCIAS!T923</f>
        <v/>
      </c>
      <c r="R923" s="45" t="str">
        <f>CONFERENCIAS!U923</f>
        <v/>
      </c>
      <c r="S923" s="45" t="str">
        <f>CONFERENCIAS!W923</f>
        <v/>
      </c>
      <c r="T923" s="48">
        <f>IF(Q923="",0,
   IF(E923=1,
      IF(H923="Presencial",
         VLOOKUP(D923,TARIFAS!A:K,3,FALSE) + IF(I923="Sí",VLOOKUP(D923,TARIFAS!A:K,5,FALSE),0),
         VLOOKUP(D923,TARIFAS!A:K,4,FALSE) + IF(I923="Sí",VLOOKUP(D923,TARIFAS!A:K,5,FALSE),0)
      ),
      IF(H923="Presencial",
         VLOOKUP(D923,TARIFAS!A:K,9,FALSE) + IF(I923="Sí",VLOOKUP(D923,TARIFAS!A:K,11,FALSE),0),
         VLOOKUP(D923,TARIFAS!A:K,10,FALSE) + IF(I923="Sí",VLOOKUP(D923,TARIFAS!A:K,11,FALSE),0)
      )
   )
)
</f>
        <v>0</v>
      </c>
      <c r="U923" s="45">
        <f>IF(R923="",0,MAX(0,R923 - TARIFAS!G$2) * TARIFAS!F$2)
</f>
        <v>0</v>
      </c>
      <c r="V923" s="45">
        <f>+T923*TARIFAS!$K$2</f>
        <v>0</v>
      </c>
      <c r="W923" s="45">
        <f t="shared" si="2"/>
        <v>0</v>
      </c>
      <c r="X923" s="45">
        <f t="shared" si="3"/>
        <v>0</v>
      </c>
      <c r="Y923" s="45">
        <f t="shared" si="4"/>
        <v>0</v>
      </c>
      <c r="Z923" s="42" t="str">
        <f>CONFERENCIAS!AB923</f>
        <v/>
      </c>
      <c r="AA923" s="42" t="str">
        <f>CONFERENCIAS!AC923</f>
        <v/>
      </c>
      <c r="AB923" s="47" t="str">
        <f t="shared" si="5"/>
        <v/>
      </c>
      <c r="AC923" s="9" t="str">
        <f t="shared" si="6"/>
        <v/>
      </c>
    </row>
    <row r="924">
      <c r="A924" s="42" t="str">
        <f>CONFERENCIAS!A924</f>
        <v/>
      </c>
      <c r="D924" s="42" t="str">
        <f>CONFERENCIAS!C924</f>
        <v/>
      </c>
      <c r="E924" s="42" t="str">
        <f>CONFERENCIAS!K924</f>
        <v/>
      </c>
      <c r="F924" s="49" t="str">
        <f>CONFERENCIAS!J924</f>
        <v/>
      </c>
      <c r="G924" s="42" t="str">
        <f>CONFERENCIAS!O924</f>
        <v/>
      </c>
      <c r="H924" s="42" t="str">
        <f>CONFERENCIAS!X924</f>
        <v/>
      </c>
      <c r="I924" s="42" t="str">
        <f>CONFERENCIAS!AA924</f>
        <v/>
      </c>
      <c r="J924" s="44" t="str">
        <f>CONFERENCIAS!P924</f>
        <v/>
      </c>
      <c r="K924" s="45" t="str">
        <f>CONFERENCIAS!R924</f>
        <v/>
      </c>
      <c r="L924" s="45">
        <f>IF(D924="",0,
 IF(E924=1,
   IF(H924="Presencial",
      VLOOKUP(D924,TARIFAS!A:K,3,FALSE) + IF(I924="Sí",VLOOKUP(D924,TARIFAS!A:K,5,FALSE),0),
      VLOOKUP(D924,TARIFAS!A:K,4,FALSE) + IF(I924="Sí",VLOOKUP(D924,TARIFAS!A:K,5,FALSE),0)
   ),
   IF(H924="Presencial",
      VLOOKUP(D924,TARIFAS!A:K,9,FALSE) + IF(I924="Sí",VLOOKUP(D924,TARIFAS!A:K,11,FALSE),0),
      VLOOKUP(D924,TARIFAS!A:K,10,FALSE) + IF(I924="Sí",VLOOKUP(D924,TARIFAS!A:K,11,FALSE),0)
   )
 )
)
</f>
        <v>0</v>
      </c>
      <c r="M924" s="45">
        <f>IF(J924="",0,MAX(0,J924 - TARIFAS!G$2) * TARIFAS!F$2)
</f>
        <v>0</v>
      </c>
      <c r="N924" s="45">
        <f>+L924*TARIFAS!$K$2</f>
        <v>0</v>
      </c>
      <c r="O924" s="45">
        <f t="shared" si="1"/>
        <v>0</v>
      </c>
      <c r="P924" s="45">
        <f>+M924+O924+K924+(+I924-(I924*TARIFAS!$K$2))</f>
        <v>0</v>
      </c>
      <c r="Q924" s="42" t="str">
        <f>CONFERENCIAS!T924</f>
        <v/>
      </c>
      <c r="R924" s="45" t="str">
        <f>CONFERENCIAS!U924</f>
        <v/>
      </c>
      <c r="S924" s="45" t="str">
        <f>CONFERENCIAS!W924</f>
        <v/>
      </c>
      <c r="T924" s="48">
        <f>IF(Q924="",0,
   IF(E924=1,
      IF(H924="Presencial",
         VLOOKUP(D924,TARIFAS!A:K,3,FALSE) + IF(I924="Sí",VLOOKUP(D924,TARIFAS!A:K,5,FALSE),0),
         VLOOKUP(D924,TARIFAS!A:K,4,FALSE) + IF(I924="Sí",VLOOKUP(D924,TARIFAS!A:K,5,FALSE),0)
      ),
      IF(H924="Presencial",
         VLOOKUP(D924,TARIFAS!A:K,9,FALSE) + IF(I924="Sí",VLOOKUP(D924,TARIFAS!A:K,11,FALSE),0),
         VLOOKUP(D924,TARIFAS!A:K,10,FALSE) + IF(I924="Sí",VLOOKUP(D924,TARIFAS!A:K,11,FALSE),0)
      )
   )
)
</f>
        <v>0</v>
      </c>
      <c r="U924" s="45">
        <f>IF(R924="",0,MAX(0,R924 - TARIFAS!G$2) * TARIFAS!F$2)
</f>
        <v>0</v>
      </c>
      <c r="V924" s="45">
        <f>+T924*TARIFAS!$K$2</f>
        <v>0</v>
      </c>
      <c r="W924" s="45">
        <f t="shared" si="2"/>
        <v>0</v>
      </c>
      <c r="X924" s="45">
        <f t="shared" si="3"/>
        <v>0</v>
      </c>
      <c r="Y924" s="45">
        <f t="shared" si="4"/>
        <v>0</v>
      </c>
      <c r="Z924" s="42" t="str">
        <f>CONFERENCIAS!AB924</f>
        <v/>
      </c>
      <c r="AA924" s="42" t="str">
        <f>CONFERENCIAS!AC924</f>
        <v/>
      </c>
      <c r="AB924" s="47" t="str">
        <f t="shared" si="5"/>
        <v/>
      </c>
      <c r="AC924" s="9" t="str">
        <f t="shared" si="6"/>
        <v/>
      </c>
    </row>
    <row r="925">
      <c r="A925" s="42" t="str">
        <f>CONFERENCIAS!A925</f>
        <v/>
      </c>
      <c r="D925" s="42" t="str">
        <f>CONFERENCIAS!C925</f>
        <v/>
      </c>
      <c r="E925" s="42" t="str">
        <f>CONFERENCIAS!K925</f>
        <v/>
      </c>
      <c r="F925" s="49" t="str">
        <f>CONFERENCIAS!J925</f>
        <v/>
      </c>
      <c r="G925" s="42" t="str">
        <f>CONFERENCIAS!O925</f>
        <v/>
      </c>
      <c r="H925" s="42" t="str">
        <f>CONFERENCIAS!X925</f>
        <v/>
      </c>
      <c r="I925" s="42" t="str">
        <f>CONFERENCIAS!AA925</f>
        <v/>
      </c>
      <c r="J925" s="44" t="str">
        <f>CONFERENCIAS!P925</f>
        <v/>
      </c>
      <c r="K925" s="45" t="str">
        <f>CONFERENCIAS!R925</f>
        <v/>
      </c>
      <c r="L925" s="45">
        <f>IF(D925="",0,
 IF(E925=1,
   IF(H925="Presencial",
      VLOOKUP(D925,TARIFAS!A:K,3,FALSE) + IF(I925="Sí",VLOOKUP(D925,TARIFAS!A:K,5,FALSE),0),
      VLOOKUP(D925,TARIFAS!A:K,4,FALSE) + IF(I925="Sí",VLOOKUP(D925,TARIFAS!A:K,5,FALSE),0)
   ),
   IF(H925="Presencial",
      VLOOKUP(D925,TARIFAS!A:K,9,FALSE) + IF(I925="Sí",VLOOKUP(D925,TARIFAS!A:K,11,FALSE),0),
      VLOOKUP(D925,TARIFAS!A:K,10,FALSE) + IF(I925="Sí",VLOOKUP(D925,TARIFAS!A:K,11,FALSE),0)
   )
 )
)
</f>
        <v>0</v>
      </c>
      <c r="M925" s="45">
        <f>IF(J925="",0,MAX(0,J925 - TARIFAS!G$2) * TARIFAS!F$2)
</f>
        <v>0</v>
      </c>
      <c r="N925" s="45">
        <f>+L925*TARIFAS!$K$2</f>
        <v>0</v>
      </c>
      <c r="O925" s="45">
        <f t="shared" si="1"/>
        <v>0</v>
      </c>
      <c r="P925" s="45">
        <f>+M925+O925+K925+(+I925-(I925*TARIFAS!$K$2))</f>
        <v>0</v>
      </c>
      <c r="Q925" s="42" t="str">
        <f>CONFERENCIAS!T925</f>
        <v/>
      </c>
      <c r="R925" s="45" t="str">
        <f>CONFERENCIAS!U925</f>
        <v/>
      </c>
      <c r="S925" s="45" t="str">
        <f>CONFERENCIAS!W925</f>
        <v/>
      </c>
      <c r="T925" s="48">
        <f>IF(Q925="",0,
   IF(E925=1,
      IF(H925="Presencial",
         VLOOKUP(D925,TARIFAS!A:K,3,FALSE) + IF(I925="Sí",VLOOKUP(D925,TARIFAS!A:K,5,FALSE),0),
         VLOOKUP(D925,TARIFAS!A:K,4,FALSE) + IF(I925="Sí",VLOOKUP(D925,TARIFAS!A:K,5,FALSE),0)
      ),
      IF(H925="Presencial",
         VLOOKUP(D925,TARIFAS!A:K,9,FALSE) + IF(I925="Sí",VLOOKUP(D925,TARIFAS!A:K,11,FALSE),0),
         VLOOKUP(D925,TARIFAS!A:K,10,FALSE) + IF(I925="Sí",VLOOKUP(D925,TARIFAS!A:K,11,FALSE),0)
      )
   )
)
</f>
        <v>0</v>
      </c>
      <c r="U925" s="45">
        <f>IF(R925="",0,MAX(0,R925 - TARIFAS!G$2) * TARIFAS!F$2)
</f>
        <v>0</v>
      </c>
      <c r="V925" s="45">
        <f>+T925*TARIFAS!$K$2</f>
        <v>0</v>
      </c>
      <c r="W925" s="45">
        <f t="shared" si="2"/>
        <v>0</v>
      </c>
      <c r="X925" s="45">
        <f t="shared" si="3"/>
        <v>0</v>
      </c>
      <c r="Y925" s="45">
        <f t="shared" si="4"/>
        <v>0</v>
      </c>
      <c r="Z925" s="42" t="str">
        <f>CONFERENCIAS!AB925</f>
        <v/>
      </c>
      <c r="AA925" s="42" t="str">
        <f>CONFERENCIAS!AC925</f>
        <v/>
      </c>
      <c r="AB925" s="47" t="str">
        <f t="shared" si="5"/>
        <v/>
      </c>
      <c r="AC925" s="9" t="str">
        <f t="shared" si="6"/>
        <v/>
      </c>
    </row>
    <row r="926">
      <c r="A926" s="42" t="str">
        <f>CONFERENCIAS!A926</f>
        <v/>
      </c>
      <c r="D926" s="42" t="str">
        <f>CONFERENCIAS!C926</f>
        <v/>
      </c>
      <c r="E926" s="42" t="str">
        <f>CONFERENCIAS!K926</f>
        <v/>
      </c>
      <c r="F926" s="49" t="str">
        <f>CONFERENCIAS!J926</f>
        <v/>
      </c>
      <c r="G926" s="42" t="str">
        <f>CONFERENCIAS!O926</f>
        <v/>
      </c>
      <c r="H926" s="42" t="str">
        <f>CONFERENCIAS!X926</f>
        <v/>
      </c>
      <c r="I926" s="42" t="str">
        <f>CONFERENCIAS!AA926</f>
        <v/>
      </c>
      <c r="J926" s="44" t="str">
        <f>CONFERENCIAS!P926</f>
        <v/>
      </c>
      <c r="K926" s="45" t="str">
        <f>CONFERENCIAS!R926</f>
        <v/>
      </c>
      <c r="L926" s="45">
        <f>IF(D926="",0,
 IF(E926=1,
   IF(H926="Presencial",
      VLOOKUP(D926,TARIFAS!A:K,3,FALSE) + IF(I926="Sí",VLOOKUP(D926,TARIFAS!A:K,5,FALSE),0),
      VLOOKUP(D926,TARIFAS!A:K,4,FALSE) + IF(I926="Sí",VLOOKUP(D926,TARIFAS!A:K,5,FALSE),0)
   ),
   IF(H926="Presencial",
      VLOOKUP(D926,TARIFAS!A:K,9,FALSE) + IF(I926="Sí",VLOOKUP(D926,TARIFAS!A:K,11,FALSE),0),
      VLOOKUP(D926,TARIFAS!A:K,10,FALSE) + IF(I926="Sí",VLOOKUP(D926,TARIFAS!A:K,11,FALSE),0)
   )
 )
)
</f>
        <v>0</v>
      </c>
      <c r="M926" s="45">
        <f>IF(J926="",0,MAX(0,J926 - TARIFAS!G$2) * TARIFAS!F$2)
</f>
        <v>0</v>
      </c>
      <c r="N926" s="45">
        <f>+L926*TARIFAS!$K$2</f>
        <v>0</v>
      </c>
      <c r="O926" s="45">
        <f t="shared" si="1"/>
        <v>0</v>
      </c>
      <c r="P926" s="45">
        <f>+M926+O926+K926+(+I926-(I926*TARIFAS!$K$2))</f>
        <v>0</v>
      </c>
      <c r="Q926" s="42" t="str">
        <f>CONFERENCIAS!T926</f>
        <v/>
      </c>
      <c r="R926" s="45" t="str">
        <f>CONFERENCIAS!U926</f>
        <v/>
      </c>
      <c r="S926" s="45" t="str">
        <f>CONFERENCIAS!W926</f>
        <v/>
      </c>
      <c r="T926" s="48">
        <f>IF(Q926="",0,
   IF(E926=1,
      IF(H926="Presencial",
         VLOOKUP(D926,TARIFAS!A:K,3,FALSE) + IF(I926="Sí",VLOOKUP(D926,TARIFAS!A:K,5,FALSE),0),
         VLOOKUP(D926,TARIFAS!A:K,4,FALSE) + IF(I926="Sí",VLOOKUP(D926,TARIFAS!A:K,5,FALSE),0)
      ),
      IF(H926="Presencial",
         VLOOKUP(D926,TARIFAS!A:K,9,FALSE) + IF(I926="Sí",VLOOKUP(D926,TARIFAS!A:K,11,FALSE),0),
         VLOOKUP(D926,TARIFAS!A:K,10,FALSE) + IF(I926="Sí",VLOOKUP(D926,TARIFAS!A:K,11,FALSE),0)
      )
   )
)
</f>
        <v>0</v>
      </c>
      <c r="U926" s="45">
        <f>IF(R926="",0,MAX(0,R926 - TARIFAS!G$2) * TARIFAS!F$2)
</f>
        <v>0</v>
      </c>
      <c r="V926" s="45">
        <f>+T926*TARIFAS!$K$2</f>
        <v>0</v>
      </c>
      <c r="W926" s="45">
        <f t="shared" si="2"/>
        <v>0</v>
      </c>
      <c r="X926" s="45">
        <f t="shared" si="3"/>
        <v>0</v>
      </c>
      <c r="Y926" s="45">
        <f t="shared" si="4"/>
        <v>0</v>
      </c>
      <c r="Z926" s="42" t="str">
        <f>CONFERENCIAS!AB926</f>
        <v/>
      </c>
      <c r="AA926" s="42" t="str">
        <f>CONFERENCIAS!AC926</f>
        <v/>
      </c>
      <c r="AB926" s="47" t="str">
        <f t="shared" si="5"/>
        <v/>
      </c>
      <c r="AC926" s="9" t="str">
        <f t="shared" si="6"/>
        <v/>
      </c>
    </row>
    <row r="927">
      <c r="A927" s="42" t="str">
        <f>CONFERENCIAS!A927</f>
        <v/>
      </c>
      <c r="D927" s="42" t="str">
        <f>CONFERENCIAS!C927</f>
        <v/>
      </c>
      <c r="E927" s="42" t="str">
        <f>CONFERENCIAS!K927</f>
        <v/>
      </c>
      <c r="F927" s="49" t="str">
        <f>CONFERENCIAS!J927</f>
        <v/>
      </c>
      <c r="G927" s="42" t="str">
        <f>CONFERENCIAS!O927</f>
        <v/>
      </c>
      <c r="H927" s="42" t="str">
        <f>CONFERENCIAS!X927</f>
        <v/>
      </c>
      <c r="I927" s="42" t="str">
        <f>CONFERENCIAS!AA927</f>
        <v/>
      </c>
      <c r="J927" s="44" t="str">
        <f>CONFERENCIAS!P927</f>
        <v/>
      </c>
      <c r="K927" s="45" t="str">
        <f>CONFERENCIAS!R927</f>
        <v/>
      </c>
      <c r="L927" s="45">
        <f>IF(D927="",0,
 IF(E927=1,
   IF(H927="Presencial",
      VLOOKUP(D927,TARIFAS!A:K,3,FALSE) + IF(I927="Sí",VLOOKUP(D927,TARIFAS!A:K,5,FALSE),0),
      VLOOKUP(D927,TARIFAS!A:K,4,FALSE) + IF(I927="Sí",VLOOKUP(D927,TARIFAS!A:K,5,FALSE),0)
   ),
   IF(H927="Presencial",
      VLOOKUP(D927,TARIFAS!A:K,9,FALSE) + IF(I927="Sí",VLOOKUP(D927,TARIFAS!A:K,11,FALSE),0),
      VLOOKUP(D927,TARIFAS!A:K,10,FALSE) + IF(I927="Sí",VLOOKUP(D927,TARIFAS!A:K,11,FALSE),0)
   )
 )
)
</f>
        <v>0</v>
      </c>
      <c r="M927" s="45">
        <f>IF(J927="",0,MAX(0,J927 - TARIFAS!G$2) * TARIFAS!F$2)
</f>
        <v>0</v>
      </c>
      <c r="N927" s="45">
        <f>+L927*TARIFAS!$K$2</f>
        <v>0</v>
      </c>
      <c r="O927" s="45">
        <f t="shared" si="1"/>
        <v>0</v>
      </c>
      <c r="P927" s="45">
        <f>+M927+O927+K927+(+I927-(I927*TARIFAS!$K$2))</f>
        <v>0</v>
      </c>
      <c r="Q927" s="42" t="str">
        <f>CONFERENCIAS!T927</f>
        <v/>
      </c>
      <c r="R927" s="45" t="str">
        <f>CONFERENCIAS!U927</f>
        <v/>
      </c>
      <c r="S927" s="45" t="str">
        <f>CONFERENCIAS!W927</f>
        <v/>
      </c>
      <c r="T927" s="48">
        <f>IF(Q927="",0,
   IF(E927=1,
      IF(H927="Presencial",
         VLOOKUP(D927,TARIFAS!A:K,3,FALSE) + IF(I927="Sí",VLOOKUP(D927,TARIFAS!A:K,5,FALSE),0),
         VLOOKUP(D927,TARIFAS!A:K,4,FALSE) + IF(I927="Sí",VLOOKUP(D927,TARIFAS!A:K,5,FALSE),0)
      ),
      IF(H927="Presencial",
         VLOOKUP(D927,TARIFAS!A:K,9,FALSE) + IF(I927="Sí",VLOOKUP(D927,TARIFAS!A:K,11,FALSE),0),
         VLOOKUP(D927,TARIFAS!A:K,10,FALSE) + IF(I927="Sí",VLOOKUP(D927,TARIFAS!A:K,11,FALSE),0)
      )
   )
)
</f>
        <v>0</v>
      </c>
      <c r="U927" s="45">
        <f>IF(R927="",0,MAX(0,R927 - TARIFAS!G$2) * TARIFAS!F$2)
</f>
        <v>0</v>
      </c>
      <c r="V927" s="45">
        <f>+T927*TARIFAS!$K$2</f>
        <v>0</v>
      </c>
      <c r="W927" s="45">
        <f t="shared" si="2"/>
        <v>0</v>
      </c>
      <c r="X927" s="45">
        <f t="shared" si="3"/>
        <v>0</v>
      </c>
      <c r="Y927" s="45">
        <f t="shared" si="4"/>
        <v>0</v>
      </c>
      <c r="Z927" s="42" t="str">
        <f>CONFERENCIAS!AB927</f>
        <v/>
      </c>
      <c r="AA927" s="42" t="str">
        <f>CONFERENCIAS!AC927</f>
        <v/>
      </c>
      <c r="AB927" s="47" t="str">
        <f t="shared" si="5"/>
        <v/>
      </c>
      <c r="AC927" s="9" t="str">
        <f t="shared" si="6"/>
        <v/>
      </c>
    </row>
    <row r="928">
      <c r="A928" s="42" t="str">
        <f>CONFERENCIAS!A928</f>
        <v/>
      </c>
      <c r="D928" s="42" t="str">
        <f>CONFERENCIAS!C928</f>
        <v/>
      </c>
      <c r="E928" s="42" t="str">
        <f>CONFERENCIAS!K928</f>
        <v/>
      </c>
      <c r="F928" s="49" t="str">
        <f>CONFERENCIAS!J928</f>
        <v/>
      </c>
      <c r="G928" s="42" t="str">
        <f>CONFERENCIAS!O928</f>
        <v/>
      </c>
      <c r="H928" s="42" t="str">
        <f>CONFERENCIAS!X928</f>
        <v/>
      </c>
      <c r="I928" s="42" t="str">
        <f>CONFERENCIAS!AA928</f>
        <v/>
      </c>
      <c r="J928" s="44" t="str">
        <f>CONFERENCIAS!P928</f>
        <v/>
      </c>
      <c r="K928" s="45" t="str">
        <f>CONFERENCIAS!R928</f>
        <v/>
      </c>
      <c r="L928" s="45">
        <f>IF(D928="",0,
 IF(E928=1,
   IF(H928="Presencial",
      VLOOKUP(D928,TARIFAS!A:K,3,FALSE) + IF(I928="Sí",VLOOKUP(D928,TARIFAS!A:K,5,FALSE),0),
      VLOOKUP(D928,TARIFAS!A:K,4,FALSE) + IF(I928="Sí",VLOOKUP(D928,TARIFAS!A:K,5,FALSE),0)
   ),
   IF(H928="Presencial",
      VLOOKUP(D928,TARIFAS!A:K,9,FALSE) + IF(I928="Sí",VLOOKUP(D928,TARIFAS!A:K,11,FALSE),0),
      VLOOKUP(D928,TARIFAS!A:K,10,FALSE) + IF(I928="Sí",VLOOKUP(D928,TARIFAS!A:K,11,FALSE),0)
   )
 )
)
</f>
        <v>0</v>
      </c>
      <c r="M928" s="45">
        <f>IF(J928="",0,MAX(0,J928 - TARIFAS!G$2) * TARIFAS!F$2)
</f>
        <v>0</v>
      </c>
      <c r="N928" s="45">
        <f>+L928*TARIFAS!$K$2</f>
        <v>0</v>
      </c>
      <c r="O928" s="45">
        <f t="shared" si="1"/>
        <v>0</v>
      </c>
      <c r="P928" s="45">
        <f>+M928+O928+K928+(+I928-(I928*TARIFAS!$K$2))</f>
        <v>0</v>
      </c>
      <c r="Q928" s="42" t="str">
        <f>CONFERENCIAS!T928</f>
        <v/>
      </c>
      <c r="R928" s="45" t="str">
        <f>CONFERENCIAS!U928</f>
        <v/>
      </c>
      <c r="S928" s="45" t="str">
        <f>CONFERENCIAS!W928</f>
        <v/>
      </c>
      <c r="T928" s="48">
        <f>IF(Q928="",0,
   IF(E928=1,
      IF(H928="Presencial",
         VLOOKUP(D928,TARIFAS!A:K,3,FALSE) + IF(I928="Sí",VLOOKUP(D928,TARIFAS!A:K,5,FALSE),0),
         VLOOKUP(D928,TARIFAS!A:K,4,FALSE) + IF(I928="Sí",VLOOKUP(D928,TARIFAS!A:K,5,FALSE),0)
      ),
      IF(H928="Presencial",
         VLOOKUP(D928,TARIFAS!A:K,9,FALSE) + IF(I928="Sí",VLOOKUP(D928,TARIFAS!A:K,11,FALSE),0),
         VLOOKUP(D928,TARIFAS!A:K,10,FALSE) + IF(I928="Sí",VLOOKUP(D928,TARIFAS!A:K,11,FALSE),0)
      )
   )
)
</f>
        <v>0</v>
      </c>
      <c r="U928" s="45">
        <f>IF(R928="",0,MAX(0,R928 - TARIFAS!G$2) * TARIFAS!F$2)
</f>
        <v>0</v>
      </c>
      <c r="V928" s="45">
        <f>+T928*TARIFAS!$K$2</f>
        <v>0</v>
      </c>
      <c r="W928" s="45">
        <f t="shared" si="2"/>
        <v>0</v>
      </c>
      <c r="X928" s="45">
        <f t="shared" si="3"/>
        <v>0</v>
      </c>
      <c r="Y928" s="45">
        <f t="shared" si="4"/>
        <v>0</v>
      </c>
      <c r="Z928" s="42" t="str">
        <f>CONFERENCIAS!AB928</f>
        <v/>
      </c>
      <c r="AA928" s="42" t="str">
        <f>CONFERENCIAS!AC928</f>
        <v/>
      </c>
      <c r="AB928" s="47" t="str">
        <f t="shared" si="5"/>
        <v/>
      </c>
      <c r="AC928" s="9" t="str">
        <f t="shared" si="6"/>
        <v/>
      </c>
    </row>
    <row r="929">
      <c r="A929" s="42" t="str">
        <f>CONFERENCIAS!A929</f>
        <v/>
      </c>
      <c r="D929" s="42" t="str">
        <f>CONFERENCIAS!C929</f>
        <v/>
      </c>
      <c r="E929" s="42" t="str">
        <f>CONFERENCIAS!K929</f>
        <v/>
      </c>
      <c r="F929" s="49" t="str">
        <f>CONFERENCIAS!J929</f>
        <v/>
      </c>
      <c r="G929" s="42" t="str">
        <f>CONFERENCIAS!O929</f>
        <v/>
      </c>
      <c r="H929" s="42" t="str">
        <f>CONFERENCIAS!X929</f>
        <v/>
      </c>
      <c r="I929" s="42" t="str">
        <f>CONFERENCIAS!AA929</f>
        <v/>
      </c>
      <c r="J929" s="44" t="str">
        <f>CONFERENCIAS!P929</f>
        <v/>
      </c>
      <c r="K929" s="45" t="str">
        <f>CONFERENCIAS!R929</f>
        <v/>
      </c>
      <c r="L929" s="45">
        <f>IF(D929="",0,
 IF(E929=1,
   IF(H929="Presencial",
      VLOOKUP(D929,TARIFAS!A:K,3,FALSE) + IF(I929="Sí",VLOOKUP(D929,TARIFAS!A:K,5,FALSE),0),
      VLOOKUP(D929,TARIFAS!A:K,4,FALSE) + IF(I929="Sí",VLOOKUP(D929,TARIFAS!A:K,5,FALSE),0)
   ),
   IF(H929="Presencial",
      VLOOKUP(D929,TARIFAS!A:K,9,FALSE) + IF(I929="Sí",VLOOKUP(D929,TARIFAS!A:K,11,FALSE),0),
      VLOOKUP(D929,TARIFAS!A:K,10,FALSE) + IF(I929="Sí",VLOOKUP(D929,TARIFAS!A:K,11,FALSE),0)
   )
 )
)
</f>
        <v>0</v>
      </c>
      <c r="M929" s="45">
        <f>IF(J929="",0,MAX(0,J929 - TARIFAS!G$2) * TARIFAS!F$2)
</f>
        <v>0</v>
      </c>
      <c r="N929" s="45">
        <f>+L929*TARIFAS!$K$2</f>
        <v>0</v>
      </c>
      <c r="O929" s="45">
        <f t="shared" si="1"/>
        <v>0</v>
      </c>
      <c r="P929" s="45">
        <f>+M929+O929+K929+(+I929-(I929*TARIFAS!$K$2))</f>
        <v>0</v>
      </c>
      <c r="Q929" s="42" t="str">
        <f>CONFERENCIAS!T929</f>
        <v/>
      </c>
      <c r="R929" s="45" t="str">
        <f>CONFERENCIAS!U929</f>
        <v/>
      </c>
      <c r="S929" s="45" t="str">
        <f>CONFERENCIAS!W929</f>
        <v/>
      </c>
      <c r="T929" s="48">
        <f>IF(Q929="",0,
   IF(E929=1,
      IF(H929="Presencial",
         VLOOKUP(D929,TARIFAS!A:K,3,FALSE) + IF(I929="Sí",VLOOKUP(D929,TARIFAS!A:K,5,FALSE),0),
         VLOOKUP(D929,TARIFAS!A:K,4,FALSE) + IF(I929="Sí",VLOOKUP(D929,TARIFAS!A:K,5,FALSE),0)
      ),
      IF(H929="Presencial",
         VLOOKUP(D929,TARIFAS!A:K,9,FALSE) + IF(I929="Sí",VLOOKUP(D929,TARIFAS!A:K,11,FALSE),0),
         VLOOKUP(D929,TARIFAS!A:K,10,FALSE) + IF(I929="Sí",VLOOKUP(D929,TARIFAS!A:K,11,FALSE),0)
      )
   )
)
</f>
        <v>0</v>
      </c>
      <c r="U929" s="45">
        <f>IF(R929="",0,MAX(0,R929 - TARIFAS!G$2) * TARIFAS!F$2)
</f>
        <v>0</v>
      </c>
      <c r="V929" s="45">
        <f>+T929*TARIFAS!$K$2</f>
        <v>0</v>
      </c>
      <c r="W929" s="45">
        <f t="shared" si="2"/>
        <v>0</v>
      </c>
      <c r="X929" s="45">
        <f t="shared" si="3"/>
        <v>0</v>
      </c>
      <c r="Y929" s="45">
        <f t="shared" si="4"/>
        <v>0</v>
      </c>
      <c r="Z929" s="42" t="str">
        <f>CONFERENCIAS!AB929</f>
        <v/>
      </c>
      <c r="AA929" s="42" t="str">
        <f>CONFERENCIAS!AC929</f>
        <v/>
      </c>
      <c r="AB929" s="47" t="str">
        <f t="shared" si="5"/>
        <v/>
      </c>
      <c r="AC929" s="9" t="str">
        <f t="shared" si="6"/>
        <v/>
      </c>
    </row>
    <row r="930">
      <c r="A930" s="42" t="str">
        <f>CONFERENCIAS!A930</f>
        <v/>
      </c>
      <c r="D930" s="42" t="str">
        <f>CONFERENCIAS!C930</f>
        <v/>
      </c>
      <c r="E930" s="42" t="str">
        <f>CONFERENCIAS!K930</f>
        <v/>
      </c>
      <c r="F930" s="49" t="str">
        <f>CONFERENCIAS!J930</f>
        <v/>
      </c>
      <c r="G930" s="42" t="str">
        <f>CONFERENCIAS!O930</f>
        <v/>
      </c>
      <c r="H930" s="42" t="str">
        <f>CONFERENCIAS!X930</f>
        <v/>
      </c>
      <c r="I930" s="42" t="str">
        <f>CONFERENCIAS!AA930</f>
        <v/>
      </c>
      <c r="J930" s="44" t="str">
        <f>CONFERENCIAS!P930</f>
        <v/>
      </c>
      <c r="K930" s="45" t="str">
        <f>CONFERENCIAS!R930</f>
        <v/>
      </c>
      <c r="L930" s="45">
        <f>IF(D930="",0,
 IF(E930=1,
   IF(H930="Presencial",
      VLOOKUP(D930,TARIFAS!A:K,3,FALSE) + IF(I930="Sí",VLOOKUP(D930,TARIFAS!A:K,5,FALSE),0),
      VLOOKUP(D930,TARIFAS!A:K,4,FALSE) + IF(I930="Sí",VLOOKUP(D930,TARIFAS!A:K,5,FALSE),0)
   ),
   IF(H930="Presencial",
      VLOOKUP(D930,TARIFAS!A:K,9,FALSE) + IF(I930="Sí",VLOOKUP(D930,TARIFAS!A:K,11,FALSE),0),
      VLOOKUP(D930,TARIFAS!A:K,10,FALSE) + IF(I930="Sí",VLOOKUP(D930,TARIFAS!A:K,11,FALSE),0)
   )
 )
)
</f>
        <v>0</v>
      </c>
      <c r="M930" s="45">
        <f>IF(J930="",0,MAX(0,J930 - TARIFAS!G$2) * TARIFAS!F$2)
</f>
        <v>0</v>
      </c>
      <c r="N930" s="45">
        <f>+L930*TARIFAS!$K$2</f>
        <v>0</v>
      </c>
      <c r="O930" s="45">
        <f t="shared" si="1"/>
        <v>0</v>
      </c>
      <c r="P930" s="45">
        <f>+M930+O930+K930+(+I930-(I930*TARIFAS!$K$2))</f>
        <v>0</v>
      </c>
      <c r="Q930" s="42" t="str">
        <f>CONFERENCIAS!T930</f>
        <v/>
      </c>
      <c r="R930" s="45" t="str">
        <f>CONFERENCIAS!U930</f>
        <v/>
      </c>
      <c r="S930" s="45" t="str">
        <f>CONFERENCIAS!W930</f>
        <v/>
      </c>
      <c r="T930" s="48">
        <f>IF(Q930="",0,
   IF(E930=1,
      IF(H930="Presencial",
         VLOOKUP(D930,TARIFAS!A:K,3,FALSE) + IF(I930="Sí",VLOOKUP(D930,TARIFAS!A:K,5,FALSE),0),
         VLOOKUP(D930,TARIFAS!A:K,4,FALSE) + IF(I930="Sí",VLOOKUP(D930,TARIFAS!A:K,5,FALSE),0)
      ),
      IF(H930="Presencial",
         VLOOKUP(D930,TARIFAS!A:K,9,FALSE) + IF(I930="Sí",VLOOKUP(D930,TARIFAS!A:K,11,FALSE),0),
         VLOOKUP(D930,TARIFAS!A:K,10,FALSE) + IF(I930="Sí",VLOOKUP(D930,TARIFAS!A:K,11,FALSE),0)
      )
   )
)
</f>
        <v>0</v>
      </c>
      <c r="U930" s="45">
        <f>IF(R930="",0,MAX(0,R930 - TARIFAS!G$2) * TARIFAS!F$2)
</f>
        <v>0</v>
      </c>
      <c r="V930" s="45">
        <f>+T930*TARIFAS!$K$2</f>
        <v>0</v>
      </c>
      <c r="W930" s="45">
        <f t="shared" si="2"/>
        <v>0</v>
      </c>
      <c r="X930" s="45">
        <f t="shared" si="3"/>
        <v>0</v>
      </c>
      <c r="Y930" s="45">
        <f t="shared" si="4"/>
        <v>0</v>
      </c>
      <c r="Z930" s="42" t="str">
        <f>CONFERENCIAS!AB930</f>
        <v/>
      </c>
      <c r="AA930" s="42" t="str">
        <f>CONFERENCIAS!AC930</f>
        <v/>
      </c>
      <c r="AB930" s="47" t="str">
        <f t="shared" si="5"/>
        <v/>
      </c>
      <c r="AC930" s="9" t="str">
        <f t="shared" si="6"/>
        <v/>
      </c>
    </row>
    <row r="931">
      <c r="A931" s="42" t="str">
        <f>CONFERENCIAS!A931</f>
        <v/>
      </c>
      <c r="D931" s="42" t="str">
        <f>CONFERENCIAS!C931</f>
        <v/>
      </c>
      <c r="E931" s="42" t="str">
        <f>CONFERENCIAS!K931</f>
        <v/>
      </c>
      <c r="F931" s="49" t="str">
        <f>CONFERENCIAS!J931</f>
        <v/>
      </c>
      <c r="G931" s="42" t="str">
        <f>CONFERENCIAS!O931</f>
        <v/>
      </c>
      <c r="H931" s="42" t="str">
        <f>CONFERENCIAS!X931</f>
        <v/>
      </c>
      <c r="I931" s="42" t="str">
        <f>CONFERENCIAS!AA931</f>
        <v/>
      </c>
      <c r="J931" s="44" t="str">
        <f>CONFERENCIAS!P931</f>
        <v/>
      </c>
      <c r="K931" s="45" t="str">
        <f>CONFERENCIAS!R931</f>
        <v/>
      </c>
      <c r="L931" s="45">
        <f>IF(D931="",0,
 IF(E931=1,
   IF(H931="Presencial",
      VLOOKUP(D931,TARIFAS!A:K,3,FALSE) + IF(I931="Sí",VLOOKUP(D931,TARIFAS!A:K,5,FALSE),0),
      VLOOKUP(D931,TARIFAS!A:K,4,FALSE) + IF(I931="Sí",VLOOKUP(D931,TARIFAS!A:K,5,FALSE),0)
   ),
   IF(H931="Presencial",
      VLOOKUP(D931,TARIFAS!A:K,9,FALSE) + IF(I931="Sí",VLOOKUP(D931,TARIFAS!A:K,11,FALSE),0),
      VLOOKUP(D931,TARIFAS!A:K,10,FALSE) + IF(I931="Sí",VLOOKUP(D931,TARIFAS!A:K,11,FALSE),0)
   )
 )
)
</f>
        <v>0</v>
      </c>
      <c r="M931" s="45">
        <f>IF(J931="",0,MAX(0,J931 - TARIFAS!G$2) * TARIFAS!F$2)
</f>
        <v>0</v>
      </c>
      <c r="N931" s="45">
        <f>+L931*TARIFAS!$K$2</f>
        <v>0</v>
      </c>
      <c r="O931" s="45">
        <f t="shared" si="1"/>
        <v>0</v>
      </c>
      <c r="P931" s="45">
        <f>+M931+O931+K931+(+I931-(I931*TARIFAS!$K$2))</f>
        <v>0</v>
      </c>
      <c r="Q931" s="42" t="str">
        <f>CONFERENCIAS!T931</f>
        <v/>
      </c>
      <c r="R931" s="45" t="str">
        <f>CONFERENCIAS!U931</f>
        <v/>
      </c>
      <c r="S931" s="45" t="str">
        <f>CONFERENCIAS!W931</f>
        <v/>
      </c>
      <c r="T931" s="48">
        <f>IF(Q931="",0,
   IF(E931=1,
      IF(H931="Presencial",
         VLOOKUP(D931,TARIFAS!A:K,3,FALSE) + IF(I931="Sí",VLOOKUP(D931,TARIFAS!A:K,5,FALSE),0),
         VLOOKUP(D931,TARIFAS!A:K,4,FALSE) + IF(I931="Sí",VLOOKUP(D931,TARIFAS!A:K,5,FALSE),0)
      ),
      IF(H931="Presencial",
         VLOOKUP(D931,TARIFAS!A:K,9,FALSE) + IF(I931="Sí",VLOOKUP(D931,TARIFAS!A:K,11,FALSE),0),
         VLOOKUP(D931,TARIFAS!A:K,10,FALSE) + IF(I931="Sí",VLOOKUP(D931,TARIFAS!A:K,11,FALSE),0)
      )
   )
)
</f>
        <v>0</v>
      </c>
      <c r="U931" s="45">
        <f>IF(R931="",0,MAX(0,R931 - TARIFAS!G$2) * TARIFAS!F$2)
</f>
        <v>0</v>
      </c>
      <c r="V931" s="45">
        <f>+T931*TARIFAS!$K$2</f>
        <v>0</v>
      </c>
      <c r="W931" s="45">
        <f t="shared" si="2"/>
        <v>0</v>
      </c>
      <c r="X931" s="45">
        <f t="shared" si="3"/>
        <v>0</v>
      </c>
      <c r="Y931" s="45">
        <f t="shared" si="4"/>
        <v>0</v>
      </c>
      <c r="Z931" s="42" t="str">
        <f>CONFERENCIAS!AB931</f>
        <v/>
      </c>
      <c r="AA931" s="42" t="str">
        <f>CONFERENCIAS!AC931</f>
        <v/>
      </c>
      <c r="AB931" s="47" t="str">
        <f t="shared" si="5"/>
        <v/>
      </c>
      <c r="AC931" s="9" t="str">
        <f t="shared" si="6"/>
        <v/>
      </c>
    </row>
    <row r="932">
      <c r="A932" s="42" t="str">
        <f>CONFERENCIAS!A932</f>
        <v/>
      </c>
      <c r="D932" s="42" t="str">
        <f>CONFERENCIAS!C932</f>
        <v/>
      </c>
      <c r="E932" s="42" t="str">
        <f>CONFERENCIAS!K932</f>
        <v/>
      </c>
      <c r="F932" s="49" t="str">
        <f>CONFERENCIAS!J932</f>
        <v/>
      </c>
      <c r="G932" s="42" t="str">
        <f>CONFERENCIAS!O932</f>
        <v/>
      </c>
      <c r="H932" s="42" t="str">
        <f>CONFERENCIAS!X932</f>
        <v/>
      </c>
      <c r="I932" s="42" t="str">
        <f>CONFERENCIAS!AA932</f>
        <v/>
      </c>
      <c r="J932" s="44" t="str">
        <f>CONFERENCIAS!P932</f>
        <v/>
      </c>
      <c r="K932" s="45" t="str">
        <f>CONFERENCIAS!R932</f>
        <v/>
      </c>
      <c r="L932" s="45">
        <f>IF(D932="",0,
 IF(E932=1,
   IF(H932="Presencial",
      VLOOKUP(D932,TARIFAS!A:K,3,FALSE) + IF(I932="Sí",VLOOKUP(D932,TARIFAS!A:K,5,FALSE),0),
      VLOOKUP(D932,TARIFAS!A:K,4,FALSE) + IF(I932="Sí",VLOOKUP(D932,TARIFAS!A:K,5,FALSE),0)
   ),
   IF(H932="Presencial",
      VLOOKUP(D932,TARIFAS!A:K,9,FALSE) + IF(I932="Sí",VLOOKUP(D932,TARIFAS!A:K,11,FALSE),0),
      VLOOKUP(D932,TARIFAS!A:K,10,FALSE) + IF(I932="Sí",VLOOKUP(D932,TARIFAS!A:K,11,FALSE),0)
   )
 )
)
</f>
        <v>0</v>
      </c>
      <c r="M932" s="45">
        <f>IF(J932="",0,MAX(0,J932 - TARIFAS!G$2) * TARIFAS!F$2)
</f>
        <v>0</v>
      </c>
      <c r="N932" s="45">
        <f>+L932*TARIFAS!$K$2</f>
        <v>0</v>
      </c>
      <c r="O932" s="45">
        <f t="shared" si="1"/>
        <v>0</v>
      </c>
      <c r="P932" s="45">
        <f>+M932+O932+K932+(+I932-(I932*TARIFAS!$K$2))</f>
        <v>0</v>
      </c>
      <c r="Q932" s="42" t="str">
        <f>CONFERENCIAS!T932</f>
        <v/>
      </c>
      <c r="R932" s="45" t="str">
        <f>CONFERENCIAS!U932</f>
        <v/>
      </c>
      <c r="S932" s="45" t="str">
        <f>CONFERENCIAS!W932</f>
        <v/>
      </c>
      <c r="T932" s="48">
        <f>IF(Q932="",0,
   IF(E932=1,
      IF(H932="Presencial",
         VLOOKUP(D932,TARIFAS!A:K,3,FALSE) + IF(I932="Sí",VLOOKUP(D932,TARIFAS!A:K,5,FALSE),0),
         VLOOKUP(D932,TARIFAS!A:K,4,FALSE) + IF(I932="Sí",VLOOKUP(D932,TARIFAS!A:K,5,FALSE),0)
      ),
      IF(H932="Presencial",
         VLOOKUP(D932,TARIFAS!A:K,9,FALSE) + IF(I932="Sí",VLOOKUP(D932,TARIFAS!A:K,11,FALSE),0),
         VLOOKUP(D932,TARIFAS!A:K,10,FALSE) + IF(I932="Sí",VLOOKUP(D932,TARIFAS!A:K,11,FALSE),0)
      )
   )
)
</f>
        <v>0</v>
      </c>
      <c r="U932" s="45">
        <f>IF(R932="",0,MAX(0,R932 - TARIFAS!G$2) * TARIFAS!F$2)
</f>
        <v>0</v>
      </c>
      <c r="V932" s="45">
        <f>+T932*TARIFAS!$K$2</f>
        <v>0</v>
      </c>
      <c r="W932" s="45">
        <f t="shared" si="2"/>
        <v>0</v>
      </c>
      <c r="X932" s="45">
        <f t="shared" si="3"/>
        <v>0</v>
      </c>
      <c r="Y932" s="45">
        <f t="shared" si="4"/>
        <v>0</v>
      </c>
      <c r="Z932" s="42" t="str">
        <f>CONFERENCIAS!AB932</f>
        <v/>
      </c>
      <c r="AA932" s="42" t="str">
        <f>CONFERENCIAS!AC932</f>
        <v/>
      </c>
      <c r="AB932" s="47" t="str">
        <f t="shared" si="5"/>
        <v/>
      </c>
      <c r="AC932" s="9" t="str">
        <f t="shared" si="6"/>
        <v/>
      </c>
    </row>
    <row r="933">
      <c r="A933" s="42" t="str">
        <f>CONFERENCIAS!A933</f>
        <v/>
      </c>
      <c r="D933" s="42" t="str">
        <f>CONFERENCIAS!C933</f>
        <v/>
      </c>
      <c r="E933" s="42" t="str">
        <f>CONFERENCIAS!K933</f>
        <v/>
      </c>
      <c r="F933" s="49" t="str">
        <f>CONFERENCIAS!J933</f>
        <v/>
      </c>
      <c r="G933" s="42" t="str">
        <f>CONFERENCIAS!O933</f>
        <v/>
      </c>
      <c r="H933" s="42" t="str">
        <f>CONFERENCIAS!X933</f>
        <v/>
      </c>
      <c r="I933" s="42" t="str">
        <f>CONFERENCIAS!AA933</f>
        <v/>
      </c>
      <c r="J933" s="44" t="str">
        <f>CONFERENCIAS!P933</f>
        <v/>
      </c>
      <c r="K933" s="45" t="str">
        <f>CONFERENCIAS!R933</f>
        <v/>
      </c>
      <c r="L933" s="45">
        <f>IF(D933="",0,
 IF(E933=1,
   IF(H933="Presencial",
      VLOOKUP(D933,TARIFAS!A:K,3,FALSE) + IF(I933="Sí",VLOOKUP(D933,TARIFAS!A:K,5,FALSE),0),
      VLOOKUP(D933,TARIFAS!A:K,4,FALSE) + IF(I933="Sí",VLOOKUP(D933,TARIFAS!A:K,5,FALSE),0)
   ),
   IF(H933="Presencial",
      VLOOKUP(D933,TARIFAS!A:K,9,FALSE) + IF(I933="Sí",VLOOKUP(D933,TARIFAS!A:K,11,FALSE),0),
      VLOOKUP(D933,TARIFAS!A:K,10,FALSE) + IF(I933="Sí",VLOOKUP(D933,TARIFAS!A:K,11,FALSE),0)
   )
 )
)
</f>
        <v>0</v>
      </c>
      <c r="M933" s="45">
        <f>IF(J933="",0,MAX(0,J933 - TARIFAS!G$2) * TARIFAS!F$2)
</f>
        <v>0</v>
      </c>
      <c r="N933" s="45">
        <f>+L933*TARIFAS!$K$2</f>
        <v>0</v>
      </c>
      <c r="O933" s="45">
        <f t="shared" si="1"/>
        <v>0</v>
      </c>
      <c r="P933" s="45">
        <f>+M933+O933+K933+(+I933-(I933*TARIFAS!$K$2))</f>
        <v>0</v>
      </c>
      <c r="Q933" s="42" t="str">
        <f>CONFERENCIAS!T933</f>
        <v/>
      </c>
      <c r="R933" s="45" t="str">
        <f>CONFERENCIAS!U933</f>
        <v/>
      </c>
      <c r="S933" s="45" t="str">
        <f>CONFERENCIAS!W933</f>
        <v/>
      </c>
      <c r="T933" s="48">
        <f>IF(Q933="",0,
   IF(E933=1,
      IF(H933="Presencial",
         VLOOKUP(D933,TARIFAS!A:K,3,FALSE) + IF(I933="Sí",VLOOKUP(D933,TARIFAS!A:K,5,FALSE),0),
         VLOOKUP(D933,TARIFAS!A:K,4,FALSE) + IF(I933="Sí",VLOOKUP(D933,TARIFAS!A:K,5,FALSE),0)
      ),
      IF(H933="Presencial",
         VLOOKUP(D933,TARIFAS!A:K,9,FALSE) + IF(I933="Sí",VLOOKUP(D933,TARIFAS!A:K,11,FALSE),0),
         VLOOKUP(D933,TARIFAS!A:K,10,FALSE) + IF(I933="Sí",VLOOKUP(D933,TARIFAS!A:K,11,FALSE),0)
      )
   )
)
</f>
        <v>0</v>
      </c>
      <c r="U933" s="45">
        <f>IF(R933="",0,MAX(0,R933 - TARIFAS!G$2) * TARIFAS!F$2)
</f>
        <v>0</v>
      </c>
      <c r="V933" s="45">
        <f>+T933*TARIFAS!$K$2</f>
        <v>0</v>
      </c>
      <c r="W933" s="45">
        <f t="shared" si="2"/>
        <v>0</v>
      </c>
      <c r="X933" s="45">
        <f t="shared" si="3"/>
        <v>0</v>
      </c>
      <c r="Y933" s="45">
        <f t="shared" si="4"/>
        <v>0</v>
      </c>
      <c r="Z933" s="42" t="str">
        <f>CONFERENCIAS!AB933</f>
        <v/>
      </c>
      <c r="AA933" s="42" t="str">
        <f>CONFERENCIAS!AC933</f>
        <v/>
      </c>
      <c r="AB933" s="47" t="str">
        <f t="shared" si="5"/>
        <v/>
      </c>
      <c r="AC933" s="9" t="str">
        <f t="shared" si="6"/>
        <v/>
      </c>
    </row>
    <row r="934">
      <c r="A934" s="42" t="str">
        <f>CONFERENCIAS!A934</f>
        <v/>
      </c>
      <c r="D934" s="42" t="str">
        <f>CONFERENCIAS!C934</f>
        <v/>
      </c>
      <c r="E934" s="42" t="str">
        <f>CONFERENCIAS!K934</f>
        <v/>
      </c>
      <c r="F934" s="49" t="str">
        <f>CONFERENCIAS!J934</f>
        <v/>
      </c>
      <c r="G934" s="42" t="str">
        <f>CONFERENCIAS!O934</f>
        <v/>
      </c>
      <c r="H934" s="42" t="str">
        <f>CONFERENCIAS!X934</f>
        <v/>
      </c>
      <c r="I934" s="42" t="str">
        <f>CONFERENCIAS!AA934</f>
        <v/>
      </c>
      <c r="J934" s="44" t="str">
        <f>CONFERENCIAS!P934</f>
        <v/>
      </c>
      <c r="K934" s="45" t="str">
        <f>CONFERENCIAS!R934</f>
        <v/>
      </c>
      <c r="L934" s="45">
        <f>IF(D934="",0,
 IF(E934=1,
   IF(H934="Presencial",
      VLOOKUP(D934,TARIFAS!A:K,3,FALSE) + IF(I934="Sí",VLOOKUP(D934,TARIFAS!A:K,5,FALSE),0),
      VLOOKUP(D934,TARIFAS!A:K,4,FALSE) + IF(I934="Sí",VLOOKUP(D934,TARIFAS!A:K,5,FALSE),0)
   ),
   IF(H934="Presencial",
      VLOOKUP(D934,TARIFAS!A:K,9,FALSE) + IF(I934="Sí",VLOOKUP(D934,TARIFAS!A:K,11,FALSE),0),
      VLOOKUP(D934,TARIFAS!A:K,10,FALSE) + IF(I934="Sí",VLOOKUP(D934,TARIFAS!A:K,11,FALSE),0)
   )
 )
)
</f>
        <v>0</v>
      </c>
      <c r="M934" s="45">
        <f>IF(J934="",0,MAX(0,J934 - TARIFAS!G$2) * TARIFAS!F$2)
</f>
        <v>0</v>
      </c>
      <c r="N934" s="45">
        <f>+L934*TARIFAS!$K$2</f>
        <v>0</v>
      </c>
      <c r="O934" s="45">
        <f t="shared" si="1"/>
        <v>0</v>
      </c>
      <c r="P934" s="45">
        <f>+M934+O934+K934+(+I934-(I934*TARIFAS!$K$2))</f>
        <v>0</v>
      </c>
      <c r="Q934" s="42" t="str">
        <f>CONFERENCIAS!T934</f>
        <v/>
      </c>
      <c r="R934" s="45" t="str">
        <f>CONFERENCIAS!U934</f>
        <v/>
      </c>
      <c r="S934" s="45" t="str">
        <f>CONFERENCIAS!W934</f>
        <v/>
      </c>
      <c r="T934" s="48">
        <f>IF(Q934="",0,
   IF(E934=1,
      IF(H934="Presencial",
         VLOOKUP(D934,TARIFAS!A:K,3,FALSE) + IF(I934="Sí",VLOOKUP(D934,TARIFAS!A:K,5,FALSE),0),
         VLOOKUP(D934,TARIFAS!A:K,4,FALSE) + IF(I934="Sí",VLOOKUP(D934,TARIFAS!A:K,5,FALSE),0)
      ),
      IF(H934="Presencial",
         VLOOKUP(D934,TARIFAS!A:K,9,FALSE) + IF(I934="Sí",VLOOKUP(D934,TARIFAS!A:K,11,FALSE),0),
         VLOOKUP(D934,TARIFAS!A:K,10,FALSE) + IF(I934="Sí",VLOOKUP(D934,TARIFAS!A:K,11,FALSE),0)
      )
   )
)
</f>
        <v>0</v>
      </c>
      <c r="U934" s="45">
        <f>IF(R934="",0,MAX(0,R934 - TARIFAS!G$2) * TARIFAS!F$2)
</f>
        <v>0</v>
      </c>
      <c r="V934" s="45">
        <f>+T934*TARIFAS!$K$2</f>
        <v>0</v>
      </c>
      <c r="W934" s="45">
        <f t="shared" si="2"/>
        <v>0</v>
      </c>
      <c r="X934" s="45">
        <f t="shared" si="3"/>
        <v>0</v>
      </c>
      <c r="Y934" s="45">
        <f t="shared" si="4"/>
        <v>0</v>
      </c>
      <c r="Z934" s="42" t="str">
        <f>CONFERENCIAS!AB934</f>
        <v/>
      </c>
      <c r="AA934" s="42" t="str">
        <f>CONFERENCIAS!AC934</f>
        <v/>
      </c>
      <c r="AB934" s="47" t="str">
        <f t="shared" si="5"/>
        <v/>
      </c>
      <c r="AC934" s="9" t="str">
        <f t="shared" si="6"/>
        <v/>
      </c>
    </row>
    <row r="935">
      <c r="A935" s="42" t="str">
        <f>CONFERENCIAS!A935</f>
        <v/>
      </c>
      <c r="D935" s="42" t="str">
        <f>CONFERENCIAS!C935</f>
        <v/>
      </c>
      <c r="E935" s="42" t="str">
        <f>CONFERENCIAS!K935</f>
        <v/>
      </c>
      <c r="F935" s="49" t="str">
        <f>CONFERENCIAS!J935</f>
        <v/>
      </c>
      <c r="G935" s="42" t="str">
        <f>CONFERENCIAS!O935</f>
        <v/>
      </c>
      <c r="H935" s="42" t="str">
        <f>CONFERENCIAS!X935</f>
        <v/>
      </c>
      <c r="I935" s="42" t="str">
        <f>CONFERENCIAS!AA935</f>
        <v/>
      </c>
      <c r="J935" s="44" t="str">
        <f>CONFERENCIAS!P935</f>
        <v/>
      </c>
      <c r="K935" s="45" t="str">
        <f>CONFERENCIAS!R935</f>
        <v/>
      </c>
      <c r="L935" s="45">
        <f>IF(D935="",0,
 IF(E935=1,
   IF(H935="Presencial",
      VLOOKUP(D935,TARIFAS!A:K,3,FALSE) + IF(I935="Sí",VLOOKUP(D935,TARIFAS!A:K,5,FALSE),0),
      VLOOKUP(D935,TARIFAS!A:K,4,FALSE) + IF(I935="Sí",VLOOKUP(D935,TARIFAS!A:K,5,FALSE),0)
   ),
   IF(H935="Presencial",
      VLOOKUP(D935,TARIFAS!A:K,9,FALSE) + IF(I935="Sí",VLOOKUP(D935,TARIFAS!A:K,11,FALSE),0),
      VLOOKUP(D935,TARIFAS!A:K,10,FALSE) + IF(I935="Sí",VLOOKUP(D935,TARIFAS!A:K,11,FALSE),0)
   )
 )
)
</f>
        <v>0</v>
      </c>
      <c r="M935" s="45">
        <f>IF(J935="",0,MAX(0,J935 - TARIFAS!G$2) * TARIFAS!F$2)
</f>
        <v>0</v>
      </c>
      <c r="N935" s="45">
        <f>+L935*TARIFAS!$K$2</f>
        <v>0</v>
      </c>
      <c r="O935" s="45">
        <f t="shared" si="1"/>
        <v>0</v>
      </c>
      <c r="P935" s="45">
        <f>+M935+O935+K935+(+I935-(I935*TARIFAS!$K$2))</f>
        <v>0</v>
      </c>
      <c r="Q935" s="42" t="str">
        <f>CONFERENCIAS!T935</f>
        <v/>
      </c>
      <c r="R935" s="45" t="str">
        <f>CONFERENCIAS!U935</f>
        <v/>
      </c>
      <c r="S935" s="45" t="str">
        <f>CONFERENCIAS!W935</f>
        <v/>
      </c>
      <c r="T935" s="48">
        <f>IF(Q935="",0,
   IF(E935=1,
      IF(H935="Presencial",
         VLOOKUP(D935,TARIFAS!A:K,3,FALSE) + IF(I935="Sí",VLOOKUP(D935,TARIFAS!A:K,5,FALSE),0),
         VLOOKUP(D935,TARIFAS!A:K,4,FALSE) + IF(I935="Sí",VLOOKUP(D935,TARIFAS!A:K,5,FALSE),0)
      ),
      IF(H935="Presencial",
         VLOOKUP(D935,TARIFAS!A:K,9,FALSE) + IF(I935="Sí",VLOOKUP(D935,TARIFAS!A:K,11,FALSE),0),
         VLOOKUP(D935,TARIFAS!A:K,10,FALSE) + IF(I935="Sí",VLOOKUP(D935,TARIFAS!A:K,11,FALSE),0)
      )
   )
)
</f>
        <v>0</v>
      </c>
      <c r="U935" s="45">
        <f>IF(R935="",0,MAX(0,R935 - TARIFAS!G$2) * TARIFAS!F$2)
</f>
        <v>0</v>
      </c>
      <c r="V935" s="45">
        <f>+T935*TARIFAS!$K$2</f>
        <v>0</v>
      </c>
      <c r="W935" s="45">
        <f t="shared" si="2"/>
        <v>0</v>
      </c>
      <c r="X935" s="45">
        <f t="shared" si="3"/>
        <v>0</v>
      </c>
      <c r="Y935" s="45">
        <f t="shared" si="4"/>
        <v>0</v>
      </c>
      <c r="Z935" s="42" t="str">
        <f>CONFERENCIAS!AB935</f>
        <v/>
      </c>
      <c r="AA935" s="42" t="str">
        <f>CONFERENCIAS!AC935</f>
        <v/>
      </c>
      <c r="AB935" s="47" t="str">
        <f t="shared" si="5"/>
        <v/>
      </c>
      <c r="AC935" s="9" t="str">
        <f t="shared" si="6"/>
        <v/>
      </c>
    </row>
    <row r="936">
      <c r="A936" s="42" t="str">
        <f>CONFERENCIAS!A936</f>
        <v/>
      </c>
      <c r="D936" s="42" t="str">
        <f>CONFERENCIAS!C936</f>
        <v/>
      </c>
      <c r="E936" s="42" t="str">
        <f>CONFERENCIAS!K936</f>
        <v/>
      </c>
      <c r="F936" s="49" t="str">
        <f>CONFERENCIAS!J936</f>
        <v/>
      </c>
      <c r="G936" s="42" t="str">
        <f>CONFERENCIAS!O936</f>
        <v/>
      </c>
      <c r="H936" s="42" t="str">
        <f>CONFERENCIAS!X936</f>
        <v/>
      </c>
      <c r="I936" s="42" t="str">
        <f>CONFERENCIAS!AA936</f>
        <v/>
      </c>
      <c r="J936" s="44" t="str">
        <f>CONFERENCIAS!P936</f>
        <v/>
      </c>
      <c r="K936" s="45" t="str">
        <f>CONFERENCIAS!R936</f>
        <v/>
      </c>
      <c r="L936" s="45">
        <f>IF(D936="",0,
 IF(E936=1,
   IF(H936="Presencial",
      VLOOKUP(D936,TARIFAS!A:K,3,FALSE) + IF(I936="Sí",VLOOKUP(D936,TARIFAS!A:K,5,FALSE),0),
      VLOOKUP(D936,TARIFAS!A:K,4,FALSE) + IF(I936="Sí",VLOOKUP(D936,TARIFAS!A:K,5,FALSE),0)
   ),
   IF(H936="Presencial",
      VLOOKUP(D936,TARIFAS!A:K,9,FALSE) + IF(I936="Sí",VLOOKUP(D936,TARIFAS!A:K,11,FALSE),0),
      VLOOKUP(D936,TARIFAS!A:K,10,FALSE) + IF(I936="Sí",VLOOKUP(D936,TARIFAS!A:K,11,FALSE),0)
   )
 )
)
</f>
        <v>0</v>
      </c>
      <c r="M936" s="45">
        <f>IF(J936="",0,MAX(0,J936 - TARIFAS!G$2) * TARIFAS!F$2)
</f>
        <v>0</v>
      </c>
      <c r="N936" s="45">
        <f>+L936*TARIFAS!$K$2</f>
        <v>0</v>
      </c>
      <c r="O936" s="45">
        <f t="shared" si="1"/>
        <v>0</v>
      </c>
      <c r="P936" s="45">
        <f>+M936+O936+K936+(+I936-(I936*TARIFAS!$K$2))</f>
        <v>0</v>
      </c>
      <c r="Q936" s="42" t="str">
        <f>CONFERENCIAS!T936</f>
        <v/>
      </c>
      <c r="R936" s="45" t="str">
        <f>CONFERENCIAS!U936</f>
        <v/>
      </c>
      <c r="S936" s="45" t="str">
        <f>CONFERENCIAS!W936</f>
        <v/>
      </c>
      <c r="T936" s="48">
        <f>IF(Q936="",0,
   IF(E936=1,
      IF(H936="Presencial",
         VLOOKUP(D936,TARIFAS!A:K,3,FALSE) + IF(I936="Sí",VLOOKUP(D936,TARIFAS!A:K,5,FALSE),0),
         VLOOKUP(D936,TARIFAS!A:K,4,FALSE) + IF(I936="Sí",VLOOKUP(D936,TARIFAS!A:K,5,FALSE),0)
      ),
      IF(H936="Presencial",
         VLOOKUP(D936,TARIFAS!A:K,9,FALSE) + IF(I936="Sí",VLOOKUP(D936,TARIFAS!A:K,11,FALSE),0),
         VLOOKUP(D936,TARIFAS!A:K,10,FALSE) + IF(I936="Sí",VLOOKUP(D936,TARIFAS!A:K,11,FALSE),0)
      )
   )
)
</f>
        <v>0</v>
      </c>
      <c r="U936" s="45">
        <f>IF(R936="",0,MAX(0,R936 - TARIFAS!G$2) * TARIFAS!F$2)
</f>
        <v>0</v>
      </c>
      <c r="V936" s="45">
        <f>+T936*TARIFAS!$K$2</f>
        <v>0</v>
      </c>
      <c r="W936" s="45">
        <f t="shared" si="2"/>
        <v>0</v>
      </c>
      <c r="X936" s="45">
        <f t="shared" si="3"/>
        <v>0</v>
      </c>
      <c r="Y936" s="45">
        <f t="shared" si="4"/>
        <v>0</v>
      </c>
      <c r="Z936" s="42" t="str">
        <f>CONFERENCIAS!AB936</f>
        <v/>
      </c>
      <c r="AA936" s="42" t="str">
        <f>CONFERENCIAS!AC936</f>
        <v/>
      </c>
      <c r="AB936" s="47" t="str">
        <f t="shared" si="5"/>
        <v/>
      </c>
      <c r="AC936" s="9" t="str">
        <f t="shared" si="6"/>
        <v/>
      </c>
    </row>
    <row r="937">
      <c r="A937" s="42" t="str">
        <f>CONFERENCIAS!A937</f>
        <v/>
      </c>
      <c r="D937" s="42" t="str">
        <f>CONFERENCIAS!C937</f>
        <v/>
      </c>
      <c r="E937" s="42" t="str">
        <f>CONFERENCIAS!K937</f>
        <v/>
      </c>
      <c r="F937" s="49" t="str">
        <f>CONFERENCIAS!J937</f>
        <v/>
      </c>
      <c r="G937" s="42" t="str">
        <f>CONFERENCIAS!O937</f>
        <v/>
      </c>
      <c r="H937" s="42" t="str">
        <f>CONFERENCIAS!X937</f>
        <v/>
      </c>
      <c r="I937" s="42" t="str">
        <f>CONFERENCIAS!AA937</f>
        <v/>
      </c>
      <c r="J937" s="44" t="str">
        <f>CONFERENCIAS!P937</f>
        <v/>
      </c>
      <c r="K937" s="45" t="str">
        <f>CONFERENCIAS!R937</f>
        <v/>
      </c>
      <c r="L937" s="45">
        <f>IF(D937="",0,
 IF(E937=1,
   IF(H937="Presencial",
      VLOOKUP(D937,TARIFAS!A:K,3,FALSE) + IF(I937="Sí",VLOOKUP(D937,TARIFAS!A:K,5,FALSE),0),
      VLOOKUP(D937,TARIFAS!A:K,4,FALSE) + IF(I937="Sí",VLOOKUP(D937,TARIFAS!A:K,5,FALSE),0)
   ),
   IF(H937="Presencial",
      VLOOKUP(D937,TARIFAS!A:K,9,FALSE) + IF(I937="Sí",VLOOKUP(D937,TARIFAS!A:K,11,FALSE),0),
      VLOOKUP(D937,TARIFAS!A:K,10,FALSE) + IF(I937="Sí",VLOOKUP(D937,TARIFAS!A:K,11,FALSE),0)
   )
 )
)
</f>
        <v>0</v>
      </c>
      <c r="M937" s="45">
        <f>IF(J937="",0,MAX(0,J937 - TARIFAS!G$2) * TARIFAS!F$2)
</f>
        <v>0</v>
      </c>
      <c r="N937" s="45">
        <f>+L937*TARIFAS!$K$2</f>
        <v>0</v>
      </c>
      <c r="O937" s="45">
        <f t="shared" si="1"/>
        <v>0</v>
      </c>
      <c r="P937" s="45">
        <f>+M937+O937+K937+(+I937-(I937*TARIFAS!$K$2))</f>
        <v>0</v>
      </c>
      <c r="Q937" s="42" t="str">
        <f>CONFERENCIAS!T937</f>
        <v/>
      </c>
      <c r="R937" s="45" t="str">
        <f>CONFERENCIAS!U937</f>
        <v/>
      </c>
      <c r="S937" s="45" t="str">
        <f>CONFERENCIAS!W937</f>
        <v/>
      </c>
      <c r="T937" s="48">
        <f>IF(Q937="",0,
   IF(E937=1,
      IF(H937="Presencial",
         VLOOKUP(D937,TARIFAS!A:K,3,FALSE) + IF(I937="Sí",VLOOKUP(D937,TARIFAS!A:K,5,FALSE),0),
         VLOOKUP(D937,TARIFAS!A:K,4,FALSE) + IF(I937="Sí",VLOOKUP(D937,TARIFAS!A:K,5,FALSE),0)
      ),
      IF(H937="Presencial",
         VLOOKUP(D937,TARIFAS!A:K,9,FALSE) + IF(I937="Sí",VLOOKUP(D937,TARIFAS!A:K,11,FALSE),0),
         VLOOKUP(D937,TARIFAS!A:K,10,FALSE) + IF(I937="Sí",VLOOKUP(D937,TARIFAS!A:K,11,FALSE),0)
      )
   )
)
</f>
        <v>0</v>
      </c>
      <c r="U937" s="45">
        <f>IF(R937="",0,MAX(0,R937 - TARIFAS!G$2) * TARIFAS!F$2)
</f>
        <v>0</v>
      </c>
      <c r="V937" s="45">
        <f>+T937*TARIFAS!$K$2</f>
        <v>0</v>
      </c>
      <c r="W937" s="45">
        <f t="shared" si="2"/>
        <v>0</v>
      </c>
      <c r="X937" s="45">
        <f t="shared" si="3"/>
        <v>0</v>
      </c>
      <c r="Y937" s="45">
        <f t="shared" si="4"/>
        <v>0</v>
      </c>
      <c r="Z937" s="42" t="str">
        <f>CONFERENCIAS!AB937</f>
        <v/>
      </c>
      <c r="AA937" s="42" t="str">
        <f>CONFERENCIAS!AC937</f>
        <v/>
      </c>
      <c r="AB937" s="47" t="str">
        <f t="shared" si="5"/>
        <v/>
      </c>
      <c r="AC937" s="9" t="str">
        <f t="shared" si="6"/>
        <v/>
      </c>
    </row>
    <row r="938">
      <c r="A938" s="42" t="str">
        <f>CONFERENCIAS!A938</f>
        <v/>
      </c>
      <c r="D938" s="42" t="str">
        <f>CONFERENCIAS!C938</f>
        <v/>
      </c>
      <c r="E938" s="42" t="str">
        <f>CONFERENCIAS!K938</f>
        <v/>
      </c>
      <c r="F938" s="49" t="str">
        <f>CONFERENCIAS!J938</f>
        <v/>
      </c>
      <c r="G938" s="42" t="str">
        <f>CONFERENCIAS!O938</f>
        <v/>
      </c>
      <c r="H938" s="42" t="str">
        <f>CONFERENCIAS!X938</f>
        <v/>
      </c>
      <c r="I938" s="42" t="str">
        <f>CONFERENCIAS!AA938</f>
        <v/>
      </c>
      <c r="J938" s="44" t="str">
        <f>CONFERENCIAS!P938</f>
        <v/>
      </c>
      <c r="K938" s="45" t="str">
        <f>CONFERENCIAS!R938</f>
        <v/>
      </c>
      <c r="L938" s="45">
        <f>IF(D938="",0,
 IF(E938=1,
   IF(H938="Presencial",
      VLOOKUP(D938,TARIFAS!A:K,3,FALSE) + IF(I938="Sí",VLOOKUP(D938,TARIFAS!A:K,5,FALSE),0),
      VLOOKUP(D938,TARIFAS!A:K,4,FALSE) + IF(I938="Sí",VLOOKUP(D938,TARIFAS!A:K,5,FALSE),0)
   ),
   IF(H938="Presencial",
      VLOOKUP(D938,TARIFAS!A:K,9,FALSE) + IF(I938="Sí",VLOOKUP(D938,TARIFAS!A:K,11,FALSE),0),
      VLOOKUP(D938,TARIFAS!A:K,10,FALSE) + IF(I938="Sí",VLOOKUP(D938,TARIFAS!A:K,11,FALSE),0)
   )
 )
)
</f>
        <v>0</v>
      </c>
      <c r="M938" s="45">
        <f>IF(J938="",0,MAX(0,J938 - TARIFAS!G$2) * TARIFAS!F$2)
</f>
        <v>0</v>
      </c>
      <c r="N938" s="45">
        <f>+L938*TARIFAS!$K$2</f>
        <v>0</v>
      </c>
      <c r="O938" s="45">
        <f t="shared" si="1"/>
        <v>0</v>
      </c>
      <c r="P938" s="45">
        <f>+M938+O938+K938+(+I938-(I938*TARIFAS!$K$2))</f>
        <v>0</v>
      </c>
      <c r="Q938" s="42" t="str">
        <f>CONFERENCIAS!T938</f>
        <v/>
      </c>
      <c r="R938" s="45" t="str">
        <f>CONFERENCIAS!U938</f>
        <v/>
      </c>
      <c r="S938" s="45" t="str">
        <f>CONFERENCIAS!W938</f>
        <v/>
      </c>
      <c r="T938" s="48">
        <f>IF(Q938="",0,
   IF(E938=1,
      IF(H938="Presencial",
         VLOOKUP(D938,TARIFAS!A:K,3,FALSE) + IF(I938="Sí",VLOOKUP(D938,TARIFAS!A:K,5,FALSE),0),
         VLOOKUP(D938,TARIFAS!A:K,4,FALSE) + IF(I938="Sí",VLOOKUP(D938,TARIFAS!A:K,5,FALSE),0)
      ),
      IF(H938="Presencial",
         VLOOKUP(D938,TARIFAS!A:K,9,FALSE) + IF(I938="Sí",VLOOKUP(D938,TARIFAS!A:K,11,FALSE),0),
         VLOOKUP(D938,TARIFAS!A:K,10,FALSE) + IF(I938="Sí",VLOOKUP(D938,TARIFAS!A:K,11,FALSE),0)
      )
   )
)
</f>
        <v>0</v>
      </c>
      <c r="U938" s="45">
        <f>IF(R938="",0,MAX(0,R938 - TARIFAS!G$2) * TARIFAS!F$2)
</f>
        <v>0</v>
      </c>
      <c r="V938" s="45">
        <f>+T938*TARIFAS!$K$2</f>
        <v>0</v>
      </c>
      <c r="W938" s="45">
        <f t="shared" si="2"/>
        <v>0</v>
      </c>
      <c r="X938" s="45">
        <f t="shared" si="3"/>
        <v>0</v>
      </c>
      <c r="Y938" s="45">
        <f t="shared" si="4"/>
        <v>0</v>
      </c>
      <c r="Z938" s="42" t="str">
        <f>CONFERENCIAS!AB938</f>
        <v/>
      </c>
      <c r="AA938" s="42" t="str">
        <f>CONFERENCIAS!AC938</f>
        <v/>
      </c>
      <c r="AB938" s="47" t="str">
        <f t="shared" si="5"/>
        <v/>
      </c>
      <c r="AC938" s="9" t="str">
        <f t="shared" si="6"/>
        <v/>
      </c>
    </row>
    <row r="939">
      <c r="A939" s="42" t="str">
        <f>CONFERENCIAS!A939</f>
        <v/>
      </c>
      <c r="D939" s="42" t="str">
        <f>CONFERENCIAS!C939</f>
        <v/>
      </c>
      <c r="E939" s="42" t="str">
        <f>CONFERENCIAS!K939</f>
        <v/>
      </c>
      <c r="F939" s="49" t="str">
        <f>CONFERENCIAS!J939</f>
        <v/>
      </c>
      <c r="G939" s="42" t="str">
        <f>CONFERENCIAS!O939</f>
        <v/>
      </c>
      <c r="H939" s="42" t="str">
        <f>CONFERENCIAS!X939</f>
        <v/>
      </c>
      <c r="I939" s="42" t="str">
        <f>CONFERENCIAS!AA939</f>
        <v/>
      </c>
      <c r="J939" s="44" t="str">
        <f>CONFERENCIAS!P939</f>
        <v/>
      </c>
      <c r="K939" s="45" t="str">
        <f>CONFERENCIAS!R939</f>
        <v/>
      </c>
      <c r="L939" s="45">
        <f>IF(D939="",0,
 IF(E939=1,
   IF(H939="Presencial",
      VLOOKUP(D939,TARIFAS!A:K,3,FALSE) + IF(I939="Sí",VLOOKUP(D939,TARIFAS!A:K,5,FALSE),0),
      VLOOKUP(D939,TARIFAS!A:K,4,FALSE) + IF(I939="Sí",VLOOKUP(D939,TARIFAS!A:K,5,FALSE),0)
   ),
   IF(H939="Presencial",
      VLOOKUP(D939,TARIFAS!A:K,9,FALSE) + IF(I939="Sí",VLOOKUP(D939,TARIFAS!A:K,11,FALSE),0),
      VLOOKUP(D939,TARIFAS!A:K,10,FALSE) + IF(I939="Sí",VLOOKUP(D939,TARIFAS!A:K,11,FALSE),0)
   )
 )
)
</f>
        <v>0</v>
      </c>
      <c r="M939" s="45">
        <f>IF(J939="",0,MAX(0,J939 - TARIFAS!G$2) * TARIFAS!F$2)
</f>
        <v>0</v>
      </c>
      <c r="N939" s="45">
        <f>+L939*TARIFAS!$K$2</f>
        <v>0</v>
      </c>
      <c r="O939" s="45">
        <f t="shared" si="1"/>
        <v>0</v>
      </c>
      <c r="P939" s="45">
        <f>+M939+O939+K939+(+I939-(I939*TARIFAS!$K$2))</f>
        <v>0</v>
      </c>
      <c r="Q939" s="42" t="str">
        <f>CONFERENCIAS!T939</f>
        <v/>
      </c>
      <c r="R939" s="45" t="str">
        <f>CONFERENCIAS!U939</f>
        <v/>
      </c>
      <c r="S939" s="45" t="str">
        <f>CONFERENCIAS!W939</f>
        <v/>
      </c>
      <c r="T939" s="48">
        <f>IF(Q939="",0,
   IF(E939=1,
      IF(H939="Presencial",
         VLOOKUP(D939,TARIFAS!A:K,3,FALSE) + IF(I939="Sí",VLOOKUP(D939,TARIFAS!A:K,5,FALSE),0),
         VLOOKUP(D939,TARIFAS!A:K,4,FALSE) + IF(I939="Sí",VLOOKUP(D939,TARIFAS!A:K,5,FALSE),0)
      ),
      IF(H939="Presencial",
         VLOOKUP(D939,TARIFAS!A:K,9,FALSE) + IF(I939="Sí",VLOOKUP(D939,TARIFAS!A:K,11,FALSE),0),
         VLOOKUP(D939,TARIFAS!A:K,10,FALSE) + IF(I939="Sí",VLOOKUP(D939,TARIFAS!A:K,11,FALSE),0)
      )
   )
)
</f>
        <v>0</v>
      </c>
      <c r="U939" s="45">
        <f>IF(R939="",0,MAX(0,R939 - TARIFAS!G$2) * TARIFAS!F$2)
</f>
        <v>0</v>
      </c>
      <c r="V939" s="45">
        <f>+T939*TARIFAS!$K$2</f>
        <v>0</v>
      </c>
      <c r="W939" s="45">
        <f t="shared" si="2"/>
        <v>0</v>
      </c>
      <c r="X939" s="45">
        <f t="shared" si="3"/>
        <v>0</v>
      </c>
      <c r="Y939" s="45">
        <f t="shared" si="4"/>
        <v>0</v>
      </c>
      <c r="Z939" s="42" t="str">
        <f>CONFERENCIAS!AB939</f>
        <v/>
      </c>
      <c r="AA939" s="42" t="str">
        <f>CONFERENCIAS!AC939</f>
        <v/>
      </c>
      <c r="AB939" s="47" t="str">
        <f t="shared" si="5"/>
        <v/>
      </c>
      <c r="AC939" s="9" t="str">
        <f t="shared" si="6"/>
        <v/>
      </c>
    </row>
    <row r="940">
      <c r="A940" s="42" t="str">
        <f>CONFERENCIAS!A940</f>
        <v/>
      </c>
      <c r="D940" s="42" t="str">
        <f>CONFERENCIAS!C940</f>
        <v/>
      </c>
      <c r="E940" s="42" t="str">
        <f>CONFERENCIAS!K940</f>
        <v/>
      </c>
      <c r="F940" s="49" t="str">
        <f>CONFERENCIAS!J940</f>
        <v/>
      </c>
      <c r="G940" s="42" t="str">
        <f>CONFERENCIAS!O940</f>
        <v/>
      </c>
      <c r="H940" s="42" t="str">
        <f>CONFERENCIAS!X940</f>
        <v/>
      </c>
      <c r="I940" s="42" t="str">
        <f>CONFERENCIAS!AA940</f>
        <v/>
      </c>
      <c r="J940" s="44" t="str">
        <f>CONFERENCIAS!P940</f>
        <v/>
      </c>
      <c r="K940" s="45" t="str">
        <f>CONFERENCIAS!R940</f>
        <v/>
      </c>
      <c r="L940" s="45">
        <f>IF(D940="",0,
 IF(E940=1,
   IF(H940="Presencial",
      VLOOKUP(D940,TARIFAS!A:K,3,FALSE) + IF(I940="Sí",VLOOKUP(D940,TARIFAS!A:K,5,FALSE),0),
      VLOOKUP(D940,TARIFAS!A:K,4,FALSE) + IF(I940="Sí",VLOOKUP(D940,TARIFAS!A:K,5,FALSE),0)
   ),
   IF(H940="Presencial",
      VLOOKUP(D940,TARIFAS!A:K,9,FALSE) + IF(I940="Sí",VLOOKUP(D940,TARIFAS!A:K,11,FALSE),0),
      VLOOKUP(D940,TARIFAS!A:K,10,FALSE) + IF(I940="Sí",VLOOKUP(D940,TARIFAS!A:K,11,FALSE),0)
   )
 )
)
</f>
        <v>0</v>
      </c>
      <c r="M940" s="45">
        <f>IF(J940="",0,MAX(0,J940 - TARIFAS!G$2) * TARIFAS!F$2)
</f>
        <v>0</v>
      </c>
      <c r="N940" s="45">
        <f>+L940*TARIFAS!$K$2</f>
        <v>0</v>
      </c>
      <c r="O940" s="45">
        <f t="shared" si="1"/>
        <v>0</v>
      </c>
      <c r="P940" s="45">
        <f>+M940+O940+K940+(+I940-(I940*TARIFAS!$K$2))</f>
        <v>0</v>
      </c>
      <c r="Q940" s="42" t="str">
        <f>CONFERENCIAS!T940</f>
        <v/>
      </c>
      <c r="R940" s="45" t="str">
        <f>CONFERENCIAS!U940</f>
        <v/>
      </c>
      <c r="S940" s="45" t="str">
        <f>CONFERENCIAS!W940</f>
        <v/>
      </c>
      <c r="T940" s="48">
        <f>IF(Q940="",0,
   IF(E940=1,
      IF(H940="Presencial",
         VLOOKUP(D940,TARIFAS!A:K,3,FALSE) + IF(I940="Sí",VLOOKUP(D940,TARIFAS!A:K,5,FALSE),0),
         VLOOKUP(D940,TARIFAS!A:K,4,FALSE) + IF(I940="Sí",VLOOKUP(D940,TARIFAS!A:K,5,FALSE),0)
      ),
      IF(H940="Presencial",
         VLOOKUP(D940,TARIFAS!A:K,9,FALSE) + IF(I940="Sí",VLOOKUP(D940,TARIFAS!A:K,11,FALSE),0),
         VLOOKUP(D940,TARIFAS!A:K,10,FALSE) + IF(I940="Sí",VLOOKUP(D940,TARIFAS!A:K,11,FALSE),0)
      )
   )
)
</f>
        <v>0</v>
      </c>
      <c r="U940" s="45">
        <f>IF(R940="",0,MAX(0,R940 - TARIFAS!G$2) * TARIFAS!F$2)
</f>
        <v>0</v>
      </c>
      <c r="V940" s="45">
        <f>+T940*TARIFAS!$K$2</f>
        <v>0</v>
      </c>
      <c r="W940" s="45">
        <f t="shared" si="2"/>
        <v>0</v>
      </c>
      <c r="X940" s="45">
        <f t="shared" si="3"/>
        <v>0</v>
      </c>
      <c r="Y940" s="45">
        <f t="shared" si="4"/>
        <v>0</v>
      </c>
      <c r="Z940" s="42" t="str">
        <f>CONFERENCIAS!AB940</f>
        <v/>
      </c>
      <c r="AA940" s="42" t="str">
        <f>CONFERENCIAS!AC940</f>
        <v/>
      </c>
      <c r="AB940" s="47" t="str">
        <f t="shared" si="5"/>
        <v/>
      </c>
      <c r="AC940" s="9" t="str">
        <f t="shared" si="6"/>
        <v/>
      </c>
    </row>
    <row r="941">
      <c r="A941" s="42" t="str">
        <f>CONFERENCIAS!A941</f>
        <v/>
      </c>
      <c r="D941" s="42" t="str">
        <f>CONFERENCIAS!C941</f>
        <v/>
      </c>
      <c r="E941" s="42" t="str">
        <f>CONFERENCIAS!K941</f>
        <v/>
      </c>
      <c r="F941" s="49" t="str">
        <f>CONFERENCIAS!J941</f>
        <v/>
      </c>
      <c r="G941" s="42" t="str">
        <f>CONFERENCIAS!O941</f>
        <v/>
      </c>
      <c r="H941" s="42" t="str">
        <f>CONFERENCIAS!X941</f>
        <v/>
      </c>
      <c r="I941" s="42" t="str">
        <f>CONFERENCIAS!AA941</f>
        <v/>
      </c>
      <c r="J941" s="44" t="str">
        <f>CONFERENCIAS!P941</f>
        <v/>
      </c>
      <c r="K941" s="45" t="str">
        <f>CONFERENCIAS!R941</f>
        <v/>
      </c>
      <c r="L941" s="45">
        <f>IF(D941="",0,
 IF(E941=1,
   IF(H941="Presencial",
      VLOOKUP(D941,TARIFAS!A:K,3,FALSE) + IF(I941="Sí",VLOOKUP(D941,TARIFAS!A:K,5,FALSE),0),
      VLOOKUP(D941,TARIFAS!A:K,4,FALSE) + IF(I941="Sí",VLOOKUP(D941,TARIFAS!A:K,5,FALSE),0)
   ),
   IF(H941="Presencial",
      VLOOKUP(D941,TARIFAS!A:K,9,FALSE) + IF(I941="Sí",VLOOKUP(D941,TARIFAS!A:K,11,FALSE),0),
      VLOOKUP(D941,TARIFAS!A:K,10,FALSE) + IF(I941="Sí",VLOOKUP(D941,TARIFAS!A:K,11,FALSE),0)
   )
 )
)
</f>
        <v>0</v>
      </c>
      <c r="M941" s="45">
        <f>IF(J941="",0,MAX(0,J941 - TARIFAS!G$2) * TARIFAS!F$2)
</f>
        <v>0</v>
      </c>
      <c r="N941" s="45">
        <f>+L941*TARIFAS!$K$2</f>
        <v>0</v>
      </c>
      <c r="O941" s="45">
        <f t="shared" si="1"/>
        <v>0</v>
      </c>
      <c r="P941" s="45">
        <f>+M941+O941+K941+(+I941-(I941*TARIFAS!$K$2))</f>
        <v>0</v>
      </c>
      <c r="Q941" s="42" t="str">
        <f>CONFERENCIAS!T941</f>
        <v/>
      </c>
      <c r="R941" s="45" t="str">
        <f>CONFERENCIAS!U941</f>
        <v/>
      </c>
      <c r="S941" s="45" t="str">
        <f>CONFERENCIAS!W941</f>
        <v/>
      </c>
      <c r="T941" s="48">
        <f>IF(Q941="",0,
   IF(E941=1,
      IF(H941="Presencial",
         VLOOKUP(D941,TARIFAS!A:K,3,FALSE) + IF(I941="Sí",VLOOKUP(D941,TARIFAS!A:K,5,FALSE),0),
         VLOOKUP(D941,TARIFAS!A:K,4,FALSE) + IF(I941="Sí",VLOOKUP(D941,TARIFAS!A:K,5,FALSE),0)
      ),
      IF(H941="Presencial",
         VLOOKUP(D941,TARIFAS!A:K,9,FALSE) + IF(I941="Sí",VLOOKUP(D941,TARIFAS!A:K,11,FALSE),0),
         VLOOKUP(D941,TARIFAS!A:K,10,FALSE) + IF(I941="Sí",VLOOKUP(D941,TARIFAS!A:K,11,FALSE),0)
      )
   )
)
</f>
        <v>0</v>
      </c>
      <c r="U941" s="45">
        <f>IF(R941="",0,MAX(0,R941 - TARIFAS!G$2) * TARIFAS!F$2)
</f>
        <v>0</v>
      </c>
      <c r="V941" s="45">
        <f>+T941*TARIFAS!$K$2</f>
        <v>0</v>
      </c>
      <c r="W941" s="45">
        <f t="shared" si="2"/>
        <v>0</v>
      </c>
      <c r="X941" s="45">
        <f t="shared" si="3"/>
        <v>0</v>
      </c>
      <c r="Y941" s="45">
        <f t="shared" si="4"/>
        <v>0</v>
      </c>
      <c r="Z941" s="42" t="str">
        <f>CONFERENCIAS!AB941</f>
        <v/>
      </c>
      <c r="AA941" s="42" t="str">
        <f>CONFERENCIAS!AC941</f>
        <v/>
      </c>
      <c r="AB941" s="47" t="str">
        <f t="shared" si="5"/>
        <v/>
      </c>
      <c r="AC941" s="9" t="str">
        <f t="shared" si="6"/>
        <v/>
      </c>
    </row>
    <row r="942">
      <c r="A942" s="42" t="str">
        <f>CONFERENCIAS!A942</f>
        <v/>
      </c>
      <c r="D942" s="42" t="str">
        <f>CONFERENCIAS!C942</f>
        <v/>
      </c>
      <c r="E942" s="42" t="str">
        <f>CONFERENCIAS!K942</f>
        <v/>
      </c>
      <c r="F942" s="49" t="str">
        <f>CONFERENCIAS!J942</f>
        <v/>
      </c>
      <c r="G942" s="42" t="str">
        <f>CONFERENCIAS!O942</f>
        <v/>
      </c>
      <c r="H942" s="42" t="str">
        <f>CONFERENCIAS!X942</f>
        <v/>
      </c>
      <c r="I942" s="42" t="str">
        <f>CONFERENCIAS!AA942</f>
        <v/>
      </c>
      <c r="J942" s="44" t="str">
        <f>CONFERENCIAS!P942</f>
        <v/>
      </c>
      <c r="K942" s="45" t="str">
        <f>CONFERENCIAS!R942</f>
        <v/>
      </c>
      <c r="L942" s="45">
        <f>IF(D942="",0,
 IF(E942=1,
   IF(H942="Presencial",
      VLOOKUP(D942,TARIFAS!A:K,3,FALSE) + IF(I942="Sí",VLOOKUP(D942,TARIFAS!A:K,5,FALSE),0),
      VLOOKUP(D942,TARIFAS!A:K,4,FALSE) + IF(I942="Sí",VLOOKUP(D942,TARIFAS!A:K,5,FALSE),0)
   ),
   IF(H942="Presencial",
      VLOOKUP(D942,TARIFAS!A:K,9,FALSE) + IF(I942="Sí",VLOOKUP(D942,TARIFAS!A:K,11,FALSE),0),
      VLOOKUP(D942,TARIFAS!A:K,10,FALSE) + IF(I942="Sí",VLOOKUP(D942,TARIFAS!A:K,11,FALSE),0)
   )
 )
)
</f>
        <v>0</v>
      </c>
      <c r="M942" s="45">
        <f>IF(J942="",0,MAX(0,J942 - TARIFAS!G$2) * TARIFAS!F$2)
</f>
        <v>0</v>
      </c>
      <c r="N942" s="45">
        <f>+L942*TARIFAS!$K$2</f>
        <v>0</v>
      </c>
      <c r="O942" s="45">
        <f t="shared" si="1"/>
        <v>0</v>
      </c>
      <c r="P942" s="45">
        <f>+M942+O942+K942+(+I942-(I942*TARIFAS!$K$2))</f>
        <v>0</v>
      </c>
      <c r="Q942" s="42" t="str">
        <f>CONFERENCIAS!T942</f>
        <v/>
      </c>
      <c r="R942" s="45" t="str">
        <f>CONFERENCIAS!U942</f>
        <v/>
      </c>
      <c r="S942" s="45" t="str">
        <f>CONFERENCIAS!W942</f>
        <v/>
      </c>
      <c r="T942" s="48">
        <f>IF(Q942="",0,
   IF(E942=1,
      IF(H942="Presencial",
         VLOOKUP(D942,TARIFAS!A:K,3,FALSE) + IF(I942="Sí",VLOOKUP(D942,TARIFAS!A:K,5,FALSE),0),
         VLOOKUP(D942,TARIFAS!A:K,4,FALSE) + IF(I942="Sí",VLOOKUP(D942,TARIFAS!A:K,5,FALSE),0)
      ),
      IF(H942="Presencial",
         VLOOKUP(D942,TARIFAS!A:K,9,FALSE) + IF(I942="Sí",VLOOKUP(D942,TARIFAS!A:K,11,FALSE),0),
         VLOOKUP(D942,TARIFAS!A:K,10,FALSE) + IF(I942="Sí",VLOOKUP(D942,TARIFAS!A:K,11,FALSE),0)
      )
   )
)
</f>
        <v>0</v>
      </c>
      <c r="U942" s="45">
        <f>IF(R942="",0,MAX(0,R942 - TARIFAS!G$2) * TARIFAS!F$2)
</f>
        <v>0</v>
      </c>
      <c r="V942" s="45">
        <f>+T942*TARIFAS!$K$2</f>
        <v>0</v>
      </c>
      <c r="W942" s="45">
        <f t="shared" si="2"/>
        <v>0</v>
      </c>
      <c r="X942" s="45">
        <f t="shared" si="3"/>
        <v>0</v>
      </c>
      <c r="Y942" s="45">
        <f t="shared" si="4"/>
        <v>0</v>
      </c>
      <c r="Z942" s="42" t="str">
        <f>CONFERENCIAS!AB942</f>
        <v/>
      </c>
      <c r="AA942" s="42" t="str">
        <f>CONFERENCIAS!AC942</f>
        <v/>
      </c>
      <c r="AB942" s="47" t="str">
        <f t="shared" si="5"/>
        <v/>
      </c>
      <c r="AC942" s="9" t="str">
        <f t="shared" si="6"/>
        <v/>
      </c>
    </row>
    <row r="943">
      <c r="A943" s="42" t="str">
        <f>CONFERENCIAS!A943</f>
        <v/>
      </c>
      <c r="D943" s="42" t="str">
        <f>CONFERENCIAS!C943</f>
        <v/>
      </c>
      <c r="E943" s="42" t="str">
        <f>CONFERENCIAS!K943</f>
        <v/>
      </c>
      <c r="F943" s="49" t="str">
        <f>CONFERENCIAS!J943</f>
        <v/>
      </c>
      <c r="G943" s="42" t="str">
        <f>CONFERENCIAS!O943</f>
        <v/>
      </c>
      <c r="H943" s="42" t="str">
        <f>CONFERENCIAS!X943</f>
        <v/>
      </c>
      <c r="I943" s="42" t="str">
        <f>CONFERENCIAS!AA943</f>
        <v/>
      </c>
      <c r="J943" s="44" t="str">
        <f>CONFERENCIAS!P943</f>
        <v/>
      </c>
      <c r="K943" s="45" t="str">
        <f>CONFERENCIAS!R943</f>
        <v/>
      </c>
      <c r="L943" s="45">
        <f>IF(D943="",0,
 IF(E943=1,
   IF(H943="Presencial",
      VLOOKUP(D943,TARIFAS!A:K,3,FALSE) + IF(I943="Sí",VLOOKUP(D943,TARIFAS!A:K,5,FALSE),0),
      VLOOKUP(D943,TARIFAS!A:K,4,FALSE) + IF(I943="Sí",VLOOKUP(D943,TARIFAS!A:K,5,FALSE),0)
   ),
   IF(H943="Presencial",
      VLOOKUP(D943,TARIFAS!A:K,9,FALSE) + IF(I943="Sí",VLOOKUP(D943,TARIFAS!A:K,11,FALSE),0),
      VLOOKUP(D943,TARIFAS!A:K,10,FALSE) + IF(I943="Sí",VLOOKUP(D943,TARIFAS!A:K,11,FALSE),0)
   )
 )
)
</f>
        <v>0</v>
      </c>
      <c r="M943" s="45">
        <f>IF(J943="",0,MAX(0,J943 - TARIFAS!G$2) * TARIFAS!F$2)
</f>
        <v>0</v>
      </c>
      <c r="N943" s="45">
        <f>+L943*TARIFAS!$K$2</f>
        <v>0</v>
      </c>
      <c r="O943" s="45">
        <f t="shared" si="1"/>
        <v>0</v>
      </c>
      <c r="P943" s="45">
        <f>+M943+O943+K943+(+I943-(I943*TARIFAS!$K$2))</f>
        <v>0</v>
      </c>
      <c r="Q943" s="42" t="str">
        <f>CONFERENCIAS!T943</f>
        <v/>
      </c>
      <c r="R943" s="45" t="str">
        <f>CONFERENCIAS!U943</f>
        <v/>
      </c>
      <c r="S943" s="45" t="str">
        <f>CONFERENCIAS!W943</f>
        <v/>
      </c>
      <c r="T943" s="48">
        <f>IF(Q943="",0,
   IF(E943=1,
      IF(H943="Presencial",
         VLOOKUP(D943,TARIFAS!A:K,3,FALSE) + IF(I943="Sí",VLOOKUP(D943,TARIFAS!A:K,5,FALSE),0),
         VLOOKUP(D943,TARIFAS!A:K,4,FALSE) + IF(I943="Sí",VLOOKUP(D943,TARIFAS!A:K,5,FALSE),0)
      ),
      IF(H943="Presencial",
         VLOOKUP(D943,TARIFAS!A:K,9,FALSE) + IF(I943="Sí",VLOOKUP(D943,TARIFAS!A:K,11,FALSE),0),
         VLOOKUP(D943,TARIFAS!A:K,10,FALSE) + IF(I943="Sí",VLOOKUP(D943,TARIFAS!A:K,11,FALSE),0)
      )
   )
)
</f>
        <v>0</v>
      </c>
      <c r="U943" s="45">
        <f>IF(R943="",0,MAX(0,R943 - TARIFAS!G$2) * TARIFAS!F$2)
</f>
        <v>0</v>
      </c>
      <c r="V943" s="45">
        <f>+T943*TARIFAS!$K$2</f>
        <v>0</v>
      </c>
      <c r="W943" s="45">
        <f t="shared" si="2"/>
        <v>0</v>
      </c>
      <c r="X943" s="45">
        <f t="shared" si="3"/>
        <v>0</v>
      </c>
      <c r="Y943" s="45">
        <f t="shared" si="4"/>
        <v>0</v>
      </c>
      <c r="Z943" s="42" t="str">
        <f>CONFERENCIAS!AB943</f>
        <v/>
      </c>
      <c r="AA943" s="42" t="str">
        <f>CONFERENCIAS!AC943</f>
        <v/>
      </c>
      <c r="AB943" s="47" t="str">
        <f t="shared" si="5"/>
        <v/>
      </c>
      <c r="AC943" s="9" t="str">
        <f t="shared" si="6"/>
        <v/>
      </c>
    </row>
    <row r="944">
      <c r="A944" s="42" t="str">
        <f>CONFERENCIAS!A944</f>
        <v/>
      </c>
      <c r="D944" s="42" t="str">
        <f>CONFERENCIAS!C944</f>
        <v/>
      </c>
      <c r="E944" s="42" t="str">
        <f>CONFERENCIAS!K944</f>
        <v/>
      </c>
      <c r="F944" s="49" t="str">
        <f>CONFERENCIAS!J944</f>
        <v/>
      </c>
      <c r="G944" s="42" t="str">
        <f>CONFERENCIAS!O944</f>
        <v/>
      </c>
      <c r="H944" s="42" t="str">
        <f>CONFERENCIAS!X944</f>
        <v/>
      </c>
      <c r="I944" s="42" t="str">
        <f>CONFERENCIAS!AA944</f>
        <v/>
      </c>
      <c r="J944" s="44" t="str">
        <f>CONFERENCIAS!P944</f>
        <v/>
      </c>
      <c r="K944" s="45" t="str">
        <f>CONFERENCIAS!R944</f>
        <v/>
      </c>
      <c r="L944" s="45">
        <f>IF(D944="",0,
 IF(E944=1,
   IF(H944="Presencial",
      VLOOKUP(D944,TARIFAS!A:K,3,FALSE) + IF(I944="Sí",VLOOKUP(D944,TARIFAS!A:K,5,FALSE),0),
      VLOOKUP(D944,TARIFAS!A:K,4,FALSE) + IF(I944="Sí",VLOOKUP(D944,TARIFAS!A:K,5,FALSE),0)
   ),
   IF(H944="Presencial",
      VLOOKUP(D944,TARIFAS!A:K,9,FALSE) + IF(I944="Sí",VLOOKUP(D944,TARIFAS!A:K,11,FALSE),0),
      VLOOKUP(D944,TARIFAS!A:K,10,FALSE) + IF(I944="Sí",VLOOKUP(D944,TARIFAS!A:K,11,FALSE),0)
   )
 )
)
</f>
        <v>0</v>
      </c>
      <c r="M944" s="45">
        <f>IF(J944="",0,MAX(0,J944 - TARIFAS!G$2) * TARIFAS!F$2)
</f>
        <v>0</v>
      </c>
      <c r="N944" s="45">
        <f>+L944*TARIFAS!$K$2</f>
        <v>0</v>
      </c>
      <c r="O944" s="45">
        <f t="shared" si="1"/>
        <v>0</v>
      </c>
      <c r="P944" s="45">
        <f>+M944+O944+K944+(+I944-(I944*TARIFAS!$K$2))</f>
        <v>0</v>
      </c>
      <c r="Q944" s="42" t="str">
        <f>CONFERENCIAS!T944</f>
        <v/>
      </c>
      <c r="R944" s="45" t="str">
        <f>CONFERENCIAS!U944</f>
        <v/>
      </c>
      <c r="S944" s="45" t="str">
        <f>CONFERENCIAS!W944</f>
        <v/>
      </c>
      <c r="T944" s="48">
        <f>IF(Q944="",0,
   IF(E944=1,
      IF(H944="Presencial",
         VLOOKUP(D944,TARIFAS!A:K,3,FALSE) + IF(I944="Sí",VLOOKUP(D944,TARIFAS!A:K,5,FALSE),0),
         VLOOKUP(D944,TARIFAS!A:K,4,FALSE) + IF(I944="Sí",VLOOKUP(D944,TARIFAS!A:K,5,FALSE),0)
      ),
      IF(H944="Presencial",
         VLOOKUP(D944,TARIFAS!A:K,9,FALSE) + IF(I944="Sí",VLOOKUP(D944,TARIFAS!A:K,11,FALSE),0),
         VLOOKUP(D944,TARIFAS!A:K,10,FALSE) + IF(I944="Sí",VLOOKUP(D944,TARIFAS!A:K,11,FALSE),0)
      )
   )
)
</f>
        <v>0</v>
      </c>
      <c r="U944" s="45">
        <f>IF(R944="",0,MAX(0,R944 - TARIFAS!G$2) * TARIFAS!F$2)
</f>
        <v>0</v>
      </c>
      <c r="V944" s="45">
        <f>+T944*TARIFAS!$K$2</f>
        <v>0</v>
      </c>
      <c r="W944" s="45">
        <f t="shared" si="2"/>
        <v>0</v>
      </c>
      <c r="X944" s="45">
        <f t="shared" si="3"/>
        <v>0</v>
      </c>
      <c r="Y944" s="45">
        <f t="shared" si="4"/>
        <v>0</v>
      </c>
      <c r="Z944" s="42" t="str">
        <f>CONFERENCIAS!AB944</f>
        <v/>
      </c>
      <c r="AA944" s="42" t="str">
        <f>CONFERENCIAS!AC944</f>
        <v/>
      </c>
      <c r="AB944" s="47" t="str">
        <f t="shared" si="5"/>
        <v/>
      </c>
      <c r="AC944" s="9" t="str">
        <f t="shared" si="6"/>
        <v/>
      </c>
    </row>
    <row r="945">
      <c r="A945" s="42" t="str">
        <f>CONFERENCIAS!A945</f>
        <v/>
      </c>
      <c r="D945" s="42" t="str">
        <f>CONFERENCIAS!C945</f>
        <v/>
      </c>
      <c r="E945" s="42" t="str">
        <f>CONFERENCIAS!K945</f>
        <v/>
      </c>
      <c r="F945" s="49" t="str">
        <f>CONFERENCIAS!J945</f>
        <v/>
      </c>
      <c r="G945" s="42" t="str">
        <f>CONFERENCIAS!O945</f>
        <v/>
      </c>
      <c r="H945" s="42" t="str">
        <f>CONFERENCIAS!X945</f>
        <v/>
      </c>
      <c r="I945" s="42" t="str">
        <f>CONFERENCIAS!AA945</f>
        <v/>
      </c>
      <c r="J945" s="44" t="str">
        <f>CONFERENCIAS!P945</f>
        <v/>
      </c>
      <c r="K945" s="45" t="str">
        <f>CONFERENCIAS!R945</f>
        <v/>
      </c>
      <c r="L945" s="45">
        <f>IF(D945="",0,
 IF(E945=1,
   IF(H945="Presencial",
      VLOOKUP(D945,TARIFAS!A:K,3,FALSE) + IF(I945="Sí",VLOOKUP(D945,TARIFAS!A:K,5,FALSE),0),
      VLOOKUP(D945,TARIFAS!A:K,4,FALSE) + IF(I945="Sí",VLOOKUP(D945,TARIFAS!A:K,5,FALSE),0)
   ),
   IF(H945="Presencial",
      VLOOKUP(D945,TARIFAS!A:K,9,FALSE) + IF(I945="Sí",VLOOKUP(D945,TARIFAS!A:K,11,FALSE),0),
      VLOOKUP(D945,TARIFAS!A:K,10,FALSE) + IF(I945="Sí",VLOOKUP(D945,TARIFAS!A:K,11,FALSE),0)
   )
 )
)
</f>
        <v>0</v>
      </c>
      <c r="M945" s="45">
        <f>IF(J945="",0,MAX(0,J945 - TARIFAS!G$2) * TARIFAS!F$2)
</f>
        <v>0</v>
      </c>
      <c r="N945" s="45">
        <f>+L945*TARIFAS!$K$2</f>
        <v>0</v>
      </c>
      <c r="O945" s="45">
        <f t="shared" si="1"/>
        <v>0</v>
      </c>
      <c r="P945" s="45">
        <f>+M945+O945+K945+(+I945-(I945*TARIFAS!$K$2))</f>
        <v>0</v>
      </c>
      <c r="Q945" s="42" t="str">
        <f>CONFERENCIAS!T945</f>
        <v/>
      </c>
      <c r="R945" s="45" t="str">
        <f>CONFERENCIAS!U945</f>
        <v/>
      </c>
      <c r="S945" s="45" t="str">
        <f>CONFERENCIAS!W945</f>
        <v/>
      </c>
      <c r="T945" s="48">
        <f>IF(Q945="",0,
   IF(E945=1,
      IF(H945="Presencial",
         VLOOKUP(D945,TARIFAS!A:K,3,FALSE) + IF(I945="Sí",VLOOKUP(D945,TARIFAS!A:K,5,FALSE),0),
         VLOOKUP(D945,TARIFAS!A:K,4,FALSE) + IF(I945="Sí",VLOOKUP(D945,TARIFAS!A:K,5,FALSE),0)
      ),
      IF(H945="Presencial",
         VLOOKUP(D945,TARIFAS!A:K,9,FALSE) + IF(I945="Sí",VLOOKUP(D945,TARIFAS!A:K,11,FALSE),0),
         VLOOKUP(D945,TARIFAS!A:K,10,FALSE) + IF(I945="Sí",VLOOKUP(D945,TARIFAS!A:K,11,FALSE),0)
      )
   )
)
</f>
        <v>0</v>
      </c>
      <c r="U945" s="45">
        <f>IF(R945="",0,MAX(0,R945 - TARIFAS!G$2) * TARIFAS!F$2)
</f>
        <v>0</v>
      </c>
      <c r="V945" s="45">
        <f>+T945*TARIFAS!$K$2</f>
        <v>0</v>
      </c>
      <c r="W945" s="45">
        <f t="shared" si="2"/>
        <v>0</v>
      </c>
      <c r="X945" s="45">
        <f t="shared" si="3"/>
        <v>0</v>
      </c>
      <c r="Y945" s="45">
        <f t="shared" si="4"/>
        <v>0</v>
      </c>
      <c r="Z945" s="42" t="str">
        <f>CONFERENCIAS!AB945</f>
        <v/>
      </c>
      <c r="AA945" s="42" t="str">
        <f>CONFERENCIAS!AC945</f>
        <v/>
      </c>
      <c r="AB945" s="47" t="str">
        <f t="shared" si="5"/>
        <v/>
      </c>
      <c r="AC945" s="9" t="str">
        <f t="shared" si="6"/>
        <v/>
      </c>
    </row>
    <row r="946">
      <c r="A946" s="42" t="str">
        <f>CONFERENCIAS!A946</f>
        <v/>
      </c>
      <c r="D946" s="42" t="str">
        <f>CONFERENCIAS!C946</f>
        <v/>
      </c>
      <c r="E946" s="42" t="str">
        <f>CONFERENCIAS!K946</f>
        <v/>
      </c>
      <c r="F946" s="49" t="str">
        <f>CONFERENCIAS!J946</f>
        <v/>
      </c>
      <c r="G946" s="42" t="str">
        <f>CONFERENCIAS!O946</f>
        <v/>
      </c>
      <c r="H946" s="42" t="str">
        <f>CONFERENCIAS!X946</f>
        <v/>
      </c>
      <c r="I946" s="42" t="str">
        <f>CONFERENCIAS!AA946</f>
        <v/>
      </c>
      <c r="J946" s="44" t="str">
        <f>CONFERENCIAS!P946</f>
        <v/>
      </c>
      <c r="K946" s="45" t="str">
        <f>CONFERENCIAS!R946</f>
        <v/>
      </c>
      <c r="L946" s="45">
        <f>IF(D946="",0,
 IF(E946=1,
   IF(H946="Presencial",
      VLOOKUP(D946,TARIFAS!A:K,3,FALSE) + IF(I946="Sí",VLOOKUP(D946,TARIFAS!A:K,5,FALSE),0),
      VLOOKUP(D946,TARIFAS!A:K,4,FALSE) + IF(I946="Sí",VLOOKUP(D946,TARIFAS!A:K,5,FALSE),0)
   ),
   IF(H946="Presencial",
      VLOOKUP(D946,TARIFAS!A:K,9,FALSE) + IF(I946="Sí",VLOOKUP(D946,TARIFAS!A:K,11,FALSE),0),
      VLOOKUP(D946,TARIFAS!A:K,10,FALSE) + IF(I946="Sí",VLOOKUP(D946,TARIFAS!A:K,11,FALSE),0)
   )
 )
)
</f>
        <v>0</v>
      </c>
      <c r="M946" s="45">
        <f>IF(J946="",0,MAX(0,J946 - TARIFAS!G$2) * TARIFAS!F$2)
</f>
        <v>0</v>
      </c>
      <c r="N946" s="45">
        <f>+L946*TARIFAS!$K$2</f>
        <v>0</v>
      </c>
      <c r="O946" s="45">
        <f t="shared" si="1"/>
        <v>0</v>
      </c>
      <c r="P946" s="45">
        <f>+M946+O946+K946+(+I946-(I946*TARIFAS!$K$2))</f>
        <v>0</v>
      </c>
      <c r="Q946" s="42" t="str">
        <f>CONFERENCIAS!T946</f>
        <v/>
      </c>
      <c r="R946" s="45" t="str">
        <f>CONFERENCIAS!U946</f>
        <v/>
      </c>
      <c r="S946" s="45" t="str">
        <f>CONFERENCIAS!W946</f>
        <v/>
      </c>
      <c r="T946" s="48">
        <f>IF(Q946="",0,
   IF(E946=1,
      IF(H946="Presencial",
         VLOOKUP(D946,TARIFAS!A:K,3,FALSE) + IF(I946="Sí",VLOOKUP(D946,TARIFAS!A:K,5,FALSE),0),
         VLOOKUP(D946,TARIFAS!A:K,4,FALSE) + IF(I946="Sí",VLOOKUP(D946,TARIFAS!A:K,5,FALSE),0)
      ),
      IF(H946="Presencial",
         VLOOKUP(D946,TARIFAS!A:K,9,FALSE) + IF(I946="Sí",VLOOKUP(D946,TARIFAS!A:K,11,FALSE),0),
         VLOOKUP(D946,TARIFAS!A:K,10,FALSE) + IF(I946="Sí",VLOOKUP(D946,TARIFAS!A:K,11,FALSE),0)
      )
   )
)
</f>
        <v>0</v>
      </c>
      <c r="U946" s="45">
        <f>IF(R946="",0,MAX(0,R946 - TARIFAS!G$2) * TARIFAS!F$2)
</f>
        <v>0</v>
      </c>
      <c r="V946" s="45">
        <f>+T946*TARIFAS!$K$2</f>
        <v>0</v>
      </c>
      <c r="W946" s="45">
        <f t="shared" si="2"/>
        <v>0</v>
      </c>
      <c r="X946" s="45">
        <f t="shared" si="3"/>
        <v>0</v>
      </c>
      <c r="Y946" s="45">
        <f t="shared" si="4"/>
        <v>0</v>
      </c>
      <c r="Z946" s="42" t="str">
        <f>CONFERENCIAS!AB946</f>
        <v/>
      </c>
      <c r="AA946" s="42" t="str">
        <f>CONFERENCIAS!AC946</f>
        <v/>
      </c>
      <c r="AB946" s="47" t="str">
        <f t="shared" si="5"/>
        <v/>
      </c>
      <c r="AC946" s="9" t="str">
        <f t="shared" si="6"/>
        <v/>
      </c>
    </row>
    <row r="947">
      <c r="A947" s="42" t="str">
        <f>CONFERENCIAS!A947</f>
        <v/>
      </c>
      <c r="D947" s="42" t="str">
        <f>CONFERENCIAS!C947</f>
        <v/>
      </c>
      <c r="E947" s="42" t="str">
        <f>CONFERENCIAS!K947</f>
        <v/>
      </c>
      <c r="F947" s="49" t="str">
        <f>CONFERENCIAS!J947</f>
        <v/>
      </c>
      <c r="G947" s="42" t="str">
        <f>CONFERENCIAS!O947</f>
        <v/>
      </c>
      <c r="H947" s="42" t="str">
        <f>CONFERENCIAS!X947</f>
        <v/>
      </c>
      <c r="I947" s="42" t="str">
        <f>CONFERENCIAS!AA947</f>
        <v/>
      </c>
      <c r="J947" s="44" t="str">
        <f>CONFERENCIAS!P947</f>
        <v/>
      </c>
      <c r="K947" s="45" t="str">
        <f>CONFERENCIAS!R947</f>
        <v/>
      </c>
      <c r="L947" s="45">
        <f>IF(D947="",0,
 IF(E947=1,
   IF(H947="Presencial",
      VLOOKUP(D947,TARIFAS!A:K,3,FALSE) + IF(I947="Sí",VLOOKUP(D947,TARIFAS!A:K,5,FALSE),0),
      VLOOKUP(D947,TARIFAS!A:K,4,FALSE) + IF(I947="Sí",VLOOKUP(D947,TARIFAS!A:K,5,FALSE),0)
   ),
   IF(H947="Presencial",
      VLOOKUP(D947,TARIFAS!A:K,9,FALSE) + IF(I947="Sí",VLOOKUP(D947,TARIFAS!A:K,11,FALSE),0),
      VLOOKUP(D947,TARIFAS!A:K,10,FALSE) + IF(I947="Sí",VLOOKUP(D947,TARIFAS!A:K,11,FALSE),0)
   )
 )
)
</f>
        <v>0</v>
      </c>
      <c r="M947" s="45">
        <f>IF(J947="",0,MAX(0,J947 - TARIFAS!G$2) * TARIFAS!F$2)
</f>
        <v>0</v>
      </c>
      <c r="N947" s="45">
        <f>+L947*TARIFAS!$K$2</f>
        <v>0</v>
      </c>
      <c r="O947" s="45">
        <f t="shared" si="1"/>
        <v>0</v>
      </c>
      <c r="P947" s="45">
        <f>+M947+O947+K947+(+I947-(I947*TARIFAS!$K$2))</f>
        <v>0</v>
      </c>
      <c r="Q947" s="42" t="str">
        <f>CONFERENCIAS!T947</f>
        <v/>
      </c>
      <c r="R947" s="45" t="str">
        <f>CONFERENCIAS!U947</f>
        <v/>
      </c>
      <c r="S947" s="45" t="str">
        <f>CONFERENCIAS!W947</f>
        <v/>
      </c>
      <c r="T947" s="48">
        <f>IF(Q947="",0,
   IF(E947=1,
      IF(H947="Presencial",
         VLOOKUP(D947,TARIFAS!A:K,3,FALSE) + IF(I947="Sí",VLOOKUP(D947,TARIFAS!A:K,5,FALSE),0),
         VLOOKUP(D947,TARIFAS!A:K,4,FALSE) + IF(I947="Sí",VLOOKUP(D947,TARIFAS!A:K,5,FALSE),0)
      ),
      IF(H947="Presencial",
         VLOOKUP(D947,TARIFAS!A:K,9,FALSE) + IF(I947="Sí",VLOOKUP(D947,TARIFAS!A:K,11,FALSE),0),
         VLOOKUP(D947,TARIFAS!A:K,10,FALSE) + IF(I947="Sí",VLOOKUP(D947,TARIFAS!A:K,11,FALSE),0)
      )
   )
)
</f>
        <v>0</v>
      </c>
      <c r="U947" s="45">
        <f>IF(R947="",0,MAX(0,R947 - TARIFAS!G$2) * TARIFAS!F$2)
</f>
        <v>0</v>
      </c>
      <c r="V947" s="45">
        <f>+T947*TARIFAS!$K$2</f>
        <v>0</v>
      </c>
      <c r="W947" s="45">
        <f t="shared" si="2"/>
        <v>0</v>
      </c>
      <c r="X947" s="45">
        <f t="shared" si="3"/>
        <v>0</v>
      </c>
      <c r="Y947" s="45">
        <f t="shared" si="4"/>
        <v>0</v>
      </c>
      <c r="Z947" s="42" t="str">
        <f>CONFERENCIAS!AB947</f>
        <v/>
      </c>
      <c r="AA947" s="42" t="str">
        <f>CONFERENCIAS!AC947</f>
        <v/>
      </c>
      <c r="AB947" s="47" t="str">
        <f t="shared" si="5"/>
        <v/>
      </c>
      <c r="AC947" s="9" t="str">
        <f t="shared" si="6"/>
        <v/>
      </c>
    </row>
    <row r="948">
      <c r="A948" s="42" t="str">
        <f>CONFERENCIAS!A948</f>
        <v/>
      </c>
      <c r="D948" s="42" t="str">
        <f>CONFERENCIAS!C948</f>
        <v/>
      </c>
      <c r="E948" s="42" t="str">
        <f>CONFERENCIAS!K948</f>
        <v/>
      </c>
      <c r="F948" s="49" t="str">
        <f>CONFERENCIAS!J948</f>
        <v/>
      </c>
      <c r="G948" s="42" t="str">
        <f>CONFERENCIAS!O948</f>
        <v/>
      </c>
      <c r="H948" s="42" t="str">
        <f>CONFERENCIAS!X948</f>
        <v/>
      </c>
      <c r="I948" s="42" t="str">
        <f>CONFERENCIAS!AA948</f>
        <v/>
      </c>
      <c r="J948" s="44" t="str">
        <f>CONFERENCIAS!P948</f>
        <v/>
      </c>
      <c r="K948" s="45" t="str">
        <f>CONFERENCIAS!R948</f>
        <v/>
      </c>
      <c r="L948" s="45">
        <f>IF(D948="",0,
 IF(E948=1,
   IF(H948="Presencial",
      VLOOKUP(D948,TARIFAS!A:K,3,FALSE) + IF(I948="Sí",VLOOKUP(D948,TARIFAS!A:K,5,FALSE),0),
      VLOOKUP(D948,TARIFAS!A:K,4,FALSE) + IF(I948="Sí",VLOOKUP(D948,TARIFAS!A:K,5,FALSE),0)
   ),
   IF(H948="Presencial",
      VLOOKUP(D948,TARIFAS!A:K,9,FALSE) + IF(I948="Sí",VLOOKUP(D948,TARIFAS!A:K,11,FALSE),0),
      VLOOKUP(D948,TARIFAS!A:K,10,FALSE) + IF(I948="Sí",VLOOKUP(D948,TARIFAS!A:K,11,FALSE),0)
   )
 )
)
</f>
        <v>0</v>
      </c>
      <c r="M948" s="45">
        <f>IF(J948="",0,MAX(0,J948 - TARIFAS!G$2) * TARIFAS!F$2)
</f>
        <v>0</v>
      </c>
      <c r="N948" s="45">
        <f>+L948*TARIFAS!$K$2</f>
        <v>0</v>
      </c>
      <c r="O948" s="45">
        <f t="shared" si="1"/>
        <v>0</v>
      </c>
      <c r="P948" s="45">
        <f>+M948+O948+K948+(+I948-(I948*TARIFAS!$K$2))</f>
        <v>0</v>
      </c>
      <c r="Q948" s="42" t="str">
        <f>CONFERENCIAS!T948</f>
        <v/>
      </c>
      <c r="R948" s="45" t="str">
        <f>CONFERENCIAS!U948</f>
        <v/>
      </c>
      <c r="S948" s="45" t="str">
        <f>CONFERENCIAS!W948</f>
        <v/>
      </c>
      <c r="T948" s="48">
        <f>IF(Q948="",0,
   IF(E948=1,
      IF(H948="Presencial",
         VLOOKUP(D948,TARIFAS!A:K,3,FALSE) + IF(I948="Sí",VLOOKUP(D948,TARIFAS!A:K,5,FALSE),0),
         VLOOKUP(D948,TARIFAS!A:K,4,FALSE) + IF(I948="Sí",VLOOKUP(D948,TARIFAS!A:K,5,FALSE),0)
      ),
      IF(H948="Presencial",
         VLOOKUP(D948,TARIFAS!A:K,9,FALSE) + IF(I948="Sí",VLOOKUP(D948,TARIFAS!A:K,11,FALSE),0),
         VLOOKUP(D948,TARIFAS!A:K,10,FALSE) + IF(I948="Sí",VLOOKUP(D948,TARIFAS!A:K,11,FALSE),0)
      )
   )
)
</f>
        <v>0</v>
      </c>
      <c r="U948" s="45">
        <f>IF(R948="",0,MAX(0,R948 - TARIFAS!G$2) * TARIFAS!F$2)
</f>
        <v>0</v>
      </c>
      <c r="V948" s="45">
        <f>+T948*TARIFAS!$K$2</f>
        <v>0</v>
      </c>
      <c r="W948" s="45">
        <f t="shared" si="2"/>
        <v>0</v>
      </c>
      <c r="X948" s="45">
        <f t="shared" si="3"/>
        <v>0</v>
      </c>
      <c r="Y948" s="45">
        <f t="shared" si="4"/>
        <v>0</v>
      </c>
      <c r="Z948" s="42" t="str">
        <f>CONFERENCIAS!AB948</f>
        <v/>
      </c>
      <c r="AA948" s="42" t="str">
        <f>CONFERENCIAS!AC948</f>
        <v/>
      </c>
      <c r="AB948" s="47" t="str">
        <f t="shared" si="5"/>
        <v/>
      </c>
      <c r="AC948" s="9" t="str">
        <f t="shared" si="6"/>
        <v/>
      </c>
    </row>
    <row r="949">
      <c r="A949" s="42" t="str">
        <f>CONFERENCIAS!A949</f>
        <v/>
      </c>
      <c r="D949" s="42" t="str">
        <f>CONFERENCIAS!C949</f>
        <v/>
      </c>
      <c r="E949" s="42" t="str">
        <f>CONFERENCIAS!K949</f>
        <v/>
      </c>
      <c r="F949" s="49" t="str">
        <f>CONFERENCIAS!J949</f>
        <v/>
      </c>
      <c r="G949" s="42" t="str">
        <f>CONFERENCIAS!O949</f>
        <v/>
      </c>
      <c r="H949" s="42" t="str">
        <f>CONFERENCIAS!X949</f>
        <v/>
      </c>
      <c r="I949" s="42" t="str">
        <f>CONFERENCIAS!AA949</f>
        <v/>
      </c>
      <c r="J949" s="44" t="str">
        <f>CONFERENCIAS!P949</f>
        <v/>
      </c>
      <c r="K949" s="45" t="str">
        <f>CONFERENCIAS!R949</f>
        <v/>
      </c>
      <c r="L949" s="45">
        <f>IF(D949="",0,
 IF(E949=1,
   IF(H949="Presencial",
      VLOOKUP(D949,TARIFAS!A:K,3,FALSE) + IF(I949="Sí",VLOOKUP(D949,TARIFAS!A:K,5,FALSE),0),
      VLOOKUP(D949,TARIFAS!A:K,4,FALSE) + IF(I949="Sí",VLOOKUP(D949,TARIFAS!A:K,5,FALSE),0)
   ),
   IF(H949="Presencial",
      VLOOKUP(D949,TARIFAS!A:K,9,FALSE) + IF(I949="Sí",VLOOKUP(D949,TARIFAS!A:K,11,FALSE),0),
      VLOOKUP(D949,TARIFAS!A:K,10,FALSE) + IF(I949="Sí",VLOOKUP(D949,TARIFAS!A:K,11,FALSE),0)
   )
 )
)
</f>
        <v>0</v>
      </c>
      <c r="M949" s="45">
        <f>IF(J949="",0,MAX(0,J949 - TARIFAS!G$2) * TARIFAS!F$2)
</f>
        <v>0</v>
      </c>
      <c r="N949" s="45">
        <f>+L949*TARIFAS!$K$2</f>
        <v>0</v>
      </c>
      <c r="O949" s="45">
        <f t="shared" si="1"/>
        <v>0</v>
      </c>
      <c r="P949" s="45">
        <f>+M949+O949+K949+(+I949-(I949*TARIFAS!$K$2))</f>
        <v>0</v>
      </c>
      <c r="Q949" s="42" t="str">
        <f>CONFERENCIAS!T949</f>
        <v/>
      </c>
      <c r="R949" s="45" t="str">
        <f>CONFERENCIAS!U949</f>
        <v/>
      </c>
      <c r="S949" s="45" t="str">
        <f>CONFERENCIAS!W949</f>
        <v/>
      </c>
      <c r="T949" s="48">
        <f>IF(Q949="",0,
   IF(E949=1,
      IF(H949="Presencial",
         VLOOKUP(D949,TARIFAS!A:K,3,FALSE) + IF(I949="Sí",VLOOKUP(D949,TARIFAS!A:K,5,FALSE),0),
         VLOOKUP(D949,TARIFAS!A:K,4,FALSE) + IF(I949="Sí",VLOOKUP(D949,TARIFAS!A:K,5,FALSE),0)
      ),
      IF(H949="Presencial",
         VLOOKUP(D949,TARIFAS!A:K,9,FALSE) + IF(I949="Sí",VLOOKUP(D949,TARIFAS!A:K,11,FALSE),0),
         VLOOKUP(D949,TARIFAS!A:K,10,FALSE) + IF(I949="Sí",VLOOKUP(D949,TARIFAS!A:K,11,FALSE),0)
      )
   )
)
</f>
        <v>0</v>
      </c>
      <c r="U949" s="45">
        <f>IF(R949="",0,MAX(0,R949 - TARIFAS!G$2) * TARIFAS!F$2)
</f>
        <v>0</v>
      </c>
      <c r="V949" s="45">
        <f>+T949*TARIFAS!$K$2</f>
        <v>0</v>
      </c>
      <c r="W949" s="45">
        <f t="shared" si="2"/>
        <v>0</v>
      </c>
      <c r="X949" s="45">
        <f t="shared" si="3"/>
        <v>0</v>
      </c>
      <c r="Y949" s="45">
        <f t="shared" si="4"/>
        <v>0</v>
      </c>
      <c r="Z949" s="42" t="str">
        <f>CONFERENCIAS!AB949</f>
        <v/>
      </c>
      <c r="AA949" s="42" t="str">
        <f>CONFERENCIAS!AC949</f>
        <v/>
      </c>
      <c r="AB949" s="47" t="str">
        <f t="shared" si="5"/>
        <v/>
      </c>
      <c r="AC949" s="9" t="str">
        <f t="shared" si="6"/>
        <v/>
      </c>
    </row>
    <row r="950">
      <c r="A950" s="42" t="str">
        <f>CONFERENCIAS!A950</f>
        <v/>
      </c>
      <c r="D950" s="42" t="str">
        <f>CONFERENCIAS!C950</f>
        <v/>
      </c>
      <c r="E950" s="42" t="str">
        <f>CONFERENCIAS!K950</f>
        <v/>
      </c>
      <c r="F950" s="49" t="str">
        <f>CONFERENCIAS!J950</f>
        <v/>
      </c>
      <c r="G950" s="42" t="str">
        <f>CONFERENCIAS!O950</f>
        <v/>
      </c>
      <c r="H950" s="42" t="str">
        <f>CONFERENCIAS!X950</f>
        <v/>
      </c>
      <c r="I950" s="42" t="str">
        <f>CONFERENCIAS!AA950</f>
        <v/>
      </c>
      <c r="J950" s="44" t="str">
        <f>CONFERENCIAS!P950</f>
        <v/>
      </c>
      <c r="K950" s="45" t="str">
        <f>CONFERENCIAS!R950</f>
        <v/>
      </c>
      <c r="L950" s="45">
        <f>IF(D950="",0,
 IF(E950=1,
   IF(H950="Presencial",
      VLOOKUP(D950,TARIFAS!A:K,3,FALSE) + IF(I950="Sí",VLOOKUP(D950,TARIFAS!A:K,5,FALSE),0),
      VLOOKUP(D950,TARIFAS!A:K,4,FALSE) + IF(I950="Sí",VLOOKUP(D950,TARIFAS!A:K,5,FALSE),0)
   ),
   IF(H950="Presencial",
      VLOOKUP(D950,TARIFAS!A:K,9,FALSE) + IF(I950="Sí",VLOOKUP(D950,TARIFAS!A:K,11,FALSE),0),
      VLOOKUP(D950,TARIFAS!A:K,10,FALSE) + IF(I950="Sí",VLOOKUP(D950,TARIFAS!A:K,11,FALSE),0)
   )
 )
)
</f>
        <v>0</v>
      </c>
      <c r="M950" s="45">
        <f>IF(J950="",0,MAX(0,J950 - TARIFAS!G$2) * TARIFAS!F$2)
</f>
        <v>0</v>
      </c>
      <c r="N950" s="45">
        <f>+L950*TARIFAS!$K$2</f>
        <v>0</v>
      </c>
      <c r="O950" s="45">
        <f t="shared" si="1"/>
        <v>0</v>
      </c>
      <c r="P950" s="45">
        <f>+M950+O950+K950+(+I950-(I950*TARIFAS!$K$2))</f>
        <v>0</v>
      </c>
      <c r="Q950" s="42" t="str">
        <f>CONFERENCIAS!T950</f>
        <v/>
      </c>
      <c r="R950" s="45" t="str">
        <f>CONFERENCIAS!U950</f>
        <v/>
      </c>
      <c r="S950" s="45" t="str">
        <f>CONFERENCIAS!W950</f>
        <v/>
      </c>
      <c r="T950" s="48">
        <f>IF(Q950="",0,
   IF(E950=1,
      IF(H950="Presencial",
         VLOOKUP(D950,TARIFAS!A:K,3,FALSE) + IF(I950="Sí",VLOOKUP(D950,TARIFAS!A:K,5,FALSE),0),
         VLOOKUP(D950,TARIFAS!A:K,4,FALSE) + IF(I950="Sí",VLOOKUP(D950,TARIFAS!A:K,5,FALSE),0)
      ),
      IF(H950="Presencial",
         VLOOKUP(D950,TARIFAS!A:K,9,FALSE) + IF(I950="Sí",VLOOKUP(D950,TARIFAS!A:K,11,FALSE),0),
         VLOOKUP(D950,TARIFAS!A:K,10,FALSE) + IF(I950="Sí",VLOOKUP(D950,TARIFAS!A:K,11,FALSE),0)
      )
   )
)
</f>
        <v>0</v>
      </c>
      <c r="U950" s="45">
        <f>IF(R950="",0,MAX(0,R950 - TARIFAS!G$2) * TARIFAS!F$2)
</f>
        <v>0</v>
      </c>
      <c r="V950" s="45">
        <f>+T950*TARIFAS!$K$2</f>
        <v>0</v>
      </c>
      <c r="W950" s="45">
        <f t="shared" si="2"/>
        <v>0</v>
      </c>
      <c r="X950" s="45">
        <f t="shared" si="3"/>
        <v>0</v>
      </c>
      <c r="Y950" s="45">
        <f t="shared" si="4"/>
        <v>0</v>
      </c>
      <c r="Z950" s="42" t="str">
        <f>CONFERENCIAS!AB950</f>
        <v/>
      </c>
      <c r="AA950" s="42" t="str">
        <f>CONFERENCIAS!AC950</f>
        <v/>
      </c>
      <c r="AB950" s="47" t="str">
        <f t="shared" si="5"/>
        <v/>
      </c>
      <c r="AC950" s="9" t="str">
        <f t="shared" si="6"/>
        <v/>
      </c>
    </row>
    <row r="951">
      <c r="A951" s="42" t="str">
        <f>CONFERENCIAS!A951</f>
        <v/>
      </c>
      <c r="D951" s="42" t="str">
        <f>CONFERENCIAS!C951</f>
        <v/>
      </c>
      <c r="E951" s="42" t="str">
        <f>CONFERENCIAS!K951</f>
        <v/>
      </c>
      <c r="F951" s="49" t="str">
        <f>CONFERENCIAS!J951</f>
        <v/>
      </c>
      <c r="G951" s="42" t="str">
        <f>CONFERENCIAS!O951</f>
        <v/>
      </c>
      <c r="H951" s="42" t="str">
        <f>CONFERENCIAS!X951</f>
        <v/>
      </c>
      <c r="I951" s="42" t="str">
        <f>CONFERENCIAS!AA951</f>
        <v/>
      </c>
      <c r="J951" s="44" t="str">
        <f>CONFERENCIAS!P951</f>
        <v/>
      </c>
      <c r="K951" s="45" t="str">
        <f>CONFERENCIAS!R951</f>
        <v/>
      </c>
      <c r="L951" s="45">
        <f>IF(D951="",0,
 IF(E951=1,
   IF(H951="Presencial",
      VLOOKUP(D951,TARIFAS!A:K,3,FALSE) + IF(I951="Sí",VLOOKUP(D951,TARIFAS!A:K,5,FALSE),0),
      VLOOKUP(D951,TARIFAS!A:K,4,FALSE) + IF(I951="Sí",VLOOKUP(D951,TARIFAS!A:K,5,FALSE),0)
   ),
   IF(H951="Presencial",
      VLOOKUP(D951,TARIFAS!A:K,9,FALSE) + IF(I951="Sí",VLOOKUP(D951,TARIFAS!A:K,11,FALSE),0),
      VLOOKUP(D951,TARIFAS!A:K,10,FALSE) + IF(I951="Sí",VLOOKUP(D951,TARIFAS!A:K,11,FALSE),0)
   )
 )
)
</f>
        <v>0</v>
      </c>
      <c r="M951" s="45">
        <f>IF(J951="",0,MAX(0,J951 - TARIFAS!G$2) * TARIFAS!F$2)
</f>
        <v>0</v>
      </c>
      <c r="N951" s="45">
        <f>+L951*TARIFAS!$K$2</f>
        <v>0</v>
      </c>
      <c r="O951" s="45">
        <f t="shared" si="1"/>
        <v>0</v>
      </c>
      <c r="P951" s="45">
        <f>+M951+O951+K951+(+I951-(I951*TARIFAS!$K$2))</f>
        <v>0</v>
      </c>
      <c r="Q951" s="42" t="str">
        <f>CONFERENCIAS!T951</f>
        <v/>
      </c>
      <c r="R951" s="45" t="str">
        <f>CONFERENCIAS!U951</f>
        <v/>
      </c>
      <c r="S951" s="45" t="str">
        <f>CONFERENCIAS!W951</f>
        <v/>
      </c>
      <c r="T951" s="48">
        <f>IF(Q951="",0,
   IF(E951=1,
      IF(H951="Presencial",
         VLOOKUP(D951,TARIFAS!A:K,3,FALSE) + IF(I951="Sí",VLOOKUP(D951,TARIFAS!A:K,5,FALSE),0),
         VLOOKUP(D951,TARIFAS!A:K,4,FALSE) + IF(I951="Sí",VLOOKUP(D951,TARIFAS!A:K,5,FALSE),0)
      ),
      IF(H951="Presencial",
         VLOOKUP(D951,TARIFAS!A:K,9,FALSE) + IF(I951="Sí",VLOOKUP(D951,TARIFAS!A:K,11,FALSE),0),
         VLOOKUP(D951,TARIFAS!A:K,10,FALSE) + IF(I951="Sí",VLOOKUP(D951,TARIFAS!A:K,11,FALSE),0)
      )
   )
)
</f>
        <v>0</v>
      </c>
      <c r="U951" s="45">
        <f>IF(R951="",0,MAX(0,R951 - TARIFAS!G$2) * TARIFAS!F$2)
</f>
        <v>0</v>
      </c>
      <c r="V951" s="45">
        <f>+T951*TARIFAS!$K$2</f>
        <v>0</v>
      </c>
      <c r="W951" s="45">
        <f t="shared" si="2"/>
        <v>0</v>
      </c>
      <c r="X951" s="45">
        <f t="shared" si="3"/>
        <v>0</v>
      </c>
      <c r="Y951" s="45">
        <f t="shared" si="4"/>
        <v>0</v>
      </c>
      <c r="Z951" s="42" t="str">
        <f>CONFERENCIAS!AB951</f>
        <v/>
      </c>
      <c r="AA951" s="42" t="str">
        <f>CONFERENCIAS!AC951</f>
        <v/>
      </c>
      <c r="AB951" s="47" t="str">
        <f t="shared" si="5"/>
        <v/>
      </c>
      <c r="AC951" s="9" t="str">
        <f t="shared" si="6"/>
        <v/>
      </c>
    </row>
    <row r="952">
      <c r="A952" s="42" t="str">
        <f>CONFERENCIAS!A952</f>
        <v/>
      </c>
      <c r="D952" s="42" t="str">
        <f>CONFERENCIAS!C952</f>
        <v/>
      </c>
      <c r="E952" s="42" t="str">
        <f>CONFERENCIAS!K952</f>
        <v/>
      </c>
      <c r="F952" s="49" t="str">
        <f>CONFERENCIAS!J952</f>
        <v/>
      </c>
      <c r="G952" s="42" t="str">
        <f>CONFERENCIAS!O952</f>
        <v/>
      </c>
      <c r="H952" s="42" t="str">
        <f>CONFERENCIAS!X952</f>
        <v/>
      </c>
      <c r="I952" s="42" t="str">
        <f>CONFERENCIAS!AA952</f>
        <v/>
      </c>
      <c r="J952" s="44" t="str">
        <f>CONFERENCIAS!P952</f>
        <v/>
      </c>
      <c r="K952" s="45" t="str">
        <f>CONFERENCIAS!R952</f>
        <v/>
      </c>
      <c r="L952" s="45">
        <f>IF(D952="",0,
 IF(E952=1,
   IF(H952="Presencial",
      VLOOKUP(D952,TARIFAS!A:K,3,FALSE) + IF(I952="Sí",VLOOKUP(D952,TARIFAS!A:K,5,FALSE),0),
      VLOOKUP(D952,TARIFAS!A:K,4,FALSE) + IF(I952="Sí",VLOOKUP(D952,TARIFAS!A:K,5,FALSE),0)
   ),
   IF(H952="Presencial",
      VLOOKUP(D952,TARIFAS!A:K,9,FALSE) + IF(I952="Sí",VLOOKUP(D952,TARIFAS!A:K,11,FALSE),0),
      VLOOKUP(D952,TARIFAS!A:K,10,FALSE) + IF(I952="Sí",VLOOKUP(D952,TARIFAS!A:K,11,FALSE),0)
   )
 )
)
</f>
        <v>0</v>
      </c>
      <c r="M952" s="45">
        <f>IF(J952="",0,MAX(0,J952 - TARIFAS!G$2) * TARIFAS!F$2)
</f>
        <v>0</v>
      </c>
      <c r="N952" s="45">
        <f>+L952*TARIFAS!$K$2</f>
        <v>0</v>
      </c>
      <c r="O952" s="45">
        <f t="shared" si="1"/>
        <v>0</v>
      </c>
      <c r="P952" s="45">
        <f>+M952+O952+K952+(+I952-(I952*TARIFAS!$K$2))</f>
        <v>0</v>
      </c>
      <c r="Q952" s="42" t="str">
        <f>CONFERENCIAS!T952</f>
        <v/>
      </c>
      <c r="R952" s="45" t="str">
        <f>CONFERENCIAS!U952</f>
        <v/>
      </c>
      <c r="S952" s="45" t="str">
        <f>CONFERENCIAS!W952</f>
        <v/>
      </c>
      <c r="T952" s="48">
        <f>IF(Q952="",0,
   IF(E952=1,
      IF(H952="Presencial",
         VLOOKUP(D952,TARIFAS!A:K,3,FALSE) + IF(I952="Sí",VLOOKUP(D952,TARIFAS!A:K,5,FALSE),0),
         VLOOKUP(D952,TARIFAS!A:K,4,FALSE) + IF(I952="Sí",VLOOKUP(D952,TARIFAS!A:K,5,FALSE),0)
      ),
      IF(H952="Presencial",
         VLOOKUP(D952,TARIFAS!A:K,9,FALSE) + IF(I952="Sí",VLOOKUP(D952,TARIFAS!A:K,11,FALSE),0),
         VLOOKUP(D952,TARIFAS!A:K,10,FALSE) + IF(I952="Sí",VLOOKUP(D952,TARIFAS!A:K,11,FALSE),0)
      )
   )
)
</f>
        <v>0</v>
      </c>
      <c r="U952" s="45">
        <f>IF(R952="",0,MAX(0,R952 - TARIFAS!G$2) * TARIFAS!F$2)
</f>
        <v>0</v>
      </c>
      <c r="V952" s="45">
        <f>+T952*TARIFAS!$K$2</f>
        <v>0</v>
      </c>
      <c r="W952" s="45">
        <f t="shared" si="2"/>
        <v>0</v>
      </c>
      <c r="X952" s="45">
        <f t="shared" si="3"/>
        <v>0</v>
      </c>
      <c r="Y952" s="45">
        <f t="shared" si="4"/>
        <v>0</v>
      </c>
      <c r="Z952" s="42" t="str">
        <f>CONFERENCIAS!AB952</f>
        <v/>
      </c>
      <c r="AA952" s="42" t="str">
        <f>CONFERENCIAS!AC952</f>
        <v/>
      </c>
      <c r="AB952" s="47" t="str">
        <f t="shared" si="5"/>
        <v/>
      </c>
      <c r="AC952" s="9" t="str">
        <f t="shared" si="6"/>
        <v/>
      </c>
    </row>
    <row r="953">
      <c r="A953" s="42" t="str">
        <f>CONFERENCIAS!A953</f>
        <v/>
      </c>
      <c r="D953" s="42" t="str">
        <f>CONFERENCIAS!C953</f>
        <v/>
      </c>
      <c r="E953" s="42" t="str">
        <f>CONFERENCIAS!K953</f>
        <v/>
      </c>
      <c r="F953" s="49" t="str">
        <f>CONFERENCIAS!J953</f>
        <v/>
      </c>
      <c r="G953" s="42" t="str">
        <f>CONFERENCIAS!O953</f>
        <v/>
      </c>
      <c r="H953" s="42" t="str">
        <f>CONFERENCIAS!X953</f>
        <v/>
      </c>
      <c r="I953" s="42" t="str">
        <f>CONFERENCIAS!AA953</f>
        <v/>
      </c>
      <c r="J953" s="44" t="str">
        <f>CONFERENCIAS!P953</f>
        <v/>
      </c>
      <c r="K953" s="45" t="str">
        <f>CONFERENCIAS!R953</f>
        <v/>
      </c>
      <c r="L953" s="45">
        <f>IF(D953="",0,
 IF(E953=1,
   IF(H953="Presencial",
      VLOOKUP(D953,TARIFAS!A:K,3,FALSE) + IF(I953="Sí",VLOOKUP(D953,TARIFAS!A:K,5,FALSE),0),
      VLOOKUP(D953,TARIFAS!A:K,4,FALSE) + IF(I953="Sí",VLOOKUP(D953,TARIFAS!A:K,5,FALSE),0)
   ),
   IF(H953="Presencial",
      VLOOKUP(D953,TARIFAS!A:K,9,FALSE) + IF(I953="Sí",VLOOKUP(D953,TARIFAS!A:K,11,FALSE),0),
      VLOOKUP(D953,TARIFAS!A:K,10,FALSE) + IF(I953="Sí",VLOOKUP(D953,TARIFAS!A:K,11,FALSE),0)
   )
 )
)
</f>
        <v>0</v>
      </c>
      <c r="M953" s="45">
        <f>IF(J953="",0,MAX(0,J953 - TARIFAS!G$2) * TARIFAS!F$2)
</f>
        <v>0</v>
      </c>
      <c r="N953" s="45">
        <f>+L953*TARIFAS!$K$2</f>
        <v>0</v>
      </c>
      <c r="O953" s="45">
        <f t="shared" si="1"/>
        <v>0</v>
      </c>
      <c r="P953" s="45">
        <f>+M953+O953+K953+(+I953-(I953*TARIFAS!$K$2))</f>
        <v>0</v>
      </c>
      <c r="Q953" s="42" t="str">
        <f>CONFERENCIAS!T953</f>
        <v/>
      </c>
      <c r="R953" s="45" t="str">
        <f>CONFERENCIAS!U953</f>
        <v/>
      </c>
      <c r="S953" s="45" t="str">
        <f>CONFERENCIAS!W953</f>
        <v/>
      </c>
      <c r="T953" s="48">
        <f>IF(Q953="",0,
   IF(E953=1,
      IF(H953="Presencial",
         VLOOKUP(D953,TARIFAS!A:K,3,FALSE) + IF(I953="Sí",VLOOKUP(D953,TARIFAS!A:K,5,FALSE),0),
         VLOOKUP(D953,TARIFAS!A:K,4,FALSE) + IF(I953="Sí",VLOOKUP(D953,TARIFAS!A:K,5,FALSE),0)
      ),
      IF(H953="Presencial",
         VLOOKUP(D953,TARIFAS!A:K,9,FALSE) + IF(I953="Sí",VLOOKUP(D953,TARIFAS!A:K,11,FALSE),0),
         VLOOKUP(D953,TARIFAS!A:K,10,FALSE) + IF(I953="Sí",VLOOKUP(D953,TARIFAS!A:K,11,FALSE),0)
      )
   )
)
</f>
        <v>0</v>
      </c>
      <c r="U953" s="45">
        <f>IF(R953="",0,MAX(0,R953 - TARIFAS!G$2) * TARIFAS!F$2)
</f>
        <v>0</v>
      </c>
      <c r="V953" s="45">
        <f>+T953*TARIFAS!$K$2</f>
        <v>0</v>
      </c>
      <c r="W953" s="45">
        <f t="shared" si="2"/>
        <v>0</v>
      </c>
      <c r="X953" s="45">
        <f t="shared" si="3"/>
        <v>0</v>
      </c>
      <c r="Y953" s="45">
        <f t="shared" si="4"/>
        <v>0</v>
      </c>
      <c r="Z953" s="42" t="str">
        <f>CONFERENCIAS!AB953</f>
        <v/>
      </c>
      <c r="AA953" s="42" t="str">
        <f>CONFERENCIAS!AC953</f>
        <v/>
      </c>
      <c r="AB953" s="47" t="str">
        <f t="shared" si="5"/>
        <v/>
      </c>
      <c r="AC953" s="9" t="str">
        <f t="shared" si="6"/>
        <v/>
      </c>
    </row>
    <row r="954">
      <c r="A954" s="42" t="str">
        <f>CONFERENCIAS!A954</f>
        <v/>
      </c>
      <c r="D954" s="42" t="str">
        <f>CONFERENCIAS!C954</f>
        <v/>
      </c>
      <c r="E954" s="42" t="str">
        <f>CONFERENCIAS!K954</f>
        <v/>
      </c>
      <c r="F954" s="49" t="str">
        <f>CONFERENCIAS!J954</f>
        <v/>
      </c>
      <c r="G954" s="42" t="str">
        <f>CONFERENCIAS!O954</f>
        <v/>
      </c>
      <c r="H954" s="42" t="str">
        <f>CONFERENCIAS!X954</f>
        <v/>
      </c>
      <c r="I954" s="42" t="str">
        <f>CONFERENCIAS!AA954</f>
        <v/>
      </c>
      <c r="J954" s="44" t="str">
        <f>CONFERENCIAS!P954</f>
        <v/>
      </c>
      <c r="K954" s="45" t="str">
        <f>CONFERENCIAS!R954</f>
        <v/>
      </c>
      <c r="L954" s="45">
        <f>IF(D954="",0,
 IF(E954=1,
   IF(H954="Presencial",
      VLOOKUP(D954,TARIFAS!A:K,3,FALSE) + IF(I954="Sí",VLOOKUP(D954,TARIFAS!A:K,5,FALSE),0),
      VLOOKUP(D954,TARIFAS!A:K,4,FALSE) + IF(I954="Sí",VLOOKUP(D954,TARIFAS!A:K,5,FALSE),0)
   ),
   IF(H954="Presencial",
      VLOOKUP(D954,TARIFAS!A:K,9,FALSE) + IF(I954="Sí",VLOOKUP(D954,TARIFAS!A:K,11,FALSE),0),
      VLOOKUP(D954,TARIFAS!A:K,10,FALSE) + IF(I954="Sí",VLOOKUP(D954,TARIFAS!A:K,11,FALSE),0)
   )
 )
)
</f>
        <v>0</v>
      </c>
      <c r="M954" s="45">
        <f>IF(J954="",0,MAX(0,J954 - TARIFAS!G$2) * TARIFAS!F$2)
</f>
        <v>0</v>
      </c>
      <c r="N954" s="45">
        <f>+L954*TARIFAS!$K$2</f>
        <v>0</v>
      </c>
      <c r="O954" s="45">
        <f t="shared" si="1"/>
        <v>0</v>
      </c>
      <c r="P954" s="45">
        <f>+M954+O954+K954+(+I954-(I954*TARIFAS!$K$2))</f>
        <v>0</v>
      </c>
      <c r="Q954" s="42" t="str">
        <f>CONFERENCIAS!T954</f>
        <v/>
      </c>
      <c r="R954" s="45" t="str">
        <f>CONFERENCIAS!U954</f>
        <v/>
      </c>
      <c r="S954" s="45" t="str">
        <f>CONFERENCIAS!W954</f>
        <v/>
      </c>
      <c r="T954" s="48">
        <f>IF(Q954="",0,
   IF(E954=1,
      IF(H954="Presencial",
         VLOOKUP(D954,TARIFAS!A:K,3,FALSE) + IF(I954="Sí",VLOOKUP(D954,TARIFAS!A:K,5,FALSE),0),
         VLOOKUP(D954,TARIFAS!A:K,4,FALSE) + IF(I954="Sí",VLOOKUP(D954,TARIFAS!A:K,5,FALSE),0)
      ),
      IF(H954="Presencial",
         VLOOKUP(D954,TARIFAS!A:K,9,FALSE) + IF(I954="Sí",VLOOKUP(D954,TARIFAS!A:K,11,FALSE),0),
         VLOOKUP(D954,TARIFAS!A:K,10,FALSE) + IF(I954="Sí",VLOOKUP(D954,TARIFAS!A:K,11,FALSE),0)
      )
   )
)
</f>
        <v>0</v>
      </c>
      <c r="U954" s="45">
        <f>IF(R954="",0,MAX(0,R954 - TARIFAS!G$2) * TARIFAS!F$2)
</f>
        <v>0</v>
      </c>
      <c r="V954" s="45">
        <f>+T954*TARIFAS!$K$2</f>
        <v>0</v>
      </c>
      <c r="W954" s="45">
        <f t="shared" si="2"/>
        <v>0</v>
      </c>
      <c r="X954" s="45">
        <f t="shared" si="3"/>
        <v>0</v>
      </c>
      <c r="Y954" s="45">
        <f t="shared" si="4"/>
        <v>0</v>
      </c>
      <c r="Z954" s="42" t="str">
        <f>CONFERENCIAS!AB954</f>
        <v/>
      </c>
      <c r="AA954" s="42" t="str">
        <f>CONFERENCIAS!AC954</f>
        <v/>
      </c>
      <c r="AB954" s="47" t="str">
        <f t="shared" si="5"/>
        <v/>
      </c>
      <c r="AC954" s="9" t="str">
        <f t="shared" si="6"/>
        <v/>
      </c>
    </row>
    <row r="955">
      <c r="A955" s="42" t="str">
        <f>CONFERENCIAS!A955</f>
        <v/>
      </c>
      <c r="D955" s="42" t="str">
        <f>CONFERENCIAS!C955</f>
        <v/>
      </c>
      <c r="E955" s="42" t="str">
        <f>CONFERENCIAS!K955</f>
        <v/>
      </c>
      <c r="F955" s="49" t="str">
        <f>CONFERENCIAS!J955</f>
        <v/>
      </c>
      <c r="G955" s="42" t="str">
        <f>CONFERENCIAS!O955</f>
        <v/>
      </c>
      <c r="H955" s="42" t="str">
        <f>CONFERENCIAS!X955</f>
        <v/>
      </c>
      <c r="I955" s="42" t="str">
        <f>CONFERENCIAS!AA955</f>
        <v/>
      </c>
      <c r="J955" s="44" t="str">
        <f>CONFERENCIAS!P955</f>
        <v/>
      </c>
      <c r="K955" s="45" t="str">
        <f>CONFERENCIAS!R955</f>
        <v/>
      </c>
      <c r="L955" s="45">
        <f>IF(D955="",0,
 IF(E955=1,
   IF(H955="Presencial",
      VLOOKUP(D955,TARIFAS!A:K,3,FALSE) + IF(I955="Sí",VLOOKUP(D955,TARIFAS!A:K,5,FALSE),0),
      VLOOKUP(D955,TARIFAS!A:K,4,FALSE) + IF(I955="Sí",VLOOKUP(D955,TARIFAS!A:K,5,FALSE),0)
   ),
   IF(H955="Presencial",
      VLOOKUP(D955,TARIFAS!A:K,9,FALSE) + IF(I955="Sí",VLOOKUP(D955,TARIFAS!A:K,11,FALSE),0),
      VLOOKUP(D955,TARIFAS!A:K,10,FALSE) + IF(I955="Sí",VLOOKUP(D955,TARIFAS!A:K,11,FALSE),0)
   )
 )
)
</f>
        <v>0</v>
      </c>
      <c r="M955" s="45">
        <f>IF(J955="",0,MAX(0,J955 - TARIFAS!G$2) * TARIFAS!F$2)
</f>
        <v>0</v>
      </c>
      <c r="N955" s="45">
        <f>+L955*TARIFAS!$K$2</f>
        <v>0</v>
      </c>
      <c r="O955" s="45">
        <f t="shared" si="1"/>
        <v>0</v>
      </c>
      <c r="P955" s="45">
        <f>+M955+O955+K955+(+I955-(I955*TARIFAS!$K$2))</f>
        <v>0</v>
      </c>
      <c r="Q955" s="42" t="str">
        <f>CONFERENCIAS!T955</f>
        <v/>
      </c>
      <c r="R955" s="45" t="str">
        <f>CONFERENCIAS!U955</f>
        <v/>
      </c>
      <c r="S955" s="45" t="str">
        <f>CONFERENCIAS!W955</f>
        <v/>
      </c>
      <c r="T955" s="48">
        <f>IF(Q955="",0,
   IF(E955=1,
      IF(H955="Presencial",
         VLOOKUP(D955,TARIFAS!A:K,3,FALSE) + IF(I955="Sí",VLOOKUP(D955,TARIFAS!A:K,5,FALSE),0),
         VLOOKUP(D955,TARIFAS!A:K,4,FALSE) + IF(I955="Sí",VLOOKUP(D955,TARIFAS!A:K,5,FALSE),0)
      ),
      IF(H955="Presencial",
         VLOOKUP(D955,TARIFAS!A:K,9,FALSE) + IF(I955="Sí",VLOOKUP(D955,TARIFAS!A:K,11,FALSE),0),
         VLOOKUP(D955,TARIFAS!A:K,10,FALSE) + IF(I955="Sí",VLOOKUP(D955,TARIFAS!A:K,11,FALSE),0)
      )
   )
)
</f>
        <v>0</v>
      </c>
      <c r="U955" s="45">
        <f>IF(R955="",0,MAX(0,R955 - TARIFAS!G$2) * TARIFAS!F$2)
</f>
        <v>0</v>
      </c>
      <c r="V955" s="45">
        <f>+T955*TARIFAS!$K$2</f>
        <v>0</v>
      </c>
      <c r="W955" s="45">
        <f t="shared" si="2"/>
        <v>0</v>
      </c>
      <c r="X955" s="45">
        <f t="shared" si="3"/>
        <v>0</v>
      </c>
      <c r="Y955" s="45">
        <f t="shared" si="4"/>
        <v>0</v>
      </c>
      <c r="Z955" s="42" t="str">
        <f>CONFERENCIAS!AB955</f>
        <v/>
      </c>
      <c r="AA955" s="42" t="str">
        <f>CONFERENCIAS!AC955</f>
        <v/>
      </c>
      <c r="AB955" s="47" t="str">
        <f t="shared" si="5"/>
        <v/>
      </c>
      <c r="AC955" s="9" t="str">
        <f t="shared" si="6"/>
        <v/>
      </c>
    </row>
    <row r="956">
      <c r="A956" s="42" t="str">
        <f>CONFERENCIAS!A956</f>
        <v/>
      </c>
      <c r="D956" s="42" t="str">
        <f>CONFERENCIAS!C956</f>
        <v/>
      </c>
      <c r="E956" s="42" t="str">
        <f>CONFERENCIAS!K956</f>
        <v/>
      </c>
      <c r="F956" s="49" t="str">
        <f>CONFERENCIAS!J956</f>
        <v/>
      </c>
      <c r="G956" s="42" t="str">
        <f>CONFERENCIAS!O956</f>
        <v/>
      </c>
      <c r="H956" s="42" t="str">
        <f>CONFERENCIAS!X956</f>
        <v/>
      </c>
      <c r="I956" s="42" t="str">
        <f>CONFERENCIAS!AA956</f>
        <v/>
      </c>
      <c r="J956" s="44" t="str">
        <f>CONFERENCIAS!P956</f>
        <v/>
      </c>
      <c r="K956" s="45" t="str">
        <f>CONFERENCIAS!R956</f>
        <v/>
      </c>
      <c r="L956" s="45">
        <f>IF(D956="",0,
 IF(E956=1,
   IF(H956="Presencial",
      VLOOKUP(D956,TARIFAS!A:K,3,FALSE) + IF(I956="Sí",VLOOKUP(D956,TARIFAS!A:K,5,FALSE),0),
      VLOOKUP(D956,TARIFAS!A:K,4,FALSE) + IF(I956="Sí",VLOOKUP(D956,TARIFAS!A:K,5,FALSE),0)
   ),
   IF(H956="Presencial",
      VLOOKUP(D956,TARIFAS!A:K,9,FALSE) + IF(I956="Sí",VLOOKUP(D956,TARIFAS!A:K,11,FALSE),0),
      VLOOKUP(D956,TARIFAS!A:K,10,FALSE) + IF(I956="Sí",VLOOKUP(D956,TARIFAS!A:K,11,FALSE),0)
   )
 )
)
</f>
        <v>0</v>
      </c>
      <c r="M956" s="45">
        <f>IF(J956="",0,MAX(0,J956 - TARIFAS!G$2) * TARIFAS!F$2)
</f>
        <v>0</v>
      </c>
      <c r="N956" s="45">
        <f>+L956*TARIFAS!$K$2</f>
        <v>0</v>
      </c>
      <c r="O956" s="45">
        <f t="shared" si="1"/>
        <v>0</v>
      </c>
      <c r="P956" s="45">
        <f>+M956+O956+K956+(+I956-(I956*TARIFAS!$K$2))</f>
        <v>0</v>
      </c>
      <c r="Q956" s="42" t="str">
        <f>CONFERENCIAS!T956</f>
        <v/>
      </c>
      <c r="R956" s="45" t="str">
        <f>CONFERENCIAS!U956</f>
        <v/>
      </c>
      <c r="S956" s="45" t="str">
        <f>CONFERENCIAS!W956</f>
        <v/>
      </c>
      <c r="T956" s="48">
        <f>IF(Q956="",0,
   IF(E956=1,
      IF(H956="Presencial",
         VLOOKUP(D956,TARIFAS!A:K,3,FALSE) + IF(I956="Sí",VLOOKUP(D956,TARIFAS!A:K,5,FALSE),0),
         VLOOKUP(D956,TARIFAS!A:K,4,FALSE) + IF(I956="Sí",VLOOKUP(D956,TARIFAS!A:K,5,FALSE),0)
      ),
      IF(H956="Presencial",
         VLOOKUP(D956,TARIFAS!A:K,9,FALSE) + IF(I956="Sí",VLOOKUP(D956,TARIFAS!A:K,11,FALSE),0),
         VLOOKUP(D956,TARIFAS!A:K,10,FALSE) + IF(I956="Sí",VLOOKUP(D956,TARIFAS!A:K,11,FALSE),0)
      )
   )
)
</f>
        <v>0</v>
      </c>
      <c r="U956" s="45">
        <f>IF(R956="",0,MAX(0,R956 - TARIFAS!G$2) * TARIFAS!F$2)
</f>
        <v>0</v>
      </c>
      <c r="V956" s="45">
        <f>+T956*TARIFAS!$K$2</f>
        <v>0</v>
      </c>
      <c r="W956" s="45">
        <f t="shared" si="2"/>
        <v>0</v>
      </c>
      <c r="X956" s="45">
        <f t="shared" si="3"/>
        <v>0</v>
      </c>
      <c r="Y956" s="45">
        <f t="shared" si="4"/>
        <v>0</v>
      </c>
      <c r="Z956" s="42" t="str">
        <f>CONFERENCIAS!AB956</f>
        <v/>
      </c>
      <c r="AA956" s="42" t="str">
        <f>CONFERENCIAS!AC956</f>
        <v/>
      </c>
      <c r="AB956" s="47" t="str">
        <f t="shared" si="5"/>
        <v/>
      </c>
      <c r="AC956" s="9" t="str">
        <f t="shared" si="6"/>
        <v/>
      </c>
    </row>
    <row r="957">
      <c r="A957" s="42" t="str">
        <f>CONFERENCIAS!A957</f>
        <v/>
      </c>
      <c r="D957" s="42" t="str">
        <f>CONFERENCIAS!C957</f>
        <v/>
      </c>
      <c r="E957" s="42" t="str">
        <f>CONFERENCIAS!K957</f>
        <v/>
      </c>
      <c r="F957" s="49" t="str">
        <f>CONFERENCIAS!J957</f>
        <v/>
      </c>
      <c r="G957" s="42" t="str">
        <f>CONFERENCIAS!O957</f>
        <v/>
      </c>
      <c r="H957" s="42" t="str">
        <f>CONFERENCIAS!X957</f>
        <v/>
      </c>
      <c r="I957" s="42" t="str">
        <f>CONFERENCIAS!AA957</f>
        <v/>
      </c>
      <c r="J957" s="44" t="str">
        <f>CONFERENCIAS!P957</f>
        <v/>
      </c>
      <c r="K957" s="45" t="str">
        <f>CONFERENCIAS!R957</f>
        <v/>
      </c>
      <c r="L957" s="45">
        <f>IF(D957="",0,
 IF(E957=1,
   IF(H957="Presencial",
      VLOOKUP(D957,TARIFAS!A:K,3,FALSE) + IF(I957="Sí",VLOOKUP(D957,TARIFAS!A:K,5,FALSE),0),
      VLOOKUP(D957,TARIFAS!A:K,4,FALSE) + IF(I957="Sí",VLOOKUP(D957,TARIFAS!A:K,5,FALSE),0)
   ),
   IF(H957="Presencial",
      VLOOKUP(D957,TARIFAS!A:K,9,FALSE) + IF(I957="Sí",VLOOKUP(D957,TARIFAS!A:K,11,FALSE),0),
      VLOOKUP(D957,TARIFAS!A:K,10,FALSE) + IF(I957="Sí",VLOOKUP(D957,TARIFAS!A:K,11,FALSE),0)
   )
 )
)
</f>
        <v>0</v>
      </c>
      <c r="M957" s="45">
        <f>IF(J957="",0,MAX(0,J957 - TARIFAS!G$2) * TARIFAS!F$2)
</f>
        <v>0</v>
      </c>
      <c r="N957" s="45">
        <f>+L957*TARIFAS!$K$2</f>
        <v>0</v>
      </c>
      <c r="O957" s="45">
        <f t="shared" si="1"/>
        <v>0</v>
      </c>
      <c r="P957" s="45">
        <f>+M957+O957+K957+(+I957-(I957*TARIFAS!$K$2))</f>
        <v>0</v>
      </c>
      <c r="Q957" s="42" t="str">
        <f>CONFERENCIAS!T957</f>
        <v/>
      </c>
      <c r="R957" s="45" t="str">
        <f>CONFERENCIAS!U957</f>
        <v/>
      </c>
      <c r="S957" s="45" t="str">
        <f>CONFERENCIAS!W957</f>
        <v/>
      </c>
      <c r="T957" s="48">
        <f>IF(Q957="",0,
   IF(E957=1,
      IF(H957="Presencial",
         VLOOKUP(D957,TARIFAS!A:K,3,FALSE) + IF(I957="Sí",VLOOKUP(D957,TARIFAS!A:K,5,FALSE),0),
         VLOOKUP(D957,TARIFAS!A:K,4,FALSE) + IF(I957="Sí",VLOOKUP(D957,TARIFAS!A:K,5,FALSE),0)
      ),
      IF(H957="Presencial",
         VLOOKUP(D957,TARIFAS!A:K,9,FALSE) + IF(I957="Sí",VLOOKUP(D957,TARIFAS!A:K,11,FALSE),0),
         VLOOKUP(D957,TARIFAS!A:K,10,FALSE) + IF(I957="Sí",VLOOKUP(D957,TARIFAS!A:K,11,FALSE),0)
      )
   )
)
</f>
        <v>0</v>
      </c>
      <c r="U957" s="45">
        <f>IF(R957="",0,MAX(0,R957 - TARIFAS!G$2) * TARIFAS!F$2)
</f>
        <v>0</v>
      </c>
      <c r="V957" s="45">
        <f>+T957*TARIFAS!$K$2</f>
        <v>0</v>
      </c>
      <c r="W957" s="45">
        <f t="shared" si="2"/>
        <v>0</v>
      </c>
      <c r="X957" s="45">
        <f t="shared" si="3"/>
        <v>0</v>
      </c>
      <c r="Y957" s="45">
        <f t="shared" si="4"/>
        <v>0</v>
      </c>
      <c r="Z957" s="42" t="str">
        <f>CONFERENCIAS!AB957</f>
        <v/>
      </c>
      <c r="AA957" s="42" t="str">
        <f>CONFERENCIAS!AC957</f>
        <v/>
      </c>
      <c r="AB957" s="47" t="str">
        <f t="shared" si="5"/>
        <v/>
      </c>
      <c r="AC957" s="9" t="str">
        <f t="shared" si="6"/>
        <v/>
      </c>
    </row>
    <row r="958">
      <c r="A958" s="42" t="str">
        <f>CONFERENCIAS!A958</f>
        <v/>
      </c>
      <c r="D958" s="42" t="str">
        <f>CONFERENCIAS!C958</f>
        <v/>
      </c>
      <c r="E958" s="42" t="str">
        <f>CONFERENCIAS!K958</f>
        <v/>
      </c>
      <c r="F958" s="49" t="str">
        <f>CONFERENCIAS!J958</f>
        <v/>
      </c>
      <c r="G958" s="42" t="str">
        <f>CONFERENCIAS!O958</f>
        <v/>
      </c>
      <c r="H958" s="42" t="str">
        <f>CONFERENCIAS!X958</f>
        <v/>
      </c>
      <c r="I958" s="42" t="str">
        <f>CONFERENCIAS!AA958</f>
        <v/>
      </c>
      <c r="J958" s="44" t="str">
        <f>CONFERENCIAS!P958</f>
        <v/>
      </c>
      <c r="K958" s="45" t="str">
        <f>CONFERENCIAS!R958</f>
        <v/>
      </c>
      <c r="L958" s="45">
        <f>IF(D958="",0,
 IF(E958=1,
   IF(H958="Presencial",
      VLOOKUP(D958,TARIFAS!A:K,3,FALSE) + IF(I958="Sí",VLOOKUP(D958,TARIFAS!A:K,5,FALSE),0),
      VLOOKUP(D958,TARIFAS!A:K,4,FALSE) + IF(I958="Sí",VLOOKUP(D958,TARIFAS!A:K,5,FALSE),0)
   ),
   IF(H958="Presencial",
      VLOOKUP(D958,TARIFAS!A:K,9,FALSE) + IF(I958="Sí",VLOOKUP(D958,TARIFAS!A:K,11,FALSE),0),
      VLOOKUP(D958,TARIFAS!A:K,10,FALSE) + IF(I958="Sí",VLOOKUP(D958,TARIFAS!A:K,11,FALSE),0)
   )
 )
)
</f>
        <v>0</v>
      </c>
      <c r="M958" s="45">
        <f>IF(J958="",0,MAX(0,J958 - TARIFAS!G$2) * TARIFAS!F$2)
</f>
        <v>0</v>
      </c>
      <c r="N958" s="45">
        <f>+L958*TARIFAS!$K$2</f>
        <v>0</v>
      </c>
      <c r="O958" s="45">
        <f t="shared" si="1"/>
        <v>0</v>
      </c>
      <c r="P958" s="45">
        <f>+M958+O958+K958+(+I958-(I958*TARIFAS!$K$2))</f>
        <v>0</v>
      </c>
      <c r="Q958" s="42" t="str">
        <f>CONFERENCIAS!T958</f>
        <v/>
      </c>
      <c r="R958" s="45" t="str">
        <f>CONFERENCIAS!U958</f>
        <v/>
      </c>
      <c r="S958" s="45" t="str">
        <f>CONFERENCIAS!W958</f>
        <v/>
      </c>
      <c r="T958" s="48">
        <f>IF(Q958="",0,
   IF(E958=1,
      IF(H958="Presencial",
         VLOOKUP(D958,TARIFAS!A:K,3,FALSE) + IF(I958="Sí",VLOOKUP(D958,TARIFAS!A:K,5,FALSE),0),
         VLOOKUP(D958,TARIFAS!A:K,4,FALSE) + IF(I958="Sí",VLOOKUP(D958,TARIFAS!A:K,5,FALSE),0)
      ),
      IF(H958="Presencial",
         VLOOKUP(D958,TARIFAS!A:K,9,FALSE) + IF(I958="Sí",VLOOKUP(D958,TARIFAS!A:K,11,FALSE),0),
         VLOOKUP(D958,TARIFAS!A:K,10,FALSE) + IF(I958="Sí",VLOOKUP(D958,TARIFAS!A:K,11,FALSE),0)
      )
   )
)
</f>
        <v>0</v>
      </c>
      <c r="U958" s="45">
        <f>IF(R958="",0,MAX(0,R958 - TARIFAS!G$2) * TARIFAS!F$2)
</f>
        <v>0</v>
      </c>
      <c r="V958" s="45">
        <f>+T958*TARIFAS!$K$2</f>
        <v>0</v>
      </c>
      <c r="W958" s="45">
        <f t="shared" si="2"/>
        <v>0</v>
      </c>
      <c r="X958" s="45">
        <f t="shared" si="3"/>
        <v>0</v>
      </c>
      <c r="Y958" s="45">
        <f t="shared" si="4"/>
        <v>0</v>
      </c>
      <c r="Z958" s="42" t="str">
        <f>CONFERENCIAS!AB958</f>
        <v/>
      </c>
      <c r="AA958" s="42" t="str">
        <f>CONFERENCIAS!AC958</f>
        <v/>
      </c>
      <c r="AB958" s="47" t="str">
        <f t="shared" si="5"/>
        <v/>
      </c>
      <c r="AC958" s="9" t="str">
        <f t="shared" si="6"/>
        <v/>
      </c>
    </row>
    <row r="959">
      <c r="A959" s="42" t="str">
        <f>CONFERENCIAS!A959</f>
        <v/>
      </c>
      <c r="D959" s="42" t="str">
        <f>CONFERENCIAS!C959</f>
        <v/>
      </c>
      <c r="E959" s="42" t="str">
        <f>CONFERENCIAS!K959</f>
        <v/>
      </c>
      <c r="F959" s="49" t="str">
        <f>CONFERENCIAS!J959</f>
        <v/>
      </c>
      <c r="G959" s="42" t="str">
        <f>CONFERENCIAS!O959</f>
        <v/>
      </c>
      <c r="H959" s="42" t="str">
        <f>CONFERENCIAS!X959</f>
        <v/>
      </c>
      <c r="I959" s="42" t="str">
        <f>CONFERENCIAS!AA959</f>
        <v/>
      </c>
      <c r="J959" s="44" t="str">
        <f>CONFERENCIAS!P959</f>
        <v/>
      </c>
      <c r="K959" s="45" t="str">
        <f>CONFERENCIAS!R959</f>
        <v/>
      </c>
      <c r="L959" s="45">
        <f>IF(D959="",0,
 IF(E959=1,
   IF(H959="Presencial",
      VLOOKUP(D959,TARIFAS!A:K,3,FALSE) + IF(I959="Sí",VLOOKUP(D959,TARIFAS!A:K,5,FALSE),0),
      VLOOKUP(D959,TARIFAS!A:K,4,FALSE) + IF(I959="Sí",VLOOKUP(D959,TARIFAS!A:K,5,FALSE),0)
   ),
   IF(H959="Presencial",
      VLOOKUP(D959,TARIFAS!A:K,9,FALSE) + IF(I959="Sí",VLOOKUP(D959,TARIFAS!A:K,11,FALSE),0),
      VLOOKUP(D959,TARIFAS!A:K,10,FALSE) + IF(I959="Sí",VLOOKUP(D959,TARIFAS!A:K,11,FALSE),0)
   )
 )
)
</f>
        <v>0</v>
      </c>
      <c r="M959" s="45">
        <f>IF(J959="",0,MAX(0,J959 - TARIFAS!G$2) * TARIFAS!F$2)
</f>
        <v>0</v>
      </c>
      <c r="N959" s="45">
        <f>+L959*TARIFAS!$K$2</f>
        <v>0</v>
      </c>
      <c r="O959" s="45">
        <f t="shared" si="1"/>
        <v>0</v>
      </c>
      <c r="P959" s="45">
        <f>+M959+O959+K959+(+I959-(I959*TARIFAS!$K$2))</f>
        <v>0</v>
      </c>
      <c r="Q959" s="42" t="str">
        <f>CONFERENCIAS!T959</f>
        <v/>
      </c>
      <c r="R959" s="45" t="str">
        <f>CONFERENCIAS!U959</f>
        <v/>
      </c>
      <c r="S959" s="45" t="str">
        <f>CONFERENCIAS!W959</f>
        <v/>
      </c>
      <c r="T959" s="48">
        <f>IF(Q959="",0,
   IF(E959=1,
      IF(H959="Presencial",
         VLOOKUP(D959,TARIFAS!A:K,3,FALSE) + IF(I959="Sí",VLOOKUP(D959,TARIFAS!A:K,5,FALSE),0),
         VLOOKUP(D959,TARIFAS!A:K,4,FALSE) + IF(I959="Sí",VLOOKUP(D959,TARIFAS!A:K,5,FALSE),0)
      ),
      IF(H959="Presencial",
         VLOOKUP(D959,TARIFAS!A:K,9,FALSE) + IF(I959="Sí",VLOOKUP(D959,TARIFAS!A:K,11,FALSE),0),
         VLOOKUP(D959,TARIFAS!A:K,10,FALSE) + IF(I959="Sí",VLOOKUP(D959,TARIFAS!A:K,11,FALSE),0)
      )
   )
)
</f>
        <v>0</v>
      </c>
      <c r="U959" s="45">
        <f>IF(R959="",0,MAX(0,R959 - TARIFAS!G$2) * TARIFAS!F$2)
</f>
        <v>0</v>
      </c>
      <c r="V959" s="45">
        <f>+T959*TARIFAS!$K$2</f>
        <v>0</v>
      </c>
      <c r="W959" s="45">
        <f t="shared" si="2"/>
        <v>0</v>
      </c>
      <c r="X959" s="45">
        <f t="shared" si="3"/>
        <v>0</v>
      </c>
      <c r="Y959" s="45">
        <f t="shared" si="4"/>
        <v>0</v>
      </c>
      <c r="Z959" s="42" t="str">
        <f>CONFERENCIAS!AB959</f>
        <v/>
      </c>
      <c r="AA959" s="42" t="str">
        <f>CONFERENCIAS!AC959</f>
        <v/>
      </c>
      <c r="AB959" s="47" t="str">
        <f t="shared" si="5"/>
        <v/>
      </c>
      <c r="AC959" s="9" t="str">
        <f t="shared" si="6"/>
        <v/>
      </c>
    </row>
    <row r="960">
      <c r="A960" s="42" t="str">
        <f>CONFERENCIAS!A960</f>
        <v/>
      </c>
      <c r="D960" s="42" t="str">
        <f>CONFERENCIAS!C960</f>
        <v/>
      </c>
      <c r="E960" s="42" t="str">
        <f>CONFERENCIAS!K960</f>
        <v/>
      </c>
      <c r="F960" s="49" t="str">
        <f>CONFERENCIAS!J960</f>
        <v/>
      </c>
      <c r="G960" s="42" t="str">
        <f>CONFERENCIAS!O960</f>
        <v/>
      </c>
      <c r="H960" s="42" t="str">
        <f>CONFERENCIAS!X960</f>
        <v/>
      </c>
      <c r="I960" s="42" t="str">
        <f>CONFERENCIAS!AA960</f>
        <v/>
      </c>
      <c r="J960" s="44" t="str">
        <f>CONFERENCIAS!P960</f>
        <v/>
      </c>
      <c r="K960" s="45" t="str">
        <f>CONFERENCIAS!R960</f>
        <v/>
      </c>
      <c r="L960" s="45">
        <f>IF(D960="",0,
 IF(E960=1,
   IF(H960="Presencial",
      VLOOKUP(D960,TARIFAS!A:K,3,FALSE) + IF(I960="Sí",VLOOKUP(D960,TARIFAS!A:K,5,FALSE),0),
      VLOOKUP(D960,TARIFAS!A:K,4,FALSE) + IF(I960="Sí",VLOOKUP(D960,TARIFAS!A:K,5,FALSE),0)
   ),
   IF(H960="Presencial",
      VLOOKUP(D960,TARIFAS!A:K,9,FALSE) + IF(I960="Sí",VLOOKUP(D960,TARIFAS!A:K,11,FALSE),0),
      VLOOKUP(D960,TARIFAS!A:K,10,FALSE) + IF(I960="Sí",VLOOKUP(D960,TARIFAS!A:K,11,FALSE),0)
   )
 )
)
</f>
        <v>0</v>
      </c>
      <c r="M960" s="45">
        <f>IF(J960="",0,MAX(0,J960 - TARIFAS!G$2) * TARIFAS!F$2)
</f>
        <v>0</v>
      </c>
      <c r="N960" s="45">
        <f>+L960*TARIFAS!$K$2</f>
        <v>0</v>
      </c>
      <c r="O960" s="45">
        <f t="shared" si="1"/>
        <v>0</v>
      </c>
      <c r="P960" s="45">
        <f>+M960+O960+K960+(+I960-(I960*TARIFAS!$K$2))</f>
        <v>0</v>
      </c>
      <c r="Q960" s="42" t="str">
        <f>CONFERENCIAS!T960</f>
        <v/>
      </c>
      <c r="R960" s="45" t="str">
        <f>CONFERENCIAS!U960</f>
        <v/>
      </c>
      <c r="S960" s="45" t="str">
        <f>CONFERENCIAS!W960</f>
        <v/>
      </c>
      <c r="T960" s="48">
        <f>IF(Q960="",0,
   IF(E960=1,
      IF(H960="Presencial",
         VLOOKUP(D960,TARIFAS!A:K,3,FALSE) + IF(I960="Sí",VLOOKUP(D960,TARIFAS!A:K,5,FALSE),0),
         VLOOKUP(D960,TARIFAS!A:K,4,FALSE) + IF(I960="Sí",VLOOKUP(D960,TARIFAS!A:K,5,FALSE),0)
      ),
      IF(H960="Presencial",
         VLOOKUP(D960,TARIFAS!A:K,9,FALSE) + IF(I960="Sí",VLOOKUP(D960,TARIFAS!A:K,11,FALSE),0),
         VLOOKUP(D960,TARIFAS!A:K,10,FALSE) + IF(I960="Sí",VLOOKUP(D960,TARIFAS!A:K,11,FALSE),0)
      )
   )
)
</f>
        <v>0</v>
      </c>
      <c r="U960" s="45">
        <f>IF(R960="",0,MAX(0,R960 - TARIFAS!G$2) * TARIFAS!F$2)
</f>
        <v>0</v>
      </c>
      <c r="V960" s="45">
        <f>+T960*TARIFAS!$K$2</f>
        <v>0</v>
      </c>
      <c r="W960" s="45">
        <f t="shared" si="2"/>
        <v>0</v>
      </c>
      <c r="X960" s="45">
        <f t="shared" si="3"/>
        <v>0</v>
      </c>
      <c r="Y960" s="45">
        <f t="shared" si="4"/>
        <v>0</v>
      </c>
      <c r="Z960" s="42" t="str">
        <f>CONFERENCIAS!AB960</f>
        <v/>
      </c>
      <c r="AA960" s="42" t="str">
        <f>CONFERENCIAS!AC960</f>
        <v/>
      </c>
      <c r="AB960" s="47" t="str">
        <f t="shared" si="5"/>
        <v/>
      </c>
      <c r="AC960" s="9" t="str">
        <f t="shared" si="6"/>
        <v/>
      </c>
    </row>
    <row r="961">
      <c r="A961" s="42" t="str">
        <f>CONFERENCIAS!A961</f>
        <v/>
      </c>
      <c r="D961" s="42" t="str">
        <f>CONFERENCIAS!C961</f>
        <v/>
      </c>
      <c r="E961" s="42" t="str">
        <f>CONFERENCIAS!K961</f>
        <v/>
      </c>
      <c r="F961" s="49" t="str">
        <f>CONFERENCIAS!J961</f>
        <v/>
      </c>
      <c r="G961" s="42" t="str">
        <f>CONFERENCIAS!O961</f>
        <v/>
      </c>
      <c r="H961" s="42" t="str">
        <f>CONFERENCIAS!X961</f>
        <v/>
      </c>
      <c r="I961" s="42" t="str">
        <f>CONFERENCIAS!AA961</f>
        <v/>
      </c>
      <c r="J961" s="44" t="str">
        <f>CONFERENCIAS!P961</f>
        <v/>
      </c>
      <c r="K961" s="45" t="str">
        <f>CONFERENCIAS!R961</f>
        <v/>
      </c>
      <c r="L961" s="45">
        <f>IF(D961="",0,
 IF(E961=1,
   IF(H961="Presencial",
      VLOOKUP(D961,TARIFAS!A:K,3,FALSE) + IF(I961="Sí",VLOOKUP(D961,TARIFAS!A:K,5,FALSE),0),
      VLOOKUP(D961,TARIFAS!A:K,4,FALSE) + IF(I961="Sí",VLOOKUP(D961,TARIFAS!A:K,5,FALSE),0)
   ),
   IF(H961="Presencial",
      VLOOKUP(D961,TARIFAS!A:K,9,FALSE) + IF(I961="Sí",VLOOKUP(D961,TARIFAS!A:K,11,FALSE),0),
      VLOOKUP(D961,TARIFAS!A:K,10,FALSE) + IF(I961="Sí",VLOOKUP(D961,TARIFAS!A:K,11,FALSE),0)
   )
 )
)
</f>
        <v>0</v>
      </c>
      <c r="M961" s="45">
        <f>IF(J961="",0,MAX(0,J961 - TARIFAS!G$2) * TARIFAS!F$2)
</f>
        <v>0</v>
      </c>
      <c r="N961" s="45">
        <f>+L961*TARIFAS!$K$2</f>
        <v>0</v>
      </c>
      <c r="O961" s="45">
        <f t="shared" si="1"/>
        <v>0</v>
      </c>
      <c r="P961" s="45">
        <f>+M961+O961+K961+(+I961-(I961*TARIFAS!$K$2))</f>
        <v>0</v>
      </c>
      <c r="Q961" s="42" t="str">
        <f>CONFERENCIAS!T961</f>
        <v/>
      </c>
      <c r="R961" s="45" t="str">
        <f>CONFERENCIAS!U961</f>
        <v/>
      </c>
      <c r="S961" s="45" t="str">
        <f>CONFERENCIAS!W961</f>
        <v/>
      </c>
      <c r="T961" s="48">
        <f>IF(Q961="",0,
   IF(E961=1,
      IF(H961="Presencial",
         VLOOKUP(D961,TARIFAS!A:K,3,FALSE) + IF(I961="Sí",VLOOKUP(D961,TARIFAS!A:K,5,FALSE),0),
         VLOOKUP(D961,TARIFAS!A:K,4,FALSE) + IF(I961="Sí",VLOOKUP(D961,TARIFAS!A:K,5,FALSE),0)
      ),
      IF(H961="Presencial",
         VLOOKUP(D961,TARIFAS!A:K,9,FALSE) + IF(I961="Sí",VLOOKUP(D961,TARIFAS!A:K,11,FALSE),0),
         VLOOKUP(D961,TARIFAS!A:K,10,FALSE) + IF(I961="Sí",VLOOKUP(D961,TARIFAS!A:K,11,FALSE),0)
      )
   )
)
</f>
        <v>0</v>
      </c>
      <c r="U961" s="45">
        <f>IF(R961="",0,MAX(0,R961 - TARIFAS!G$2) * TARIFAS!F$2)
</f>
        <v>0</v>
      </c>
      <c r="V961" s="45">
        <f>+T961*TARIFAS!$K$2</f>
        <v>0</v>
      </c>
      <c r="W961" s="45">
        <f t="shared" si="2"/>
        <v>0</v>
      </c>
      <c r="X961" s="45">
        <f t="shared" si="3"/>
        <v>0</v>
      </c>
      <c r="Y961" s="45">
        <f t="shared" si="4"/>
        <v>0</v>
      </c>
      <c r="Z961" s="42" t="str">
        <f>CONFERENCIAS!AB961</f>
        <v/>
      </c>
      <c r="AA961" s="42" t="str">
        <f>CONFERENCIAS!AC961</f>
        <v/>
      </c>
      <c r="AB961" s="47" t="str">
        <f t="shared" si="5"/>
        <v/>
      </c>
      <c r="AC961" s="9" t="str">
        <f t="shared" si="6"/>
        <v/>
      </c>
    </row>
    <row r="962">
      <c r="A962" s="42" t="str">
        <f>CONFERENCIAS!A962</f>
        <v/>
      </c>
      <c r="D962" s="42" t="str">
        <f>CONFERENCIAS!C962</f>
        <v/>
      </c>
      <c r="E962" s="42" t="str">
        <f>CONFERENCIAS!K962</f>
        <v/>
      </c>
      <c r="F962" s="49" t="str">
        <f>CONFERENCIAS!J962</f>
        <v/>
      </c>
      <c r="G962" s="42" t="str">
        <f>CONFERENCIAS!O962</f>
        <v/>
      </c>
      <c r="H962" s="42" t="str">
        <f>CONFERENCIAS!X962</f>
        <v/>
      </c>
      <c r="I962" s="42" t="str">
        <f>CONFERENCIAS!AA962</f>
        <v/>
      </c>
      <c r="J962" s="44" t="str">
        <f>CONFERENCIAS!P962</f>
        <v/>
      </c>
      <c r="K962" s="45" t="str">
        <f>CONFERENCIAS!R962</f>
        <v/>
      </c>
      <c r="L962" s="45">
        <f>IF(D962="",0,
 IF(E962=1,
   IF(H962="Presencial",
      VLOOKUP(D962,TARIFAS!A:K,3,FALSE) + IF(I962="Sí",VLOOKUP(D962,TARIFAS!A:K,5,FALSE),0),
      VLOOKUP(D962,TARIFAS!A:K,4,FALSE) + IF(I962="Sí",VLOOKUP(D962,TARIFAS!A:K,5,FALSE),0)
   ),
   IF(H962="Presencial",
      VLOOKUP(D962,TARIFAS!A:K,9,FALSE) + IF(I962="Sí",VLOOKUP(D962,TARIFAS!A:K,11,FALSE),0),
      VLOOKUP(D962,TARIFAS!A:K,10,FALSE) + IF(I962="Sí",VLOOKUP(D962,TARIFAS!A:K,11,FALSE),0)
   )
 )
)
</f>
        <v>0</v>
      </c>
      <c r="M962" s="45">
        <f>IF(J962="",0,MAX(0,J962 - TARIFAS!G$2) * TARIFAS!F$2)
</f>
        <v>0</v>
      </c>
      <c r="N962" s="45">
        <f>+L962*TARIFAS!$K$2</f>
        <v>0</v>
      </c>
      <c r="O962" s="45">
        <f t="shared" si="1"/>
        <v>0</v>
      </c>
      <c r="P962" s="45">
        <f>+M962+O962+K962+(+I962-(I962*TARIFAS!$K$2))</f>
        <v>0</v>
      </c>
      <c r="Q962" s="42" t="str">
        <f>CONFERENCIAS!T962</f>
        <v/>
      </c>
      <c r="R962" s="45" t="str">
        <f>CONFERENCIAS!U962</f>
        <v/>
      </c>
      <c r="S962" s="45" t="str">
        <f>CONFERENCIAS!W962</f>
        <v/>
      </c>
      <c r="T962" s="48">
        <f>IF(Q962="",0,
   IF(E962=1,
      IF(H962="Presencial",
         VLOOKUP(D962,TARIFAS!A:K,3,FALSE) + IF(I962="Sí",VLOOKUP(D962,TARIFAS!A:K,5,FALSE),0),
         VLOOKUP(D962,TARIFAS!A:K,4,FALSE) + IF(I962="Sí",VLOOKUP(D962,TARIFAS!A:K,5,FALSE),0)
      ),
      IF(H962="Presencial",
         VLOOKUP(D962,TARIFAS!A:K,9,FALSE) + IF(I962="Sí",VLOOKUP(D962,TARIFAS!A:K,11,FALSE),0),
         VLOOKUP(D962,TARIFAS!A:K,10,FALSE) + IF(I962="Sí",VLOOKUP(D962,TARIFAS!A:K,11,FALSE),0)
      )
   )
)
</f>
        <v>0</v>
      </c>
      <c r="U962" s="45">
        <f>IF(R962="",0,MAX(0,R962 - TARIFAS!G$2) * TARIFAS!F$2)
</f>
        <v>0</v>
      </c>
      <c r="V962" s="45">
        <f>+T962*TARIFAS!$K$2</f>
        <v>0</v>
      </c>
      <c r="W962" s="45">
        <f t="shared" si="2"/>
        <v>0</v>
      </c>
      <c r="X962" s="45">
        <f t="shared" si="3"/>
        <v>0</v>
      </c>
      <c r="Y962" s="45">
        <f t="shared" si="4"/>
        <v>0</v>
      </c>
      <c r="Z962" s="42" t="str">
        <f>CONFERENCIAS!AB962</f>
        <v/>
      </c>
      <c r="AA962" s="42" t="str">
        <f>CONFERENCIAS!AC962</f>
        <v/>
      </c>
      <c r="AB962" s="47" t="str">
        <f t="shared" si="5"/>
        <v/>
      </c>
      <c r="AC962" s="9" t="str">
        <f t="shared" si="6"/>
        <v/>
      </c>
    </row>
    <row r="963">
      <c r="A963" s="42" t="str">
        <f>CONFERENCIAS!A963</f>
        <v/>
      </c>
      <c r="D963" s="42" t="str">
        <f>CONFERENCIAS!C963</f>
        <v/>
      </c>
      <c r="E963" s="42" t="str">
        <f>CONFERENCIAS!K963</f>
        <v/>
      </c>
      <c r="F963" s="49" t="str">
        <f>CONFERENCIAS!J963</f>
        <v/>
      </c>
      <c r="G963" s="42" t="str">
        <f>CONFERENCIAS!O963</f>
        <v/>
      </c>
      <c r="H963" s="42" t="str">
        <f>CONFERENCIAS!X963</f>
        <v/>
      </c>
      <c r="I963" s="42" t="str">
        <f>CONFERENCIAS!AA963</f>
        <v/>
      </c>
      <c r="J963" s="44" t="str">
        <f>CONFERENCIAS!P963</f>
        <v/>
      </c>
      <c r="K963" s="45" t="str">
        <f>CONFERENCIAS!R963</f>
        <v/>
      </c>
      <c r="L963" s="45">
        <f>IF(D963="",0,
 IF(E963=1,
   IF(H963="Presencial",
      VLOOKUP(D963,TARIFAS!A:K,3,FALSE) + IF(I963="Sí",VLOOKUP(D963,TARIFAS!A:K,5,FALSE),0),
      VLOOKUP(D963,TARIFAS!A:K,4,FALSE) + IF(I963="Sí",VLOOKUP(D963,TARIFAS!A:K,5,FALSE),0)
   ),
   IF(H963="Presencial",
      VLOOKUP(D963,TARIFAS!A:K,9,FALSE) + IF(I963="Sí",VLOOKUP(D963,TARIFAS!A:K,11,FALSE),0),
      VLOOKUP(D963,TARIFAS!A:K,10,FALSE) + IF(I963="Sí",VLOOKUP(D963,TARIFAS!A:K,11,FALSE),0)
   )
 )
)
</f>
        <v>0</v>
      </c>
      <c r="M963" s="45">
        <f>IF(J963="",0,MAX(0,J963 - TARIFAS!G$2) * TARIFAS!F$2)
</f>
        <v>0</v>
      </c>
      <c r="N963" s="45">
        <f>+L963*TARIFAS!$K$2</f>
        <v>0</v>
      </c>
      <c r="O963" s="45">
        <f t="shared" si="1"/>
        <v>0</v>
      </c>
      <c r="P963" s="45">
        <f>+M963+O963+K963+(+I963-(I963*TARIFAS!$K$2))</f>
        <v>0</v>
      </c>
      <c r="Q963" s="42" t="str">
        <f>CONFERENCIAS!T963</f>
        <v/>
      </c>
      <c r="R963" s="45" t="str">
        <f>CONFERENCIAS!U963</f>
        <v/>
      </c>
      <c r="S963" s="45" t="str">
        <f>CONFERENCIAS!W963</f>
        <v/>
      </c>
      <c r="T963" s="48">
        <f>IF(Q963="",0,
   IF(E963=1,
      IF(H963="Presencial",
         VLOOKUP(D963,TARIFAS!A:K,3,FALSE) + IF(I963="Sí",VLOOKUP(D963,TARIFAS!A:K,5,FALSE),0),
         VLOOKUP(D963,TARIFAS!A:K,4,FALSE) + IF(I963="Sí",VLOOKUP(D963,TARIFAS!A:K,5,FALSE),0)
      ),
      IF(H963="Presencial",
         VLOOKUP(D963,TARIFAS!A:K,9,FALSE) + IF(I963="Sí",VLOOKUP(D963,TARIFAS!A:K,11,FALSE),0),
         VLOOKUP(D963,TARIFAS!A:K,10,FALSE) + IF(I963="Sí",VLOOKUP(D963,TARIFAS!A:K,11,FALSE),0)
      )
   )
)
</f>
        <v>0</v>
      </c>
      <c r="U963" s="45">
        <f>IF(R963="",0,MAX(0,R963 - TARIFAS!G$2) * TARIFAS!F$2)
</f>
        <v>0</v>
      </c>
      <c r="V963" s="45">
        <f>+T963*TARIFAS!$K$2</f>
        <v>0</v>
      </c>
      <c r="W963" s="45">
        <f t="shared" si="2"/>
        <v>0</v>
      </c>
      <c r="X963" s="45">
        <f t="shared" si="3"/>
        <v>0</v>
      </c>
      <c r="Y963" s="45">
        <f t="shared" si="4"/>
        <v>0</v>
      </c>
      <c r="Z963" s="42" t="str">
        <f>CONFERENCIAS!AB963</f>
        <v/>
      </c>
      <c r="AA963" s="42" t="str">
        <f>CONFERENCIAS!AC963</f>
        <v/>
      </c>
      <c r="AB963" s="47" t="str">
        <f t="shared" si="5"/>
        <v/>
      </c>
      <c r="AC963" s="9" t="str">
        <f t="shared" si="6"/>
        <v/>
      </c>
    </row>
    <row r="964">
      <c r="A964" s="42" t="str">
        <f>CONFERENCIAS!A964</f>
        <v/>
      </c>
      <c r="D964" s="42" t="str">
        <f>CONFERENCIAS!C964</f>
        <v/>
      </c>
      <c r="E964" s="42" t="str">
        <f>CONFERENCIAS!K964</f>
        <v/>
      </c>
      <c r="F964" s="49" t="str">
        <f>CONFERENCIAS!J964</f>
        <v/>
      </c>
      <c r="G964" s="42" t="str">
        <f>CONFERENCIAS!O964</f>
        <v/>
      </c>
      <c r="H964" s="42" t="str">
        <f>CONFERENCIAS!X964</f>
        <v/>
      </c>
      <c r="I964" s="42" t="str">
        <f>CONFERENCIAS!AA964</f>
        <v/>
      </c>
      <c r="J964" s="44" t="str">
        <f>CONFERENCIAS!P964</f>
        <v/>
      </c>
      <c r="K964" s="45" t="str">
        <f>CONFERENCIAS!R964</f>
        <v/>
      </c>
      <c r="L964" s="45">
        <f>IF(D964="",0,
 IF(E964=1,
   IF(H964="Presencial",
      VLOOKUP(D964,TARIFAS!A:K,3,FALSE) + IF(I964="Sí",VLOOKUP(D964,TARIFAS!A:K,5,FALSE),0),
      VLOOKUP(D964,TARIFAS!A:K,4,FALSE) + IF(I964="Sí",VLOOKUP(D964,TARIFAS!A:K,5,FALSE),0)
   ),
   IF(H964="Presencial",
      VLOOKUP(D964,TARIFAS!A:K,9,FALSE) + IF(I964="Sí",VLOOKUP(D964,TARIFAS!A:K,11,FALSE),0),
      VLOOKUP(D964,TARIFAS!A:K,10,FALSE) + IF(I964="Sí",VLOOKUP(D964,TARIFAS!A:K,11,FALSE),0)
   )
 )
)
</f>
        <v>0</v>
      </c>
      <c r="M964" s="45">
        <f>IF(J964="",0,MAX(0,J964 - TARIFAS!G$2) * TARIFAS!F$2)
</f>
        <v>0</v>
      </c>
      <c r="N964" s="45">
        <f>+L964*TARIFAS!$K$2</f>
        <v>0</v>
      </c>
      <c r="O964" s="45">
        <f t="shared" si="1"/>
        <v>0</v>
      </c>
      <c r="P964" s="45">
        <f>+M964+O964+K964+(+I964-(I964*TARIFAS!$K$2))</f>
        <v>0</v>
      </c>
      <c r="Q964" s="42" t="str">
        <f>CONFERENCIAS!T964</f>
        <v/>
      </c>
      <c r="R964" s="45" t="str">
        <f>CONFERENCIAS!U964</f>
        <v/>
      </c>
      <c r="S964" s="45" t="str">
        <f>CONFERENCIAS!W964</f>
        <v/>
      </c>
      <c r="T964" s="48">
        <f>IF(Q964="",0,
   IF(E964=1,
      IF(H964="Presencial",
         VLOOKUP(D964,TARIFAS!A:K,3,FALSE) + IF(I964="Sí",VLOOKUP(D964,TARIFAS!A:K,5,FALSE),0),
         VLOOKUP(D964,TARIFAS!A:K,4,FALSE) + IF(I964="Sí",VLOOKUP(D964,TARIFAS!A:K,5,FALSE),0)
      ),
      IF(H964="Presencial",
         VLOOKUP(D964,TARIFAS!A:K,9,FALSE) + IF(I964="Sí",VLOOKUP(D964,TARIFAS!A:K,11,FALSE),0),
         VLOOKUP(D964,TARIFAS!A:K,10,FALSE) + IF(I964="Sí",VLOOKUP(D964,TARIFAS!A:K,11,FALSE),0)
      )
   )
)
</f>
        <v>0</v>
      </c>
      <c r="U964" s="45">
        <f>IF(R964="",0,MAX(0,R964 - TARIFAS!G$2) * TARIFAS!F$2)
</f>
        <v>0</v>
      </c>
      <c r="V964" s="45">
        <f>+T964*TARIFAS!$K$2</f>
        <v>0</v>
      </c>
      <c r="W964" s="45">
        <f t="shared" si="2"/>
        <v>0</v>
      </c>
      <c r="X964" s="45">
        <f t="shared" si="3"/>
        <v>0</v>
      </c>
      <c r="Y964" s="45">
        <f t="shared" si="4"/>
        <v>0</v>
      </c>
      <c r="Z964" s="42" t="str">
        <f>CONFERENCIAS!AB964</f>
        <v/>
      </c>
      <c r="AA964" s="42" t="str">
        <f>CONFERENCIAS!AC964</f>
        <v/>
      </c>
      <c r="AB964" s="47" t="str">
        <f t="shared" si="5"/>
        <v/>
      </c>
      <c r="AC964" s="9" t="str">
        <f t="shared" si="6"/>
        <v/>
      </c>
    </row>
    <row r="965">
      <c r="A965" s="42" t="str">
        <f>CONFERENCIAS!A965</f>
        <v/>
      </c>
      <c r="D965" s="42" t="str">
        <f>CONFERENCIAS!C965</f>
        <v/>
      </c>
      <c r="E965" s="42" t="str">
        <f>CONFERENCIAS!K965</f>
        <v/>
      </c>
      <c r="F965" s="49" t="str">
        <f>CONFERENCIAS!J965</f>
        <v/>
      </c>
      <c r="G965" s="42" t="str">
        <f>CONFERENCIAS!O965</f>
        <v/>
      </c>
      <c r="H965" s="42" t="str">
        <f>CONFERENCIAS!X965</f>
        <v/>
      </c>
      <c r="I965" s="42" t="str">
        <f>CONFERENCIAS!AA965</f>
        <v/>
      </c>
      <c r="J965" s="44" t="str">
        <f>CONFERENCIAS!P965</f>
        <v/>
      </c>
      <c r="K965" s="45" t="str">
        <f>CONFERENCIAS!R965</f>
        <v/>
      </c>
      <c r="L965" s="45">
        <f>IF(D965="",0,
 IF(E965=1,
   IF(H965="Presencial",
      VLOOKUP(D965,TARIFAS!A:K,3,FALSE) + IF(I965="Sí",VLOOKUP(D965,TARIFAS!A:K,5,FALSE),0),
      VLOOKUP(D965,TARIFAS!A:K,4,FALSE) + IF(I965="Sí",VLOOKUP(D965,TARIFAS!A:K,5,FALSE),0)
   ),
   IF(H965="Presencial",
      VLOOKUP(D965,TARIFAS!A:K,9,FALSE) + IF(I965="Sí",VLOOKUP(D965,TARIFAS!A:K,11,FALSE),0),
      VLOOKUP(D965,TARIFAS!A:K,10,FALSE) + IF(I965="Sí",VLOOKUP(D965,TARIFAS!A:K,11,FALSE),0)
   )
 )
)
</f>
        <v>0</v>
      </c>
      <c r="M965" s="45">
        <f>IF(J965="",0,MAX(0,J965 - TARIFAS!G$2) * TARIFAS!F$2)
</f>
        <v>0</v>
      </c>
      <c r="N965" s="45">
        <f>+L965*TARIFAS!$K$2</f>
        <v>0</v>
      </c>
      <c r="O965" s="45">
        <f t="shared" si="1"/>
        <v>0</v>
      </c>
      <c r="P965" s="45">
        <f>+M965+O965+K965+(+I965-(I965*TARIFAS!$K$2))</f>
        <v>0</v>
      </c>
      <c r="Q965" s="42" t="str">
        <f>CONFERENCIAS!T965</f>
        <v/>
      </c>
      <c r="R965" s="45" t="str">
        <f>CONFERENCIAS!U965</f>
        <v/>
      </c>
      <c r="S965" s="45" t="str">
        <f>CONFERENCIAS!W965</f>
        <v/>
      </c>
      <c r="T965" s="48">
        <f>IF(Q965="",0,
   IF(E965=1,
      IF(H965="Presencial",
         VLOOKUP(D965,TARIFAS!A:K,3,FALSE) + IF(I965="Sí",VLOOKUP(D965,TARIFAS!A:K,5,FALSE),0),
         VLOOKUP(D965,TARIFAS!A:K,4,FALSE) + IF(I965="Sí",VLOOKUP(D965,TARIFAS!A:K,5,FALSE),0)
      ),
      IF(H965="Presencial",
         VLOOKUP(D965,TARIFAS!A:K,9,FALSE) + IF(I965="Sí",VLOOKUP(D965,TARIFAS!A:K,11,FALSE),0),
         VLOOKUP(D965,TARIFAS!A:K,10,FALSE) + IF(I965="Sí",VLOOKUP(D965,TARIFAS!A:K,11,FALSE),0)
      )
   )
)
</f>
        <v>0</v>
      </c>
      <c r="U965" s="45">
        <f>IF(R965="",0,MAX(0,R965 - TARIFAS!G$2) * TARIFAS!F$2)
</f>
        <v>0</v>
      </c>
      <c r="V965" s="45">
        <f>+T965*TARIFAS!$K$2</f>
        <v>0</v>
      </c>
      <c r="W965" s="45">
        <f t="shared" si="2"/>
        <v>0</v>
      </c>
      <c r="X965" s="45">
        <f t="shared" si="3"/>
        <v>0</v>
      </c>
      <c r="Y965" s="45">
        <f t="shared" si="4"/>
        <v>0</v>
      </c>
      <c r="Z965" s="42" t="str">
        <f>CONFERENCIAS!AB965</f>
        <v/>
      </c>
      <c r="AA965" s="42" t="str">
        <f>CONFERENCIAS!AC965</f>
        <v/>
      </c>
      <c r="AB965" s="47" t="str">
        <f t="shared" si="5"/>
        <v/>
      </c>
      <c r="AC965" s="9" t="str">
        <f t="shared" si="6"/>
        <v/>
      </c>
    </row>
    <row r="966">
      <c r="A966" s="42" t="str">
        <f>CONFERENCIAS!A966</f>
        <v/>
      </c>
      <c r="D966" s="42" t="str">
        <f>CONFERENCIAS!C966</f>
        <v/>
      </c>
      <c r="E966" s="42" t="str">
        <f>CONFERENCIAS!K966</f>
        <v/>
      </c>
      <c r="F966" s="49" t="str">
        <f>CONFERENCIAS!J966</f>
        <v/>
      </c>
      <c r="G966" s="42" t="str">
        <f>CONFERENCIAS!O966</f>
        <v/>
      </c>
      <c r="H966" s="42" t="str">
        <f>CONFERENCIAS!X966</f>
        <v/>
      </c>
      <c r="I966" s="42" t="str">
        <f>CONFERENCIAS!AA966</f>
        <v/>
      </c>
      <c r="J966" s="44" t="str">
        <f>CONFERENCIAS!P966</f>
        <v/>
      </c>
      <c r="K966" s="45" t="str">
        <f>CONFERENCIAS!R966</f>
        <v/>
      </c>
      <c r="L966" s="45">
        <f>IF(D966="",0,
 IF(E966=1,
   IF(H966="Presencial",
      VLOOKUP(D966,TARIFAS!A:K,3,FALSE) + IF(I966="Sí",VLOOKUP(D966,TARIFAS!A:K,5,FALSE),0),
      VLOOKUP(D966,TARIFAS!A:K,4,FALSE) + IF(I966="Sí",VLOOKUP(D966,TARIFAS!A:K,5,FALSE),0)
   ),
   IF(H966="Presencial",
      VLOOKUP(D966,TARIFAS!A:K,9,FALSE) + IF(I966="Sí",VLOOKUP(D966,TARIFAS!A:K,11,FALSE),0),
      VLOOKUP(D966,TARIFAS!A:K,10,FALSE) + IF(I966="Sí",VLOOKUP(D966,TARIFAS!A:K,11,FALSE),0)
   )
 )
)
</f>
        <v>0</v>
      </c>
      <c r="M966" s="45">
        <f>IF(J966="",0,MAX(0,J966 - TARIFAS!G$2) * TARIFAS!F$2)
</f>
        <v>0</v>
      </c>
      <c r="N966" s="45">
        <f>+L966*TARIFAS!$K$2</f>
        <v>0</v>
      </c>
      <c r="O966" s="45">
        <f t="shared" si="1"/>
        <v>0</v>
      </c>
      <c r="P966" s="45">
        <f>+M966+O966+K966+(+I966-(I966*TARIFAS!$K$2))</f>
        <v>0</v>
      </c>
      <c r="Q966" s="42" t="str">
        <f>CONFERENCIAS!T966</f>
        <v/>
      </c>
      <c r="R966" s="45" t="str">
        <f>CONFERENCIAS!U966</f>
        <v/>
      </c>
      <c r="S966" s="45" t="str">
        <f>CONFERENCIAS!W966</f>
        <v/>
      </c>
      <c r="T966" s="48">
        <f>IF(Q966="",0,
   IF(E966=1,
      IF(H966="Presencial",
         VLOOKUP(D966,TARIFAS!A:K,3,FALSE) + IF(I966="Sí",VLOOKUP(D966,TARIFAS!A:K,5,FALSE),0),
         VLOOKUP(D966,TARIFAS!A:K,4,FALSE) + IF(I966="Sí",VLOOKUP(D966,TARIFAS!A:K,5,FALSE),0)
      ),
      IF(H966="Presencial",
         VLOOKUP(D966,TARIFAS!A:K,9,FALSE) + IF(I966="Sí",VLOOKUP(D966,TARIFAS!A:K,11,FALSE),0),
         VLOOKUP(D966,TARIFAS!A:K,10,FALSE) + IF(I966="Sí",VLOOKUP(D966,TARIFAS!A:K,11,FALSE),0)
      )
   )
)
</f>
        <v>0</v>
      </c>
      <c r="U966" s="45">
        <f>IF(R966="",0,MAX(0,R966 - TARIFAS!G$2) * TARIFAS!F$2)
</f>
        <v>0</v>
      </c>
      <c r="V966" s="45">
        <f>+T966*TARIFAS!$K$2</f>
        <v>0</v>
      </c>
      <c r="W966" s="45">
        <f t="shared" si="2"/>
        <v>0</v>
      </c>
      <c r="X966" s="45">
        <f t="shared" si="3"/>
        <v>0</v>
      </c>
      <c r="Y966" s="45">
        <f t="shared" si="4"/>
        <v>0</v>
      </c>
      <c r="Z966" s="42" t="str">
        <f>CONFERENCIAS!AB966</f>
        <v/>
      </c>
      <c r="AA966" s="42" t="str">
        <f>CONFERENCIAS!AC966</f>
        <v/>
      </c>
      <c r="AB966" s="47" t="str">
        <f t="shared" si="5"/>
        <v/>
      </c>
      <c r="AC966" s="9" t="str">
        <f t="shared" si="6"/>
        <v/>
      </c>
    </row>
    <row r="967">
      <c r="A967" s="42" t="str">
        <f>CONFERENCIAS!A967</f>
        <v/>
      </c>
      <c r="D967" s="42" t="str">
        <f>CONFERENCIAS!C967</f>
        <v/>
      </c>
      <c r="E967" s="42" t="str">
        <f>CONFERENCIAS!K967</f>
        <v/>
      </c>
      <c r="F967" s="49" t="str">
        <f>CONFERENCIAS!J967</f>
        <v/>
      </c>
      <c r="G967" s="42" t="str">
        <f>CONFERENCIAS!O967</f>
        <v/>
      </c>
      <c r="H967" s="42" t="str">
        <f>CONFERENCIAS!X967</f>
        <v/>
      </c>
      <c r="I967" s="42" t="str">
        <f>CONFERENCIAS!AA967</f>
        <v/>
      </c>
      <c r="J967" s="44" t="str">
        <f>CONFERENCIAS!P967</f>
        <v/>
      </c>
      <c r="K967" s="45" t="str">
        <f>CONFERENCIAS!R967</f>
        <v/>
      </c>
      <c r="L967" s="45">
        <f>IF(D967="",0,
 IF(E967=1,
   IF(H967="Presencial",
      VLOOKUP(D967,TARIFAS!A:K,3,FALSE) + IF(I967="Sí",VLOOKUP(D967,TARIFAS!A:K,5,FALSE),0),
      VLOOKUP(D967,TARIFAS!A:K,4,FALSE) + IF(I967="Sí",VLOOKUP(D967,TARIFAS!A:K,5,FALSE),0)
   ),
   IF(H967="Presencial",
      VLOOKUP(D967,TARIFAS!A:K,9,FALSE) + IF(I967="Sí",VLOOKUP(D967,TARIFAS!A:K,11,FALSE),0),
      VLOOKUP(D967,TARIFAS!A:K,10,FALSE) + IF(I967="Sí",VLOOKUP(D967,TARIFAS!A:K,11,FALSE),0)
   )
 )
)
</f>
        <v>0</v>
      </c>
      <c r="M967" s="45">
        <f>IF(J967="",0,MAX(0,J967 - TARIFAS!G$2) * TARIFAS!F$2)
</f>
        <v>0</v>
      </c>
      <c r="N967" s="45">
        <f>+L967*TARIFAS!$K$2</f>
        <v>0</v>
      </c>
      <c r="O967" s="45">
        <f t="shared" si="1"/>
        <v>0</v>
      </c>
      <c r="P967" s="45">
        <f>+M967+O967+K967+(+I967-(I967*TARIFAS!$K$2))</f>
        <v>0</v>
      </c>
      <c r="Q967" s="42" t="str">
        <f>CONFERENCIAS!T967</f>
        <v/>
      </c>
      <c r="R967" s="45" t="str">
        <f>CONFERENCIAS!U967</f>
        <v/>
      </c>
      <c r="S967" s="45" t="str">
        <f>CONFERENCIAS!W967</f>
        <v/>
      </c>
      <c r="T967" s="48">
        <f>IF(Q967="",0,
   IF(E967=1,
      IF(H967="Presencial",
         VLOOKUP(D967,TARIFAS!A:K,3,FALSE) + IF(I967="Sí",VLOOKUP(D967,TARIFAS!A:K,5,FALSE),0),
         VLOOKUP(D967,TARIFAS!A:K,4,FALSE) + IF(I967="Sí",VLOOKUP(D967,TARIFAS!A:K,5,FALSE),0)
      ),
      IF(H967="Presencial",
         VLOOKUP(D967,TARIFAS!A:K,9,FALSE) + IF(I967="Sí",VLOOKUP(D967,TARIFAS!A:K,11,FALSE),0),
         VLOOKUP(D967,TARIFAS!A:K,10,FALSE) + IF(I967="Sí",VLOOKUP(D967,TARIFAS!A:K,11,FALSE),0)
      )
   )
)
</f>
        <v>0</v>
      </c>
      <c r="U967" s="45">
        <f>IF(R967="",0,MAX(0,R967 - TARIFAS!G$2) * TARIFAS!F$2)
</f>
        <v>0</v>
      </c>
      <c r="V967" s="45">
        <f>+T967*TARIFAS!$K$2</f>
        <v>0</v>
      </c>
      <c r="W967" s="45">
        <f t="shared" si="2"/>
        <v>0</v>
      </c>
      <c r="X967" s="45">
        <f t="shared" si="3"/>
        <v>0</v>
      </c>
      <c r="Y967" s="45">
        <f t="shared" si="4"/>
        <v>0</v>
      </c>
      <c r="Z967" s="42" t="str">
        <f>CONFERENCIAS!AB967</f>
        <v/>
      </c>
      <c r="AA967" s="42" t="str">
        <f>CONFERENCIAS!AC967</f>
        <v/>
      </c>
      <c r="AB967" s="47" t="str">
        <f t="shared" si="5"/>
        <v/>
      </c>
      <c r="AC967" s="9" t="str">
        <f t="shared" si="6"/>
        <v/>
      </c>
    </row>
    <row r="968">
      <c r="A968" s="42" t="str">
        <f>CONFERENCIAS!A968</f>
        <v/>
      </c>
      <c r="D968" s="42" t="str">
        <f>CONFERENCIAS!C968</f>
        <v/>
      </c>
      <c r="E968" s="42" t="str">
        <f>CONFERENCIAS!K968</f>
        <v/>
      </c>
      <c r="F968" s="49" t="str">
        <f>CONFERENCIAS!J968</f>
        <v/>
      </c>
      <c r="G968" s="42" t="str">
        <f>CONFERENCIAS!O968</f>
        <v/>
      </c>
      <c r="H968" s="42" t="str">
        <f>CONFERENCIAS!X968</f>
        <v/>
      </c>
      <c r="I968" s="42" t="str">
        <f>CONFERENCIAS!AA968</f>
        <v/>
      </c>
      <c r="J968" s="44" t="str">
        <f>CONFERENCIAS!P968</f>
        <v/>
      </c>
      <c r="K968" s="45" t="str">
        <f>CONFERENCIAS!R968</f>
        <v/>
      </c>
      <c r="L968" s="45">
        <f>IF(D968="",0,
 IF(E968=1,
   IF(H968="Presencial",
      VLOOKUP(D968,TARIFAS!A:K,3,FALSE) + IF(I968="Sí",VLOOKUP(D968,TARIFAS!A:K,5,FALSE),0),
      VLOOKUP(D968,TARIFAS!A:K,4,FALSE) + IF(I968="Sí",VLOOKUP(D968,TARIFAS!A:K,5,FALSE),0)
   ),
   IF(H968="Presencial",
      VLOOKUP(D968,TARIFAS!A:K,9,FALSE) + IF(I968="Sí",VLOOKUP(D968,TARIFAS!A:K,11,FALSE),0),
      VLOOKUP(D968,TARIFAS!A:K,10,FALSE) + IF(I968="Sí",VLOOKUP(D968,TARIFAS!A:K,11,FALSE),0)
   )
 )
)
</f>
        <v>0</v>
      </c>
      <c r="M968" s="45">
        <f>IF(J968="",0,MAX(0,J968 - TARIFAS!G$2) * TARIFAS!F$2)
</f>
        <v>0</v>
      </c>
      <c r="N968" s="45">
        <f>+L968*TARIFAS!$K$2</f>
        <v>0</v>
      </c>
      <c r="O968" s="45">
        <f t="shared" si="1"/>
        <v>0</v>
      </c>
      <c r="P968" s="45">
        <f>+M968+O968+K968+(+I968-(I968*TARIFAS!$K$2))</f>
        <v>0</v>
      </c>
      <c r="Q968" s="42" t="str">
        <f>CONFERENCIAS!T968</f>
        <v/>
      </c>
      <c r="R968" s="45" t="str">
        <f>CONFERENCIAS!U968</f>
        <v/>
      </c>
      <c r="S968" s="45" t="str">
        <f>CONFERENCIAS!W968</f>
        <v/>
      </c>
      <c r="T968" s="48">
        <f>IF(Q968="",0,
   IF(E968=1,
      IF(H968="Presencial",
         VLOOKUP(D968,TARIFAS!A:K,3,FALSE) + IF(I968="Sí",VLOOKUP(D968,TARIFAS!A:K,5,FALSE),0),
         VLOOKUP(D968,TARIFAS!A:K,4,FALSE) + IF(I968="Sí",VLOOKUP(D968,TARIFAS!A:K,5,FALSE),0)
      ),
      IF(H968="Presencial",
         VLOOKUP(D968,TARIFAS!A:K,9,FALSE) + IF(I968="Sí",VLOOKUP(D968,TARIFAS!A:K,11,FALSE),0),
         VLOOKUP(D968,TARIFAS!A:K,10,FALSE) + IF(I968="Sí",VLOOKUP(D968,TARIFAS!A:K,11,FALSE),0)
      )
   )
)
</f>
        <v>0</v>
      </c>
      <c r="U968" s="45">
        <f>IF(R968="",0,MAX(0,R968 - TARIFAS!G$2) * TARIFAS!F$2)
</f>
        <v>0</v>
      </c>
      <c r="V968" s="45">
        <f>+T968*TARIFAS!$K$2</f>
        <v>0</v>
      </c>
      <c r="W968" s="45">
        <f t="shared" si="2"/>
        <v>0</v>
      </c>
      <c r="X968" s="45">
        <f t="shared" si="3"/>
        <v>0</v>
      </c>
      <c r="Y968" s="45">
        <f t="shared" si="4"/>
        <v>0</v>
      </c>
      <c r="Z968" s="42" t="str">
        <f>CONFERENCIAS!AB968</f>
        <v/>
      </c>
      <c r="AA968" s="42" t="str">
        <f>CONFERENCIAS!AC968</f>
        <v/>
      </c>
      <c r="AB968" s="47" t="str">
        <f t="shared" si="5"/>
        <v/>
      </c>
      <c r="AC968" s="9" t="str">
        <f t="shared" si="6"/>
        <v/>
      </c>
    </row>
    <row r="969">
      <c r="A969" s="42" t="str">
        <f>CONFERENCIAS!A969</f>
        <v/>
      </c>
      <c r="D969" s="42" t="str">
        <f>CONFERENCIAS!C969</f>
        <v/>
      </c>
      <c r="E969" s="42" t="str">
        <f>CONFERENCIAS!K969</f>
        <v/>
      </c>
      <c r="F969" s="49" t="str">
        <f>CONFERENCIAS!J969</f>
        <v/>
      </c>
      <c r="G969" s="42" t="str">
        <f>CONFERENCIAS!O969</f>
        <v/>
      </c>
      <c r="H969" s="42" t="str">
        <f>CONFERENCIAS!X969</f>
        <v/>
      </c>
      <c r="I969" s="42" t="str">
        <f>CONFERENCIAS!AA969</f>
        <v/>
      </c>
      <c r="J969" s="44" t="str">
        <f>CONFERENCIAS!P969</f>
        <v/>
      </c>
      <c r="K969" s="45" t="str">
        <f>CONFERENCIAS!R969</f>
        <v/>
      </c>
      <c r="L969" s="45">
        <f>IF(D969="",0,
 IF(E969=1,
   IF(H969="Presencial",
      VLOOKUP(D969,TARIFAS!A:K,3,FALSE) + IF(I969="Sí",VLOOKUP(D969,TARIFAS!A:K,5,FALSE),0),
      VLOOKUP(D969,TARIFAS!A:K,4,FALSE) + IF(I969="Sí",VLOOKUP(D969,TARIFAS!A:K,5,FALSE),0)
   ),
   IF(H969="Presencial",
      VLOOKUP(D969,TARIFAS!A:K,9,FALSE) + IF(I969="Sí",VLOOKUP(D969,TARIFAS!A:K,11,FALSE),0),
      VLOOKUP(D969,TARIFAS!A:K,10,FALSE) + IF(I969="Sí",VLOOKUP(D969,TARIFAS!A:K,11,FALSE),0)
   )
 )
)
</f>
        <v>0</v>
      </c>
      <c r="M969" s="45">
        <f>IF(J969="",0,MAX(0,J969 - TARIFAS!G$2) * TARIFAS!F$2)
</f>
        <v>0</v>
      </c>
      <c r="N969" s="45">
        <f>+L969*TARIFAS!$K$2</f>
        <v>0</v>
      </c>
      <c r="O969" s="45">
        <f t="shared" si="1"/>
        <v>0</v>
      </c>
      <c r="P969" s="45">
        <f>+M969+O969+K969+(+I969-(I969*TARIFAS!$K$2))</f>
        <v>0</v>
      </c>
      <c r="Q969" s="42" t="str">
        <f>CONFERENCIAS!T969</f>
        <v/>
      </c>
      <c r="R969" s="45" t="str">
        <f>CONFERENCIAS!U969</f>
        <v/>
      </c>
      <c r="S969" s="45" t="str">
        <f>CONFERENCIAS!W969</f>
        <v/>
      </c>
      <c r="T969" s="48">
        <f>IF(Q969="",0,
   IF(E969=1,
      IF(H969="Presencial",
         VLOOKUP(D969,TARIFAS!A:K,3,FALSE) + IF(I969="Sí",VLOOKUP(D969,TARIFAS!A:K,5,FALSE),0),
         VLOOKUP(D969,TARIFAS!A:K,4,FALSE) + IF(I969="Sí",VLOOKUP(D969,TARIFAS!A:K,5,FALSE),0)
      ),
      IF(H969="Presencial",
         VLOOKUP(D969,TARIFAS!A:K,9,FALSE) + IF(I969="Sí",VLOOKUP(D969,TARIFAS!A:K,11,FALSE),0),
         VLOOKUP(D969,TARIFAS!A:K,10,FALSE) + IF(I969="Sí",VLOOKUP(D969,TARIFAS!A:K,11,FALSE),0)
      )
   )
)
</f>
        <v>0</v>
      </c>
      <c r="U969" s="45">
        <f>IF(R969="",0,MAX(0,R969 - TARIFAS!G$2) * TARIFAS!F$2)
</f>
        <v>0</v>
      </c>
      <c r="V969" s="45">
        <f>+T969*TARIFAS!$K$2</f>
        <v>0</v>
      </c>
      <c r="W969" s="45">
        <f t="shared" si="2"/>
        <v>0</v>
      </c>
      <c r="X969" s="45">
        <f t="shared" si="3"/>
        <v>0</v>
      </c>
      <c r="Y969" s="45">
        <f t="shared" si="4"/>
        <v>0</v>
      </c>
      <c r="Z969" s="42" t="str">
        <f>CONFERENCIAS!AB969</f>
        <v/>
      </c>
      <c r="AA969" s="42" t="str">
        <f>CONFERENCIAS!AC969</f>
        <v/>
      </c>
      <c r="AB969" s="47" t="str">
        <f t="shared" si="5"/>
        <v/>
      </c>
      <c r="AC969" s="9" t="str">
        <f t="shared" si="6"/>
        <v/>
      </c>
    </row>
    <row r="970">
      <c r="A970" s="42" t="str">
        <f>CONFERENCIAS!A970</f>
        <v/>
      </c>
      <c r="D970" s="42" t="str">
        <f>CONFERENCIAS!C970</f>
        <v/>
      </c>
      <c r="E970" s="42" t="str">
        <f>CONFERENCIAS!K970</f>
        <v/>
      </c>
      <c r="F970" s="49" t="str">
        <f>CONFERENCIAS!J970</f>
        <v/>
      </c>
      <c r="G970" s="42" t="str">
        <f>CONFERENCIAS!O970</f>
        <v/>
      </c>
      <c r="H970" s="42" t="str">
        <f>CONFERENCIAS!X970</f>
        <v/>
      </c>
      <c r="I970" s="42" t="str">
        <f>CONFERENCIAS!AA970</f>
        <v/>
      </c>
      <c r="J970" s="44" t="str">
        <f>CONFERENCIAS!P970</f>
        <v/>
      </c>
      <c r="K970" s="45" t="str">
        <f>CONFERENCIAS!R970</f>
        <v/>
      </c>
      <c r="L970" s="45">
        <f>IF(D970="",0,
 IF(E970=1,
   IF(H970="Presencial",
      VLOOKUP(D970,TARIFAS!A:K,3,FALSE) + IF(I970="Sí",VLOOKUP(D970,TARIFAS!A:K,5,FALSE),0),
      VLOOKUP(D970,TARIFAS!A:K,4,FALSE) + IF(I970="Sí",VLOOKUP(D970,TARIFAS!A:K,5,FALSE),0)
   ),
   IF(H970="Presencial",
      VLOOKUP(D970,TARIFAS!A:K,9,FALSE) + IF(I970="Sí",VLOOKUP(D970,TARIFAS!A:K,11,FALSE),0),
      VLOOKUP(D970,TARIFAS!A:K,10,FALSE) + IF(I970="Sí",VLOOKUP(D970,TARIFAS!A:K,11,FALSE),0)
   )
 )
)
</f>
        <v>0</v>
      </c>
      <c r="M970" s="45">
        <f>IF(J970="",0,MAX(0,J970 - TARIFAS!G$2) * TARIFAS!F$2)
</f>
        <v>0</v>
      </c>
      <c r="N970" s="45">
        <f>+L970*TARIFAS!$K$2</f>
        <v>0</v>
      </c>
      <c r="O970" s="45">
        <f t="shared" si="1"/>
        <v>0</v>
      </c>
      <c r="P970" s="45">
        <f>+M970+O970+K970+(+I970-(I970*TARIFAS!$K$2))</f>
        <v>0</v>
      </c>
      <c r="Q970" s="42" t="str">
        <f>CONFERENCIAS!T970</f>
        <v/>
      </c>
      <c r="R970" s="45" t="str">
        <f>CONFERENCIAS!U970</f>
        <v/>
      </c>
      <c r="S970" s="45" t="str">
        <f>CONFERENCIAS!W970</f>
        <v/>
      </c>
      <c r="T970" s="48">
        <f>IF(Q970="",0,
   IF(E970=1,
      IF(H970="Presencial",
         VLOOKUP(D970,TARIFAS!A:K,3,FALSE) + IF(I970="Sí",VLOOKUP(D970,TARIFAS!A:K,5,FALSE),0),
         VLOOKUP(D970,TARIFAS!A:K,4,FALSE) + IF(I970="Sí",VLOOKUP(D970,TARIFAS!A:K,5,FALSE),0)
      ),
      IF(H970="Presencial",
         VLOOKUP(D970,TARIFAS!A:K,9,FALSE) + IF(I970="Sí",VLOOKUP(D970,TARIFAS!A:K,11,FALSE),0),
         VLOOKUP(D970,TARIFAS!A:K,10,FALSE) + IF(I970="Sí",VLOOKUP(D970,TARIFAS!A:K,11,FALSE),0)
      )
   )
)
</f>
        <v>0</v>
      </c>
      <c r="U970" s="45">
        <f>IF(R970="",0,MAX(0,R970 - TARIFAS!G$2) * TARIFAS!F$2)
</f>
        <v>0</v>
      </c>
      <c r="V970" s="45">
        <f>+T970*TARIFAS!$K$2</f>
        <v>0</v>
      </c>
      <c r="W970" s="45">
        <f t="shared" si="2"/>
        <v>0</v>
      </c>
      <c r="X970" s="45">
        <f t="shared" si="3"/>
        <v>0</v>
      </c>
      <c r="Y970" s="45">
        <f t="shared" si="4"/>
        <v>0</v>
      </c>
      <c r="Z970" s="42" t="str">
        <f>CONFERENCIAS!AB970</f>
        <v/>
      </c>
      <c r="AA970" s="42" t="str">
        <f>CONFERENCIAS!AC970</f>
        <v/>
      </c>
      <c r="AB970" s="47" t="str">
        <f t="shared" si="5"/>
        <v/>
      </c>
      <c r="AC970" s="9" t="str">
        <f t="shared" si="6"/>
        <v/>
      </c>
    </row>
    <row r="971">
      <c r="A971" s="42" t="str">
        <f>CONFERENCIAS!A971</f>
        <v/>
      </c>
      <c r="D971" s="42" t="str">
        <f>CONFERENCIAS!C971</f>
        <v/>
      </c>
      <c r="E971" s="42" t="str">
        <f>CONFERENCIAS!K971</f>
        <v/>
      </c>
      <c r="F971" s="49" t="str">
        <f>CONFERENCIAS!J971</f>
        <v/>
      </c>
      <c r="G971" s="42" t="str">
        <f>CONFERENCIAS!O971</f>
        <v/>
      </c>
      <c r="H971" s="42" t="str">
        <f>CONFERENCIAS!X971</f>
        <v/>
      </c>
      <c r="I971" s="42" t="str">
        <f>CONFERENCIAS!AA971</f>
        <v/>
      </c>
      <c r="J971" s="44" t="str">
        <f>CONFERENCIAS!P971</f>
        <v/>
      </c>
      <c r="K971" s="45" t="str">
        <f>CONFERENCIAS!R971</f>
        <v/>
      </c>
      <c r="L971" s="45">
        <f>IF(D971="",0,
 IF(E971=1,
   IF(H971="Presencial",
      VLOOKUP(D971,TARIFAS!A:K,3,FALSE) + IF(I971="Sí",VLOOKUP(D971,TARIFAS!A:K,5,FALSE),0),
      VLOOKUP(D971,TARIFAS!A:K,4,FALSE) + IF(I971="Sí",VLOOKUP(D971,TARIFAS!A:K,5,FALSE),0)
   ),
   IF(H971="Presencial",
      VLOOKUP(D971,TARIFAS!A:K,9,FALSE) + IF(I971="Sí",VLOOKUP(D971,TARIFAS!A:K,11,FALSE),0),
      VLOOKUP(D971,TARIFAS!A:K,10,FALSE) + IF(I971="Sí",VLOOKUP(D971,TARIFAS!A:K,11,FALSE),0)
   )
 )
)
</f>
        <v>0</v>
      </c>
      <c r="M971" s="45">
        <f>IF(J971="",0,MAX(0,J971 - TARIFAS!G$2) * TARIFAS!F$2)
</f>
        <v>0</v>
      </c>
      <c r="N971" s="45">
        <f>+L971*TARIFAS!$K$2</f>
        <v>0</v>
      </c>
      <c r="O971" s="45">
        <f t="shared" si="1"/>
        <v>0</v>
      </c>
      <c r="P971" s="45">
        <f>+M971+O971+K971+(+I971-(I971*TARIFAS!$K$2))</f>
        <v>0</v>
      </c>
      <c r="Q971" s="42" t="str">
        <f>CONFERENCIAS!T971</f>
        <v/>
      </c>
      <c r="R971" s="45" t="str">
        <f>CONFERENCIAS!U971</f>
        <v/>
      </c>
      <c r="S971" s="45" t="str">
        <f>CONFERENCIAS!W971</f>
        <v/>
      </c>
      <c r="T971" s="48">
        <f>IF(Q971="",0,
   IF(E971=1,
      IF(H971="Presencial",
         VLOOKUP(D971,TARIFAS!A:K,3,FALSE) + IF(I971="Sí",VLOOKUP(D971,TARIFAS!A:K,5,FALSE),0),
         VLOOKUP(D971,TARIFAS!A:K,4,FALSE) + IF(I971="Sí",VLOOKUP(D971,TARIFAS!A:K,5,FALSE),0)
      ),
      IF(H971="Presencial",
         VLOOKUP(D971,TARIFAS!A:K,9,FALSE) + IF(I971="Sí",VLOOKUP(D971,TARIFAS!A:K,11,FALSE),0),
         VLOOKUP(D971,TARIFAS!A:K,10,FALSE) + IF(I971="Sí",VLOOKUP(D971,TARIFAS!A:K,11,FALSE),0)
      )
   )
)
</f>
        <v>0</v>
      </c>
      <c r="U971" s="45">
        <f>IF(R971="",0,MAX(0,R971 - TARIFAS!G$2) * TARIFAS!F$2)
</f>
        <v>0</v>
      </c>
      <c r="V971" s="45">
        <f>+T971*TARIFAS!$K$2</f>
        <v>0</v>
      </c>
      <c r="W971" s="45">
        <f t="shared" si="2"/>
        <v>0</v>
      </c>
      <c r="X971" s="45">
        <f t="shared" si="3"/>
        <v>0</v>
      </c>
      <c r="Y971" s="45">
        <f t="shared" si="4"/>
        <v>0</v>
      </c>
      <c r="Z971" s="42" t="str">
        <f>CONFERENCIAS!AB971</f>
        <v/>
      </c>
      <c r="AA971" s="42" t="str">
        <f>CONFERENCIAS!AC971</f>
        <v/>
      </c>
      <c r="AB971" s="47" t="str">
        <f t="shared" si="5"/>
        <v/>
      </c>
      <c r="AC971" s="9" t="str">
        <f t="shared" si="6"/>
        <v/>
      </c>
    </row>
    <row r="972">
      <c r="A972" s="42" t="str">
        <f>CONFERENCIAS!A972</f>
        <v/>
      </c>
      <c r="D972" s="42" t="str">
        <f>CONFERENCIAS!C972</f>
        <v/>
      </c>
      <c r="E972" s="42" t="str">
        <f>CONFERENCIAS!K972</f>
        <v/>
      </c>
      <c r="F972" s="49" t="str">
        <f>CONFERENCIAS!J972</f>
        <v/>
      </c>
      <c r="G972" s="42" t="str">
        <f>CONFERENCIAS!O972</f>
        <v/>
      </c>
      <c r="H972" s="42" t="str">
        <f>CONFERENCIAS!X972</f>
        <v/>
      </c>
      <c r="I972" s="42" t="str">
        <f>CONFERENCIAS!AA972</f>
        <v/>
      </c>
      <c r="J972" s="44" t="str">
        <f>CONFERENCIAS!P972</f>
        <v/>
      </c>
      <c r="K972" s="45" t="str">
        <f>CONFERENCIAS!R972</f>
        <v/>
      </c>
      <c r="L972" s="45">
        <f>IF(D972="",0,
 IF(E972=1,
   IF(H972="Presencial",
      VLOOKUP(D972,TARIFAS!A:K,3,FALSE) + IF(I972="Sí",VLOOKUP(D972,TARIFAS!A:K,5,FALSE),0),
      VLOOKUP(D972,TARIFAS!A:K,4,FALSE) + IF(I972="Sí",VLOOKUP(D972,TARIFAS!A:K,5,FALSE),0)
   ),
   IF(H972="Presencial",
      VLOOKUP(D972,TARIFAS!A:K,9,FALSE) + IF(I972="Sí",VLOOKUP(D972,TARIFAS!A:K,11,FALSE),0),
      VLOOKUP(D972,TARIFAS!A:K,10,FALSE) + IF(I972="Sí",VLOOKUP(D972,TARIFAS!A:K,11,FALSE),0)
   )
 )
)
</f>
        <v>0</v>
      </c>
      <c r="M972" s="45">
        <f>IF(J972="",0,MAX(0,J972 - TARIFAS!G$2) * TARIFAS!F$2)
</f>
        <v>0</v>
      </c>
      <c r="N972" s="45">
        <f>+L972*TARIFAS!$K$2</f>
        <v>0</v>
      </c>
      <c r="O972" s="45">
        <f t="shared" si="1"/>
        <v>0</v>
      </c>
      <c r="P972" s="45">
        <f>+M972+O972+K972+(+I972-(I972*TARIFAS!$K$2))</f>
        <v>0</v>
      </c>
      <c r="Q972" s="42" t="str">
        <f>CONFERENCIAS!T972</f>
        <v/>
      </c>
      <c r="R972" s="45" t="str">
        <f>CONFERENCIAS!U972</f>
        <v/>
      </c>
      <c r="S972" s="45" t="str">
        <f>CONFERENCIAS!W972</f>
        <v/>
      </c>
      <c r="T972" s="48">
        <f>IF(Q972="",0,
   IF(E972=1,
      IF(H972="Presencial",
         VLOOKUP(D972,TARIFAS!A:K,3,FALSE) + IF(I972="Sí",VLOOKUP(D972,TARIFAS!A:K,5,FALSE),0),
         VLOOKUP(D972,TARIFAS!A:K,4,FALSE) + IF(I972="Sí",VLOOKUP(D972,TARIFAS!A:K,5,FALSE),0)
      ),
      IF(H972="Presencial",
         VLOOKUP(D972,TARIFAS!A:K,9,FALSE) + IF(I972="Sí",VLOOKUP(D972,TARIFAS!A:K,11,FALSE),0),
         VLOOKUP(D972,TARIFAS!A:K,10,FALSE) + IF(I972="Sí",VLOOKUP(D972,TARIFAS!A:K,11,FALSE),0)
      )
   )
)
</f>
        <v>0</v>
      </c>
      <c r="U972" s="45">
        <f>IF(R972="",0,MAX(0,R972 - TARIFAS!G$2) * TARIFAS!F$2)
</f>
        <v>0</v>
      </c>
      <c r="V972" s="45">
        <f>+T972*TARIFAS!$K$2</f>
        <v>0</v>
      </c>
      <c r="W972" s="45">
        <f t="shared" si="2"/>
        <v>0</v>
      </c>
      <c r="X972" s="45">
        <f t="shared" si="3"/>
        <v>0</v>
      </c>
      <c r="Y972" s="45">
        <f t="shared" si="4"/>
        <v>0</v>
      </c>
      <c r="Z972" s="42" t="str">
        <f>CONFERENCIAS!AB972</f>
        <v/>
      </c>
      <c r="AA972" s="42" t="str">
        <f>CONFERENCIAS!AC972</f>
        <v/>
      </c>
      <c r="AB972" s="47" t="str">
        <f t="shared" si="5"/>
        <v/>
      </c>
      <c r="AC972" s="9" t="str">
        <f t="shared" si="6"/>
        <v/>
      </c>
    </row>
    <row r="973">
      <c r="A973" s="42" t="str">
        <f>CONFERENCIAS!A973</f>
        <v/>
      </c>
      <c r="D973" s="42" t="str">
        <f>CONFERENCIAS!C973</f>
        <v/>
      </c>
      <c r="E973" s="42" t="str">
        <f>CONFERENCIAS!K973</f>
        <v/>
      </c>
      <c r="F973" s="49" t="str">
        <f>CONFERENCIAS!J973</f>
        <v/>
      </c>
      <c r="G973" s="42" t="str">
        <f>CONFERENCIAS!O973</f>
        <v/>
      </c>
      <c r="H973" s="42" t="str">
        <f>CONFERENCIAS!X973</f>
        <v/>
      </c>
      <c r="I973" s="42" t="str">
        <f>CONFERENCIAS!AA973</f>
        <v/>
      </c>
      <c r="J973" s="44" t="str">
        <f>CONFERENCIAS!P973</f>
        <v/>
      </c>
      <c r="K973" s="45" t="str">
        <f>CONFERENCIAS!R973</f>
        <v/>
      </c>
      <c r="L973" s="45">
        <f>IF(D973="",0,
 IF(E973=1,
   IF(H973="Presencial",
      VLOOKUP(D973,TARIFAS!A:K,3,FALSE) + IF(I973="Sí",VLOOKUP(D973,TARIFAS!A:K,5,FALSE),0),
      VLOOKUP(D973,TARIFAS!A:K,4,FALSE) + IF(I973="Sí",VLOOKUP(D973,TARIFAS!A:K,5,FALSE),0)
   ),
   IF(H973="Presencial",
      VLOOKUP(D973,TARIFAS!A:K,9,FALSE) + IF(I973="Sí",VLOOKUP(D973,TARIFAS!A:K,11,FALSE),0),
      VLOOKUP(D973,TARIFAS!A:K,10,FALSE) + IF(I973="Sí",VLOOKUP(D973,TARIFAS!A:K,11,FALSE),0)
   )
 )
)
</f>
        <v>0</v>
      </c>
      <c r="M973" s="45">
        <f>IF(J973="",0,MAX(0,J973 - TARIFAS!G$2) * TARIFAS!F$2)
</f>
        <v>0</v>
      </c>
      <c r="N973" s="45">
        <f>+L973*TARIFAS!$K$2</f>
        <v>0</v>
      </c>
      <c r="O973" s="45">
        <f t="shared" si="1"/>
        <v>0</v>
      </c>
      <c r="P973" s="45">
        <f>+M973+O973+K973+(+I973-(I973*TARIFAS!$K$2))</f>
        <v>0</v>
      </c>
      <c r="Q973" s="42" t="str">
        <f>CONFERENCIAS!T973</f>
        <v/>
      </c>
      <c r="R973" s="45" t="str">
        <f>CONFERENCIAS!U973</f>
        <v/>
      </c>
      <c r="S973" s="45" t="str">
        <f>CONFERENCIAS!W973</f>
        <v/>
      </c>
      <c r="T973" s="48">
        <f>IF(Q973="",0,
   IF(E973=1,
      IF(H973="Presencial",
         VLOOKUP(D973,TARIFAS!A:K,3,FALSE) + IF(I973="Sí",VLOOKUP(D973,TARIFAS!A:K,5,FALSE),0),
         VLOOKUP(D973,TARIFAS!A:K,4,FALSE) + IF(I973="Sí",VLOOKUP(D973,TARIFAS!A:K,5,FALSE),0)
      ),
      IF(H973="Presencial",
         VLOOKUP(D973,TARIFAS!A:K,9,FALSE) + IF(I973="Sí",VLOOKUP(D973,TARIFAS!A:K,11,FALSE),0),
         VLOOKUP(D973,TARIFAS!A:K,10,FALSE) + IF(I973="Sí",VLOOKUP(D973,TARIFAS!A:K,11,FALSE),0)
      )
   )
)
</f>
        <v>0</v>
      </c>
      <c r="U973" s="45">
        <f>IF(R973="",0,MAX(0,R973 - TARIFAS!G$2) * TARIFAS!F$2)
</f>
        <v>0</v>
      </c>
      <c r="V973" s="45">
        <f>+T973*TARIFAS!$K$2</f>
        <v>0</v>
      </c>
      <c r="W973" s="45">
        <f t="shared" si="2"/>
        <v>0</v>
      </c>
      <c r="X973" s="45">
        <f t="shared" si="3"/>
        <v>0</v>
      </c>
      <c r="Y973" s="45">
        <f t="shared" si="4"/>
        <v>0</v>
      </c>
      <c r="Z973" s="42" t="str">
        <f>CONFERENCIAS!AB973</f>
        <v/>
      </c>
      <c r="AA973" s="42" t="str">
        <f>CONFERENCIAS!AC973</f>
        <v/>
      </c>
      <c r="AB973" s="47" t="str">
        <f t="shared" si="5"/>
        <v/>
      </c>
      <c r="AC973" s="9" t="str">
        <f t="shared" si="6"/>
        <v/>
      </c>
    </row>
    <row r="974">
      <c r="A974" s="42" t="str">
        <f>CONFERENCIAS!A974</f>
        <v/>
      </c>
      <c r="D974" s="42" t="str">
        <f>CONFERENCIAS!C974</f>
        <v/>
      </c>
      <c r="E974" s="42" t="str">
        <f>CONFERENCIAS!K974</f>
        <v/>
      </c>
      <c r="F974" s="49" t="str">
        <f>CONFERENCIAS!J974</f>
        <v/>
      </c>
      <c r="G974" s="42" t="str">
        <f>CONFERENCIAS!O974</f>
        <v/>
      </c>
      <c r="H974" s="42" t="str">
        <f>CONFERENCIAS!X974</f>
        <v/>
      </c>
      <c r="I974" s="42" t="str">
        <f>CONFERENCIAS!AA974</f>
        <v/>
      </c>
      <c r="J974" s="44" t="str">
        <f>CONFERENCIAS!P974</f>
        <v/>
      </c>
      <c r="K974" s="45" t="str">
        <f>CONFERENCIAS!R974</f>
        <v/>
      </c>
      <c r="L974" s="45">
        <f>IF(D974="",0,
 IF(E974=1,
   IF(H974="Presencial",
      VLOOKUP(D974,TARIFAS!A:K,3,FALSE) + IF(I974="Sí",VLOOKUP(D974,TARIFAS!A:K,5,FALSE),0),
      VLOOKUP(D974,TARIFAS!A:K,4,FALSE) + IF(I974="Sí",VLOOKUP(D974,TARIFAS!A:K,5,FALSE),0)
   ),
   IF(H974="Presencial",
      VLOOKUP(D974,TARIFAS!A:K,9,FALSE) + IF(I974="Sí",VLOOKUP(D974,TARIFAS!A:K,11,FALSE),0),
      VLOOKUP(D974,TARIFAS!A:K,10,FALSE) + IF(I974="Sí",VLOOKUP(D974,TARIFAS!A:K,11,FALSE),0)
   )
 )
)
</f>
        <v>0</v>
      </c>
      <c r="M974" s="45">
        <f>IF(J974="",0,MAX(0,J974 - TARIFAS!G$2) * TARIFAS!F$2)
</f>
        <v>0</v>
      </c>
      <c r="N974" s="45">
        <f>+L974*TARIFAS!$K$2</f>
        <v>0</v>
      </c>
      <c r="O974" s="45">
        <f t="shared" si="1"/>
        <v>0</v>
      </c>
      <c r="P974" s="45">
        <f>+M974+O974+K974+(+I974-(I974*TARIFAS!$K$2))</f>
        <v>0</v>
      </c>
      <c r="Q974" s="42" t="str">
        <f>CONFERENCIAS!T974</f>
        <v/>
      </c>
      <c r="R974" s="45" t="str">
        <f>CONFERENCIAS!U974</f>
        <v/>
      </c>
      <c r="S974" s="45" t="str">
        <f>CONFERENCIAS!W974</f>
        <v/>
      </c>
      <c r="T974" s="48">
        <f>IF(Q974="",0,
   IF(E974=1,
      IF(H974="Presencial",
         VLOOKUP(D974,TARIFAS!A:K,3,FALSE) + IF(I974="Sí",VLOOKUP(D974,TARIFAS!A:K,5,FALSE),0),
         VLOOKUP(D974,TARIFAS!A:K,4,FALSE) + IF(I974="Sí",VLOOKUP(D974,TARIFAS!A:K,5,FALSE),0)
      ),
      IF(H974="Presencial",
         VLOOKUP(D974,TARIFAS!A:K,9,FALSE) + IF(I974="Sí",VLOOKUP(D974,TARIFAS!A:K,11,FALSE),0),
         VLOOKUP(D974,TARIFAS!A:K,10,FALSE) + IF(I974="Sí",VLOOKUP(D974,TARIFAS!A:K,11,FALSE),0)
      )
   )
)
</f>
        <v>0</v>
      </c>
      <c r="U974" s="45">
        <f>IF(R974="",0,MAX(0,R974 - TARIFAS!G$2) * TARIFAS!F$2)
</f>
        <v>0</v>
      </c>
      <c r="V974" s="45">
        <f>+T974*TARIFAS!$K$2</f>
        <v>0</v>
      </c>
      <c r="W974" s="45">
        <f t="shared" si="2"/>
        <v>0</v>
      </c>
      <c r="X974" s="45">
        <f t="shared" si="3"/>
        <v>0</v>
      </c>
      <c r="Y974" s="45">
        <f t="shared" si="4"/>
        <v>0</v>
      </c>
      <c r="Z974" s="42" t="str">
        <f>CONFERENCIAS!AB974</f>
        <v/>
      </c>
      <c r="AA974" s="42" t="str">
        <f>CONFERENCIAS!AC974</f>
        <v/>
      </c>
      <c r="AB974" s="47" t="str">
        <f t="shared" si="5"/>
        <v/>
      </c>
      <c r="AC974" s="9" t="str">
        <f t="shared" si="6"/>
        <v/>
      </c>
    </row>
    <row r="975">
      <c r="A975" s="42" t="str">
        <f>CONFERENCIAS!A975</f>
        <v/>
      </c>
      <c r="D975" s="42" t="str">
        <f>CONFERENCIAS!C975</f>
        <v/>
      </c>
      <c r="E975" s="42" t="str">
        <f>CONFERENCIAS!K975</f>
        <v/>
      </c>
      <c r="F975" s="49" t="str">
        <f>CONFERENCIAS!J975</f>
        <v/>
      </c>
      <c r="G975" s="42" t="str">
        <f>CONFERENCIAS!O975</f>
        <v/>
      </c>
      <c r="H975" s="42" t="str">
        <f>CONFERENCIAS!X975</f>
        <v/>
      </c>
      <c r="I975" s="42" t="str">
        <f>CONFERENCIAS!AA975</f>
        <v/>
      </c>
      <c r="J975" s="44" t="str">
        <f>CONFERENCIAS!P975</f>
        <v/>
      </c>
      <c r="K975" s="45" t="str">
        <f>CONFERENCIAS!R975</f>
        <v/>
      </c>
      <c r="L975" s="45">
        <f>IF(D975="",0,
 IF(E975=1,
   IF(H975="Presencial",
      VLOOKUP(D975,TARIFAS!A:K,3,FALSE) + IF(I975="Sí",VLOOKUP(D975,TARIFAS!A:K,5,FALSE),0),
      VLOOKUP(D975,TARIFAS!A:K,4,FALSE) + IF(I975="Sí",VLOOKUP(D975,TARIFAS!A:K,5,FALSE),0)
   ),
   IF(H975="Presencial",
      VLOOKUP(D975,TARIFAS!A:K,9,FALSE) + IF(I975="Sí",VLOOKUP(D975,TARIFAS!A:K,11,FALSE),0),
      VLOOKUP(D975,TARIFAS!A:K,10,FALSE) + IF(I975="Sí",VLOOKUP(D975,TARIFAS!A:K,11,FALSE),0)
   )
 )
)
</f>
        <v>0</v>
      </c>
      <c r="M975" s="45">
        <f>IF(J975="",0,MAX(0,J975 - TARIFAS!G$2) * TARIFAS!F$2)
</f>
        <v>0</v>
      </c>
      <c r="N975" s="45">
        <f>+L975*TARIFAS!$K$2</f>
        <v>0</v>
      </c>
      <c r="O975" s="45">
        <f t="shared" si="1"/>
        <v>0</v>
      </c>
      <c r="P975" s="45">
        <f>+M975+O975+K975+(+I975-(I975*TARIFAS!$K$2))</f>
        <v>0</v>
      </c>
      <c r="Q975" s="42" t="str">
        <f>CONFERENCIAS!T975</f>
        <v/>
      </c>
      <c r="R975" s="45" t="str">
        <f>CONFERENCIAS!U975</f>
        <v/>
      </c>
      <c r="S975" s="45" t="str">
        <f>CONFERENCIAS!W975</f>
        <v/>
      </c>
      <c r="T975" s="48">
        <f>IF(Q975="",0,
   IF(E975=1,
      IF(H975="Presencial",
         VLOOKUP(D975,TARIFAS!A:K,3,FALSE) + IF(I975="Sí",VLOOKUP(D975,TARIFAS!A:K,5,FALSE),0),
         VLOOKUP(D975,TARIFAS!A:K,4,FALSE) + IF(I975="Sí",VLOOKUP(D975,TARIFAS!A:K,5,FALSE),0)
      ),
      IF(H975="Presencial",
         VLOOKUP(D975,TARIFAS!A:K,9,FALSE) + IF(I975="Sí",VLOOKUP(D975,TARIFAS!A:K,11,FALSE),0),
         VLOOKUP(D975,TARIFAS!A:K,10,FALSE) + IF(I975="Sí",VLOOKUP(D975,TARIFAS!A:K,11,FALSE),0)
      )
   )
)
</f>
        <v>0</v>
      </c>
      <c r="U975" s="45">
        <f>IF(R975="",0,MAX(0,R975 - TARIFAS!G$2) * TARIFAS!F$2)
</f>
        <v>0</v>
      </c>
      <c r="V975" s="45">
        <f>+T975*TARIFAS!$K$2</f>
        <v>0</v>
      </c>
      <c r="W975" s="45">
        <f t="shared" si="2"/>
        <v>0</v>
      </c>
      <c r="X975" s="45">
        <f t="shared" si="3"/>
        <v>0</v>
      </c>
      <c r="Y975" s="45">
        <f t="shared" si="4"/>
        <v>0</v>
      </c>
      <c r="Z975" s="42" t="str">
        <f>CONFERENCIAS!AB975</f>
        <v/>
      </c>
      <c r="AA975" s="42" t="str">
        <f>CONFERENCIAS!AC975</f>
        <v/>
      </c>
      <c r="AB975" s="47" t="str">
        <f t="shared" si="5"/>
        <v/>
      </c>
      <c r="AC975" s="9" t="str">
        <f t="shared" si="6"/>
        <v/>
      </c>
    </row>
    <row r="976">
      <c r="A976" s="42" t="str">
        <f>CONFERENCIAS!A976</f>
        <v/>
      </c>
      <c r="D976" s="42" t="str">
        <f>CONFERENCIAS!C976</f>
        <v/>
      </c>
      <c r="E976" s="42" t="str">
        <f>CONFERENCIAS!K976</f>
        <v/>
      </c>
      <c r="F976" s="49" t="str">
        <f>CONFERENCIAS!J976</f>
        <v/>
      </c>
      <c r="G976" s="42" t="str">
        <f>CONFERENCIAS!O976</f>
        <v/>
      </c>
      <c r="H976" s="42" t="str">
        <f>CONFERENCIAS!X976</f>
        <v/>
      </c>
      <c r="I976" s="42" t="str">
        <f>CONFERENCIAS!AA976</f>
        <v/>
      </c>
      <c r="J976" s="44" t="str">
        <f>CONFERENCIAS!P976</f>
        <v/>
      </c>
      <c r="K976" s="45" t="str">
        <f>CONFERENCIAS!R976</f>
        <v/>
      </c>
      <c r="L976" s="45">
        <f>IF(D976="",0,
 IF(E976=1,
   IF(H976="Presencial",
      VLOOKUP(D976,TARIFAS!A:K,3,FALSE) + IF(I976="Sí",VLOOKUP(D976,TARIFAS!A:K,5,FALSE),0),
      VLOOKUP(D976,TARIFAS!A:K,4,FALSE) + IF(I976="Sí",VLOOKUP(D976,TARIFAS!A:K,5,FALSE),0)
   ),
   IF(H976="Presencial",
      VLOOKUP(D976,TARIFAS!A:K,9,FALSE) + IF(I976="Sí",VLOOKUP(D976,TARIFAS!A:K,11,FALSE),0),
      VLOOKUP(D976,TARIFAS!A:K,10,FALSE) + IF(I976="Sí",VLOOKUP(D976,TARIFAS!A:K,11,FALSE),0)
   )
 )
)
</f>
        <v>0</v>
      </c>
      <c r="M976" s="45">
        <f>IF(J976="",0,MAX(0,J976 - TARIFAS!G$2) * TARIFAS!F$2)
</f>
        <v>0</v>
      </c>
      <c r="N976" s="45">
        <f>+L976*TARIFAS!$K$2</f>
        <v>0</v>
      </c>
      <c r="O976" s="45">
        <f t="shared" si="1"/>
        <v>0</v>
      </c>
      <c r="P976" s="45">
        <f>+M976+O976+K976+(+I976-(I976*TARIFAS!$K$2))</f>
        <v>0</v>
      </c>
      <c r="Q976" s="42" t="str">
        <f>CONFERENCIAS!T976</f>
        <v/>
      </c>
      <c r="R976" s="45" t="str">
        <f>CONFERENCIAS!U976</f>
        <v/>
      </c>
      <c r="S976" s="45" t="str">
        <f>CONFERENCIAS!W976</f>
        <v/>
      </c>
      <c r="T976" s="48">
        <f>IF(Q976="",0,
   IF(E976=1,
      IF(H976="Presencial",
         VLOOKUP(D976,TARIFAS!A:K,3,FALSE) + IF(I976="Sí",VLOOKUP(D976,TARIFAS!A:K,5,FALSE),0),
         VLOOKUP(D976,TARIFAS!A:K,4,FALSE) + IF(I976="Sí",VLOOKUP(D976,TARIFAS!A:K,5,FALSE),0)
      ),
      IF(H976="Presencial",
         VLOOKUP(D976,TARIFAS!A:K,9,FALSE) + IF(I976="Sí",VLOOKUP(D976,TARIFAS!A:K,11,FALSE),0),
         VLOOKUP(D976,TARIFAS!A:K,10,FALSE) + IF(I976="Sí",VLOOKUP(D976,TARIFAS!A:K,11,FALSE),0)
      )
   )
)
</f>
        <v>0</v>
      </c>
      <c r="U976" s="45">
        <f>IF(R976="",0,MAX(0,R976 - TARIFAS!G$2) * TARIFAS!F$2)
</f>
        <v>0</v>
      </c>
      <c r="V976" s="45">
        <f>+T976*TARIFAS!$K$2</f>
        <v>0</v>
      </c>
      <c r="W976" s="45">
        <f t="shared" si="2"/>
        <v>0</v>
      </c>
      <c r="X976" s="45">
        <f t="shared" si="3"/>
        <v>0</v>
      </c>
      <c r="Y976" s="45">
        <f t="shared" si="4"/>
        <v>0</v>
      </c>
      <c r="Z976" s="42" t="str">
        <f>CONFERENCIAS!AB976</f>
        <v/>
      </c>
      <c r="AA976" s="42" t="str">
        <f>CONFERENCIAS!AC976</f>
        <v/>
      </c>
      <c r="AB976" s="47" t="str">
        <f t="shared" si="5"/>
        <v/>
      </c>
      <c r="AC976" s="9" t="str">
        <f t="shared" si="6"/>
        <v/>
      </c>
    </row>
    <row r="977">
      <c r="A977" s="42" t="str">
        <f>CONFERENCIAS!A977</f>
        <v/>
      </c>
      <c r="D977" s="42" t="str">
        <f>CONFERENCIAS!C977</f>
        <v/>
      </c>
      <c r="E977" s="42" t="str">
        <f>CONFERENCIAS!K977</f>
        <v/>
      </c>
      <c r="F977" s="49" t="str">
        <f>CONFERENCIAS!J977</f>
        <v/>
      </c>
      <c r="G977" s="42" t="str">
        <f>CONFERENCIAS!O977</f>
        <v/>
      </c>
      <c r="H977" s="42" t="str">
        <f>CONFERENCIAS!X977</f>
        <v/>
      </c>
      <c r="I977" s="42" t="str">
        <f>CONFERENCIAS!AA977</f>
        <v/>
      </c>
      <c r="J977" s="44" t="str">
        <f>CONFERENCIAS!P977</f>
        <v/>
      </c>
      <c r="K977" s="45" t="str">
        <f>CONFERENCIAS!R977</f>
        <v/>
      </c>
      <c r="L977" s="45">
        <f>IF(D977="",0,
 IF(E977=1,
   IF(H977="Presencial",
      VLOOKUP(D977,TARIFAS!A:K,3,FALSE) + IF(I977="Sí",VLOOKUP(D977,TARIFAS!A:K,5,FALSE),0),
      VLOOKUP(D977,TARIFAS!A:K,4,FALSE) + IF(I977="Sí",VLOOKUP(D977,TARIFAS!A:K,5,FALSE),0)
   ),
   IF(H977="Presencial",
      VLOOKUP(D977,TARIFAS!A:K,9,FALSE) + IF(I977="Sí",VLOOKUP(D977,TARIFAS!A:K,11,FALSE),0),
      VLOOKUP(D977,TARIFAS!A:K,10,FALSE) + IF(I977="Sí",VLOOKUP(D977,TARIFAS!A:K,11,FALSE),0)
   )
 )
)
</f>
        <v>0</v>
      </c>
      <c r="M977" s="45">
        <f>IF(J977="",0,MAX(0,J977 - TARIFAS!G$2) * TARIFAS!F$2)
</f>
        <v>0</v>
      </c>
      <c r="N977" s="45">
        <f>+L977*TARIFAS!$K$2</f>
        <v>0</v>
      </c>
      <c r="O977" s="45">
        <f t="shared" si="1"/>
        <v>0</v>
      </c>
      <c r="P977" s="45">
        <f>+M977+O977+K977+(+I977-(I977*TARIFAS!$K$2))</f>
        <v>0</v>
      </c>
      <c r="Q977" s="42" t="str">
        <f>CONFERENCIAS!T977</f>
        <v/>
      </c>
      <c r="R977" s="45" t="str">
        <f>CONFERENCIAS!U977</f>
        <v/>
      </c>
      <c r="S977" s="45" t="str">
        <f>CONFERENCIAS!W977</f>
        <v/>
      </c>
      <c r="T977" s="48">
        <f>IF(Q977="",0,
   IF(E977=1,
      IF(H977="Presencial",
         VLOOKUP(D977,TARIFAS!A:K,3,FALSE) + IF(I977="Sí",VLOOKUP(D977,TARIFAS!A:K,5,FALSE),0),
         VLOOKUP(D977,TARIFAS!A:K,4,FALSE) + IF(I977="Sí",VLOOKUP(D977,TARIFAS!A:K,5,FALSE),0)
      ),
      IF(H977="Presencial",
         VLOOKUP(D977,TARIFAS!A:K,9,FALSE) + IF(I977="Sí",VLOOKUP(D977,TARIFAS!A:K,11,FALSE),0),
         VLOOKUP(D977,TARIFAS!A:K,10,FALSE) + IF(I977="Sí",VLOOKUP(D977,TARIFAS!A:K,11,FALSE),0)
      )
   )
)
</f>
        <v>0</v>
      </c>
      <c r="U977" s="45">
        <f>IF(R977="",0,MAX(0,R977 - TARIFAS!G$2) * TARIFAS!F$2)
</f>
        <v>0</v>
      </c>
      <c r="V977" s="45">
        <f>+T977*TARIFAS!$K$2</f>
        <v>0</v>
      </c>
      <c r="W977" s="45">
        <f t="shared" si="2"/>
        <v>0</v>
      </c>
      <c r="X977" s="45">
        <f t="shared" si="3"/>
        <v>0</v>
      </c>
      <c r="Y977" s="45">
        <f t="shared" si="4"/>
        <v>0</v>
      </c>
      <c r="Z977" s="42" t="str">
        <f>CONFERENCIAS!AB977</f>
        <v/>
      </c>
      <c r="AA977" s="42" t="str">
        <f>CONFERENCIAS!AC977</f>
        <v/>
      </c>
      <c r="AB977" s="47" t="str">
        <f t="shared" si="5"/>
        <v/>
      </c>
      <c r="AC977" s="9" t="str">
        <f t="shared" si="6"/>
        <v/>
      </c>
    </row>
    <row r="978">
      <c r="A978" s="42" t="str">
        <f>CONFERENCIAS!A978</f>
        <v/>
      </c>
      <c r="D978" s="42" t="str">
        <f>CONFERENCIAS!C978</f>
        <v/>
      </c>
      <c r="E978" s="42" t="str">
        <f>CONFERENCIAS!K978</f>
        <v/>
      </c>
      <c r="F978" s="49" t="str">
        <f>CONFERENCIAS!J978</f>
        <v/>
      </c>
      <c r="G978" s="42" t="str">
        <f>CONFERENCIAS!O978</f>
        <v/>
      </c>
      <c r="H978" s="42" t="str">
        <f>CONFERENCIAS!X978</f>
        <v/>
      </c>
      <c r="I978" s="42" t="str">
        <f>CONFERENCIAS!AA978</f>
        <v/>
      </c>
      <c r="J978" s="44" t="str">
        <f>CONFERENCIAS!P978</f>
        <v/>
      </c>
      <c r="K978" s="45" t="str">
        <f>CONFERENCIAS!R978</f>
        <v/>
      </c>
      <c r="L978" s="45">
        <f>IF(D978="",0,
 IF(E978=1,
   IF(H978="Presencial",
      VLOOKUP(D978,TARIFAS!A:K,3,FALSE) + IF(I978="Sí",VLOOKUP(D978,TARIFAS!A:K,5,FALSE),0),
      VLOOKUP(D978,TARIFAS!A:K,4,FALSE) + IF(I978="Sí",VLOOKUP(D978,TARIFAS!A:K,5,FALSE),0)
   ),
   IF(H978="Presencial",
      VLOOKUP(D978,TARIFAS!A:K,9,FALSE) + IF(I978="Sí",VLOOKUP(D978,TARIFAS!A:K,11,FALSE),0),
      VLOOKUP(D978,TARIFAS!A:K,10,FALSE) + IF(I978="Sí",VLOOKUP(D978,TARIFAS!A:K,11,FALSE),0)
   )
 )
)
</f>
        <v>0</v>
      </c>
      <c r="M978" s="45">
        <f>IF(J978="",0,MAX(0,J978 - TARIFAS!G$2) * TARIFAS!F$2)
</f>
        <v>0</v>
      </c>
      <c r="N978" s="45">
        <f>+L978*TARIFAS!$K$2</f>
        <v>0</v>
      </c>
      <c r="O978" s="45">
        <f t="shared" si="1"/>
        <v>0</v>
      </c>
      <c r="P978" s="45">
        <f>+M978+O978+K978+(+I978-(I978*TARIFAS!$K$2))</f>
        <v>0</v>
      </c>
      <c r="Q978" s="42" t="str">
        <f>CONFERENCIAS!T978</f>
        <v/>
      </c>
      <c r="R978" s="45" t="str">
        <f>CONFERENCIAS!U978</f>
        <v/>
      </c>
      <c r="S978" s="45" t="str">
        <f>CONFERENCIAS!W978</f>
        <v/>
      </c>
      <c r="T978" s="48">
        <f>IF(Q978="",0,
   IF(E978=1,
      IF(H978="Presencial",
         VLOOKUP(D978,TARIFAS!A:K,3,FALSE) + IF(I978="Sí",VLOOKUP(D978,TARIFAS!A:K,5,FALSE),0),
         VLOOKUP(D978,TARIFAS!A:K,4,FALSE) + IF(I978="Sí",VLOOKUP(D978,TARIFAS!A:K,5,FALSE),0)
      ),
      IF(H978="Presencial",
         VLOOKUP(D978,TARIFAS!A:K,9,FALSE) + IF(I978="Sí",VLOOKUP(D978,TARIFAS!A:K,11,FALSE),0),
         VLOOKUP(D978,TARIFAS!A:K,10,FALSE) + IF(I978="Sí",VLOOKUP(D978,TARIFAS!A:K,11,FALSE),0)
      )
   )
)
</f>
        <v>0</v>
      </c>
      <c r="U978" s="45">
        <f>IF(R978="",0,MAX(0,R978 - TARIFAS!G$2) * TARIFAS!F$2)
</f>
        <v>0</v>
      </c>
      <c r="V978" s="45">
        <f>+T978*TARIFAS!$K$2</f>
        <v>0</v>
      </c>
      <c r="W978" s="45">
        <f t="shared" si="2"/>
        <v>0</v>
      </c>
      <c r="X978" s="45">
        <f t="shared" si="3"/>
        <v>0</v>
      </c>
      <c r="Y978" s="45">
        <f t="shared" si="4"/>
        <v>0</v>
      </c>
      <c r="Z978" s="42" t="str">
        <f>CONFERENCIAS!AB978</f>
        <v/>
      </c>
      <c r="AA978" s="42" t="str">
        <f>CONFERENCIAS!AC978</f>
        <v/>
      </c>
      <c r="AB978" s="47" t="str">
        <f t="shared" si="5"/>
        <v/>
      </c>
      <c r="AC978" s="9" t="str">
        <f t="shared" si="6"/>
        <v/>
      </c>
    </row>
    <row r="979">
      <c r="A979" s="42" t="str">
        <f>CONFERENCIAS!A979</f>
        <v/>
      </c>
      <c r="D979" s="42" t="str">
        <f>CONFERENCIAS!C979</f>
        <v/>
      </c>
      <c r="E979" s="42" t="str">
        <f>CONFERENCIAS!K979</f>
        <v/>
      </c>
      <c r="F979" s="49" t="str">
        <f>CONFERENCIAS!J979</f>
        <v/>
      </c>
      <c r="G979" s="42" t="str">
        <f>CONFERENCIAS!O979</f>
        <v/>
      </c>
      <c r="H979" s="42" t="str">
        <f>CONFERENCIAS!X979</f>
        <v/>
      </c>
      <c r="I979" s="42" t="str">
        <f>CONFERENCIAS!AA979</f>
        <v/>
      </c>
      <c r="J979" s="44" t="str">
        <f>CONFERENCIAS!P979</f>
        <v/>
      </c>
      <c r="K979" s="45" t="str">
        <f>CONFERENCIAS!R979</f>
        <v/>
      </c>
      <c r="L979" s="45">
        <f>IF(D979="",0,
 IF(E979=1,
   IF(H979="Presencial",
      VLOOKUP(D979,TARIFAS!A:K,3,FALSE) + IF(I979="Sí",VLOOKUP(D979,TARIFAS!A:K,5,FALSE),0),
      VLOOKUP(D979,TARIFAS!A:K,4,FALSE) + IF(I979="Sí",VLOOKUP(D979,TARIFAS!A:K,5,FALSE),0)
   ),
   IF(H979="Presencial",
      VLOOKUP(D979,TARIFAS!A:K,9,FALSE) + IF(I979="Sí",VLOOKUP(D979,TARIFAS!A:K,11,FALSE),0),
      VLOOKUP(D979,TARIFAS!A:K,10,FALSE) + IF(I979="Sí",VLOOKUP(D979,TARIFAS!A:K,11,FALSE),0)
   )
 )
)
</f>
        <v>0</v>
      </c>
      <c r="M979" s="45">
        <f>IF(J979="",0,MAX(0,J979 - TARIFAS!G$2) * TARIFAS!F$2)
</f>
        <v>0</v>
      </c>
      <c r="N979" s="45">
        <f>+L979*TARIFAS!$K$2</f>
        <v>0</v>
      </c>
      <c r="O979" s="45">
        <f t="shared" si="1"/>
        <v>0</v>
      </c>
      <c r="P979" s="45">
        <f>+M979+O979+K979+(+I979-(I979*TARIFAS!$K$2))</f>
        <v>0</v>
      </c>
      <c r="Q979" s="42" t="str">
        <f>CONFERENCIAS!T979</f>
        <v/>
      </c>
      <c r="R979" s="45" t="str">
        <f>CONFERENCIAS!U979</f>
        <v/>
      </c>
      <c r="S979" s="45" t="str">
        <f>CONFERENCIAS!W979</f>
        <v/>
      </c>
      <c r="T979" s="48">
        <f>IF(Q979="",0,
   IF(E979=1,
      IF(H979="Presencial",
         VLOOKUP(D979,TARIFAS!A:K,3,FALSE) + IF(I979="Sí",VLOOKUP(D979,TARIFAS!A:K,5,FALSE),0),
         VLOOKUP(D979,TARIFAS!A:K,4,FALSE) + IF(I979="Sí",VLOOKUP(D979,TARIFAS!A:K,5,FALSE),0)
      ),
      IF(H979="Presencial",
         VLOOKUP(D979,TARIFAS!A:K,9,FALSE) + IF(I979="Sí",VLOOKUP(D979,TARIFAS!A:K,11,FALSE),0),
         VLOOKUP(D979,TARIFAS!A:K,10,FALSE) + IF(I979="Sí",VLOOKUP(D979,TARIFAS!A:K,11,FALSE),0)
      )
   )
)
</f>
        <v>0</v>
      </c>
      <c r="U979" s="45">
        <f>IF(R979="",0,MAX(0,R979 - TARIFAS!G$2) * TARIFAS!F$2)
</f>
        <v>0</v>
      </c>
      <c r="V979" s="45">
        <f>+T979*TARIFAS!$K$2</f>
        <v>0</v>
      </c>
      <c r="W979" s="45">
        <f t="shared" si="2"/>
        <v>0</v>
      </c>
      <c r="X979" s="45">
        <f t="shared" si="3"/>
        <v>0</v>
      </c>
      <c r="Y979" s="45">
        <f t="shared" si="4"/>
        <v>0</v>
      </c>
      <c r="Z979" s="42" t="str">
        <f>CONFERENCIAS!AB979</f>
        <v/>
      </c>
      <c r="AA979" s="42" t="str">
        <f>CONFERENCIAS!AC979</f>
        <v/>
      </c>
      <c r="AB979" s="47" t="str">
        <f t="shared" si="5"/>
        <v/>
      </c>
      <c r="AC979" s="9" t="str">
        <f t="shared" si="6"/>
        <v/>
      </c>
    </row>
    <row r="980">
      <c r="A980" s="42" t="str">
        <f>CONFERENCIAS!A980</f>
        <v/>
      </c>
      <c r="D980" s="42" t="str">
        <f>CONFERENCIAS!C980</f>
        <v/>
      </c>
      <c r="E980" s="42" t="str">
        <f>CONFERENCIAS!K980</f>
        <v/>
      </c>
      <c r="F980" s="49" t="str">
        <f>CONFERENCIAS!J980</f>
        <v/>
      </c>
      <c r="G980" s="42" t="str">
        <f>CONFERENCIAS!O980</f>
        <v/>
      </c>
      <c r="H980" s="42" t="str">
        <f>CONFERENCIAS!X980</f>
        <v/>
      </c>
      <c r="I980" s="42" t="str">
        <f>CONFERENCIAS!AA980</f>
        <v/>
      </c>
      <c r="J980" s="44" t="str">
        <f>CONFERENCIAS!P980</f>
        <v/>
      </c>
      <c r="K980" s="45" t="str">
        <f>CONFERENCIAS!R980</f>
        <v/>
      </c>
      <c r="L980" s="45">
        <f>IF(D980="",0,
 IF(E980=1,
   IF(H980="Presencial",
      VLOOKUP(D980,TARIFAS!A:K,3,FALSE) + IF(I980="Sí",VLOOKUP(D980,TARIFAS!A:K,5,FALSE),0),
      VLOOKUP(D980,TARIFAS!A:K,4,FALSE) + IF(I980="Sí",VLOOKUP(D980,TARIFAS!A:K,5,FALSE),0)
   ),
   IF(H980="Presencial",
      VLOOKUP(D980,TARIFAS!A:K,9,FALSE) + IF(I980="Sí",VLOOKUP(D980,TARIFAS!A:K,11,FALSE),0),
      VLOOKUP(D980,TARIFAS!A:K,10,FALSE) + IF(I980="Sí",VLOOKUP(D980,TARIFAS!A:K,11,FALSE),0)
   )
 )
)
</f>
        <v>0</v>
      </c>
      <c r="M980" s="45">
        <f>IF(J980="",0,MAX(0,J980 - TARIFAS!G$2) * TARIFAS!F$2)
</f>
        <v>0</v>
      </c>
      <c r="N980" s="45">
        <f>+L980*TARIFAS!$K$2</f>
        <v>0</v>
      </c>
      <c r="O980" s="45">
        <f t="shared" si="1"/>
        <v>0</v>
      </c>
      <c r="P980" s="45">
        <f>+M980+O980+K980+(+I980-(I980*TARIFAS!$K$2))</f>
        <v>0</v>
      </c>
      <c r="Q980" s="42" t="str">
        <f>CONFERENCIAS!T980</f>
        <v/>
      </c>
      <c r="R980" s="45" t="str">
        <f>CONFERENCIAS!U980</f>
        <v/>
      </c>
      <c r="S980" s="45" t="str">
        <f>CONFERENCIAS!W980</f>
        <v/>
      </c>
      <c r="T980" s="48">
        <f>IF(Q980="",0,
   IF(E980=1,
      IF(H980="Presencial",
         VLOOKUP(D980,TARIFAS!A:K,3,FALSE) + IF(I980="Sí",VLOOKUP(D980,TARIFAS!A:K,5,FALSE),0),
         VLOOKUP(D980,TARIFAS!A:K,4,FALSE) + IF(I980="Sí",VLOOKUP(D980,TARIFAS!A:K,5,FALSE),0)
      ),
      IF(H980="Presencial",
         VLOOKUP(D980,TARIFAS!A:K,9,FALSE) + IF(I980="Sí",VLOOKUP(D980,TARIFAS!A:K,11,FALSE),0),
         VLOOKUP(D980,TARIFAS!A:K,10,FALSE) + IF(I980="Sí",VLOOKUP(D980,TARIFAS!A:K,11,FALSE),0)
      )
   )
)
</f>
        <v>0</v>
      </c>
      <c r="U980" s="45">
        <f>IF(R980="",0,MAX(0,R980 - TARIFAS!G$2) * TARIFAS!F$2)
</f>
        <v>0</v>
      </c>
      <c r="V980" s="45">
        <f>+T980*TARIFAS!$K$2</f>
        <v>0</v>
      </c>
      <c r="W980" s="45">
        <f t="shared" si="2"/>
        <v>0</v>
      </c>
      <c r="X980" s="45">
        <f t="shared" si="3"/>
        <v>0</v>
      </c>
      <c r="Y980" s="45">
        <f t="shared" si="4"/>
        <v>0</v>
      </c>
      <c r="Z980" s="42" t="str">
        <f>CONFERENCIAS!AB980</f>
        <v/>
      </c>
      <c r="AA980" s="42" t="str">
        <f>CONFERENCIAS!AC980</f>
        <v/>
      </c>
      <c r="AB980" s="47" t="str">
        <f t="shared" si="5"/>
        <v/>
      </c>
      <c r="AC980" s="9" t="str">
        <f t="shared" si="6"/>
        <v/>
      </c>
    </row>
    <row r="981">
      <c r="A981" s="42" t="str">
        <f>CONFERENCIAS!A981</f>
        <v/>
      </c>
      <c r="D981" s="42" t="str">
        <f>CONFERENCIAS!C981</f>
        <v/>
      </c>
      <c r="E981" s="42" t="str">
        <f>CONFERENCIAS!K981</f>
        <v/>
      </c>
      <c r="F981" s="49" t="str">
        <f>CONFERENCIAS!J981</f>
        <v/>
      </c>
      <c r="G981" s="42" t="str">
        <f>CONFERENCIAS!O981</f>
        <v/>
      </c>
      <c r="H981" s="42" t="str">
        <f>CONFERENCIAS!X981</f>
        <v/>
      </c>
      <c r="I981" s="42" t="str">
        <f>CONFERENCIAS!AA981</f>
        <v/>
      </c>
      <c r="J981" s="44" t="str">
        <f>CONFERENCIAS!P981</f>
        <v/>
      </c>
      <c r="K981" s="45" t="str">
        <f>CONFERENCIAS!R981</f>
        <v/>
      </c>
      <c r="L981" s="45">
        <f>IF(D981="",0,
 IF(E981=1,
   IF(H981="Presencial",
      VLOOKUP(D981,TARIFAS!A:K,3,FALSE) + IF(I981="Sí",VLOOKUP(D981,TARIFAS!A:K,5,FALSE),0),
      VLOOKUP(D981,TARIFAS!A:K,4,FALSE) + IF(I981="Sí",VLOOKUP(D981,TARIFAS!A:K,5,FALSE),0)
   ),
   IF(H981="Presencial",
      VLOOKUP(D981,TARIFAS!A:K,9,FALSE) + IF(I981="Sí",VLOOKUP(D981,TARIFAS!A:K,11,FALSE),0),
      VLOOKUP(D981,TARIFAS!A:K,10,FALSE) + IF(I981="Sí",VLOOKUP(D981,TARIFAS!A:K,11,FALSE),0)
   )
 )
)
</f>
        <v>0</v>
      </c>
      <c r="M981" s="45">
        <f>IF(J981="",0,MAX(0,J981 - TARIFAS!G$2) * TARIFAS!F$2)
</f>
        <v>0</v>
      </c>
      <c r="N981" s="45">
        <f>+L981*TARIFAS!$K$2</f>
        <v>0</v>
      </c>
      <c r="O981" s="45">
        <f t="shared" si="1"/>
        <v>0</v>
      </c>
      <c r="P981" s="45">
        <f>+M981+O981+K981+(+I981-(I981*TARIFAS!$K$2))</f>
        <v>0</v>
      </c>
      <c r="Q981" s="42" t="str">
        <f>CONFERENCIAS!T981</f>
        <v/>
      </c>
      <c r="R981" s="45" t="str">
        <f>CONFERENCIAS!U981</f>
        <v/>
      </c>
      <c r="S981" s="45" t="str">
        <f>CONFERENCIAS!W981</f>
        <v/>
      </c>
      <c r="T981" s="48">
        <f>IF(Q981="",0,
   IF(E981=1,
      IF(H981="Presencial",
         VLOOKUP(D981,TARIFAS!A:K,3,FALSE) + IF(I981="Sí",VLOOKUP(D981,TARIFAS!A:K,5,FALSE),0),
         VLOOKUP(D981,TARIFAS!A:K,4,FALSE) + IF(I981="Sí",VLOOKUP(D981,TARIFAS!A:K,5,FALSE),0)
      ),
      IF(H981="Presencial",
         VLOOKUP(D981,TARIFAS!A:K,9,FALSE) + IF(I981="Sí",VLOOKUP(D981,TARIFAS!A:K,11,FALSE),0),
         VLOOKUP(D981,TARIFAS!A:K,10,FALSE) + IF(I981="Sí",VLOOKUP(D981,TARIFAS!A:K,11,FALSE),0)
      )
   )
)
</f>
        <v>0</v>
      </c>
      <c r="U981" s="45">
        <f>IF(R981="",0,MAX(0,R981 - TARIFAS!G$2) * TARIFAS!F$2)
</f>
        <v>0</v>
      </c>
      <c r="V981" s="45">
        <f>+T981*TARIFAS!$K$2</f>
        <v>0</v>
      </c>
      <c r="W981" s="45">
        <f t="shared" si="2"/>
        <v>0</v>
      </c>
      <c r="X981" s="45">
        <f t="shared" si="3"/>
        <v>0</v>
      </c>
      <c r="Y981" s="45">
        <f t="shared" si="4"/>
        <v>0</v>
      </c>
      <c r="Z981" s="42" t="str">
        <f>CONFERENCIAS!AB981</f>
        <v/>
      </c>
      <c r="AA981" s="42" t="str">
        <f>CONFERENCIAS!AC981</f>
        <v/>
      </c>
      <c r="AB981" s="47" t="str">
        <f t="shared" si="5"/>
        <v/>
      </c>
      <c r="AC981" s="9" t="str">
        <f t="shared" si="6"/>
        <v/>
      </c>
    </row>
    <row r="982">
      <c r="A982" s="42" t="str">
        <f>CONFERENCIAS!A982</f>
        <v/>
      </c>
      <c r="D982" s="42" t="str">
        <f>CONFERENCIAS!C982</f>
        <v/>
      </c>
      <c r="E982" s="42" t="str">
        <f>CONFERENCIAS!K982</f>
        <v/>
      </c>
      <c r="F982" s="49" t="str">
        <f>CONFERENCIAS!J982</f>
        <v/>
      </c>
      <c r="G982" s="42" t="str">
        <f>CONFERENCIAS!O982</f>
        <v/>
      </c>
      <c r="H982" s="42" t="str">
        <f>CONFERENCIAS!X982</f>
        <v/>
      </c>
      <c r="I982" s="42" t="str">
        <f>CONFERENCIAS!AA982</f>
        <v/>
      </c>
      <c r="J982" s="44" t="str">
        <f>CONFERENCIAS!P982</f>
        <v/>
      </c>
      <c r="K982" s="45" t="str">
        <f>CONFERENCIAS!R982</f>
        <v/>
      </c>
      <c r="L982" s="45">
        <f>IF(D982="",0,
 IF(E982=1,
   IF(H982="Presencial",
      VLOOKUP(D982,TARIFAS!A:K,3,FALSE) + IF(I982="Sí",VLOOKUP(D982,TARIFAS!A:K,5,FALSE),0),
      VLOOKUP(D982,TARIFAS!A:K,4,FALSE) + IF(I982="Sí",VLOOKUP(D982,TARIFAS!A:K,5,FALSE),0)
   ),
   IF(H982="Presencial",
      VLOOKUP(D982,TARIFAS!A:K,9,FALSE) + IF(I982="Sí",VLOOKUP(D982,TARIFAS!A:K,11,FALSE),0),
      VLOOKUP(D982,TARIFAS!A:K,10,FALSE) + IF(I982="Sí",VLOOKUP(D982,TARIFAS!A:K,11,FALSE),0)
   )
 )
)
</f>
        <v>0</v>
      </c>
      <c r="M982" s="45">
        <f>IF(J982="",0,MAX(0,J982 - TARIFAS!G$2) * TARIFAS!F$2)
</f>
        <v>0</v>
      </c>
      <c r="N982" s="45">
        <f>+L982*TARIFAS!$K$2</f>
        <v>0</v>
      </c>
      <c r="O982" s="45">
        <f t="shared" si="1"/>
        <v>0</v>
      </c>
      <c r="P982" s="45">
        <f>+M982+O982+K982+(+I982-(I982*TARIFAS!$K$2))</f>
        <v>0</v>
      </c>
      <c r="Q982" s="42" t="str">
        <f>CONFERENCIAS!T982</f>
        <v/>
      </c>
      <c r="R982" s="45" t="str">
        <f>CONFERENCIAS!U982</f>
        <v/>
      </c>
      <c r="S982" s="45" t="str">
        <f>CONFERENCIAS!W982</f>
        <v/>
      </c>
      <c r="T982" s="48">
        <f>IF(Q982="",0,
   IF(E982=1,
      IF(H982="Presencial",
         VLOOKUP(D982,TARIFAS!A:K,3,FALSE) + IF(I982="Sí",VLOOKUP(D982,TARIFAS!A:K,5,FALSE),0),
         VLOOKUP(D982,TARIFAS!A:K,4,FALSE) + IF(I982="Sí",VLOOKUP(D982,TARIFAS!A:K,5,FALSE),0)
      ),
      IF(H982="Presencial",
         VLOOKUP(D982,TARIFAS!A:K,9,FALSE) + IF(I982="Sí",VLOOKUP(D982,TARIFAS!A:K,11,FALSE),0),
         VLOOKUP(D982,TARIFAS!A:K,10,FALSE) + IF(I982="Sí",VLOOKUP(D982,TARIFAS!A:K,11,FALSE),0)
      )
   )
)
</f>
        <v>0</v>
      </c>
      <c r="U982" s="45">
        <f>IF(R982="",0,MAX(0,R982 - TARIFAS!G$2) * TARIFAS!F$2)
</f>
        <v>0</v>
      </c>
      <c r="V982" s="45">
        <f>+T982*TARIFAS!$K$2</f>
        <v>0</v>
      </c>
      <c r="W982" s="45">
        <f t="shared" si="2"/>
        <v>0</v>
      </c>
      <c r="X982" s="45">
        <f t="shared" si="3"/>
        <v>0</v>
      </c>
      <c r="Y982" s="45">
        <f t="shared" si="4"/>
        <v>0</v>
      </c>
      <c r="Z982" s="42" t="str">
        <f>CONFERENCIAS!AB982</f>
        <v/>
      </c>
      <c r="AA982" s="42" t="str">
        <f>CONFERENCIAS!AC982</f>
        <v/>
      </c>
      <c r="AB982" s="47" t="str">
        <f t="shared" si="5"/>
        <v/>
      </c>
      <c r="AC982" s="9" t="str">
        <f t="shared" si="6"/>
        <v/>
      </c>
    </row>
    <row r="983">
      <c r="A983" s="42" t="str">
        <f>CONFERENCIAS!A983</f>
        <v/>
      </c>
      <c r="D983" s="42" t="str">
        <f>CONFERENCIAS!C983</f>
        <v/>
      </c>
      <c r="E983" s="42" t="str">
        <f>CONFERENCIAS!K983</f>
        <v/>
      </c>
      <c r="F983" s="49" t="str">
        <f>CONFERENCIAS!J983</f>
        <v/>
      </c>
      <c r="G983" s="42" t="str">
        <f>CONFERENCIAS!O983</f>
        <v/>
      </c>
      <c r="H983" s="42" t="str">
        <f>CONFERENCIAS!X983</f>
        <v/>
      </c>
      <c r="I983" s="42" t="str">
        <f>CONFERENCIAS!AA983</f>
        <v/>
      </c>
      <c r="J983" s="44" t="str">
        <f>CONFERENCIAS!P983</f>
        <v/>
      </c>
      <c r="K983" s="45" t="str">
        <f>CONFERENCIAS!R983</f>
        <v/>
      </c>
      <c r="L983" s="45">
        <f>IF(D983="",0,
 IF(E983=1,
   IF(H983="Presencial",
      VLOOKUP(D983,TARIFAS!A:K,3,FALSE) + IF(I983="Sí",VLOOKUP(D983,TARIFAS!A:K,5,FALSE),0),
      VLOOKUP(D983,TARIFAS!A:K,4,FALSE) + IF(I983="Sí",VLOOKUP(D983,TARIFAS!A:K,5,FALSE),0)
   ),
   IF(H983="Presencial",
      VLOOKUP(D983,TARIFAS!A:K,9,FALSE) + IF(I983="Sí",VLOOKUP(D983,TARIFAS!A:K,11,FALSE),0),
      VLOOKUP(D983,TARIFAS!A:K,10,FALSE) + IF(I983="Sí",VLOOKUP(D983,TARIFAS!A:K,11,FALSE),0)
   )
 )
)
</f>
        <v>0</v>
      </c>
      <c r="M983" s="45">
        <f>IF(J983="",0,MAX(0,J983 - TARIFAS!G$2) * TARIFAS!F$2)
</f>
        <v>0</v>
      </c>
      <c r="N983" s="45">
        <f>+L983*TARIFAS!$K$2</f>
        <v>0</v>
      </c>
      <c r="O983" s="45">
        <f t="shared" si="1"/>
        <v>0</v>
      </c>
      <c r="P983" s="45">
        <f>+M983+O983+K983+(+I983-(I983*TARIFAS!$K$2))</f>
        <v>0</v>
      </c>
      <c r="Q983" s="42" t="str">
        <f>CONFERENCIAS!T983</f>
        <v/>
      </c>
      <c r="R983" s="45" t="str">
        <f>CONFERENCIAS!U983</f>
        <v/>
      </c>
      <c r="S983" s="45" t="str">
        <f>CONFERENCIAS!W983</f>
        <v/>
      </c>
      <c r="T983" s="48">
        <f>IF(Q983="",0,
   IF(E983=1,
      IF(H983="Presencial",
         VLOOKUP(D983,TARIFAS!A:K,3,FALSE) + IF(I983="Sí",VLOOKUP(D983,TARIFAS!A:K,5,FALSE),0),
         VLOOKUP(D983,TARIFAS!A:K,4,FALSE) + IF(I983="Sí",VLOOKUP(D983,TARIFAS!A:K,5,FALSE),0)
      ),
      IF(H983="Presencial",
         VLOOKUP(D983,TARIFAS!A:K,9,FALSE) + IF(I983="Sí",VLOOKUP(D983,TARIFAS!A:K,11,FALSE),0),
         VLOOKUP(D983,TARIFAS!A:K,10,FALSE) + IF(I983="Sí",VLOOKUP(D983,TARIFAS!A:K,11,FALSE),0)
      )
   )
)
</f>
        <v>0</v>
      </c>
      <c r="U983" s="45">
        <f>IF(R983="",0,MAX(0,R983 - TARIFAS!G$2) * TARIFAS!F$2)
</f>
        <v>0</v>
      </c>
      <c r="V983" s="45">
        <f>+T983*TARIFAS!$K$2</f>
        <v>0</v>
      </c>
      <c r="W983" s="45">
        <f t="shared" si="2"/>
        <v>0</v>
      </c>
      <c r="X983" s="45">
        <f t="shared" si="3"/>
        <v>0</v>
      </c>
      <c r="Y983" s="45">
        <f t="shared" si="4"/>
        <v>0</v>
      </c>
      <c r="Z983" s="42" t="str">
        <f>CONFERENCIAS!AB983</f>
        <v/>
      </c>
      <c r="AA983" s="42" t="str">
        <f>CONFERENCIAS!AC983</f>
        <v/>
      </c>
      <c r="AB983" s="47" t="str">
        <f t="shared" si="5"/>
        <v/>
      </c>
      <c r="AC983" s="9" t="str">
        <f t="shared" si="6"/>
        <v/>
      </c>
    </row>
    <row r="984">
      <c r="A984" s="42" t="str">
        <f>CONFERENCIAS!A984</f>
        <v/>
      </c>
      <c r="D984" s="42" t="str">
        <f>CONFERENCIAS!C984</f>
        <v/>
      </c>
      <c r="E984" s="42" t="str">
        <f>CONFERENCIAS!K984</f>
        <v/>
      </c>
      <c r="F984" s="49" t="str">
        <f>CONFERENCIAS!J984</f>
        <v/>
      </c>
      <c r="G984" s="42" t="str">
        <f>CONFERENCIAS!O984</f>
        <v/>
      </c>
      <c r="H984" s="42" t="str">
        <f>CONFERENCIAS!X984</f>
        <v/>
      </c>
      <c r="I984" s="42" t="str">
        <f>CONFERENCIAS!AA984</f>
        <v/>
      </c>
      <c r="J984" s="44" t="str">
        <f>CONFERENCIAS!P984</f>
        <v/>
      </c>
      <c r="K984" s="45" t="str">
        <f>CONFERENCIAS!R984</f>
        <v/>
      </c>
      <c r="L984" s="45">
        <f>IF(D984="",0,
 IF(E984=1,
   IF(H984="Presencial",
      VLOOKUP(D984,TARIFAS!A:K,3,FALSE) + IF(I984="Sí",VLOOKUP(D984,TARIFAS!A:K,5,FALSE),0),
      VLOOKUP(D984,TARIFAS!A:K,4,FALSE) + IF(I984="Sí",VLOOKUP(D984,TARIFAS!A:K,5,FALSE),0)
   ),
   IF(H984="Presencial",
      VLOOKUP(D984,TARIFAS!A:K,9,FALSE) + IF(I984="Sí",VLOOKUP(D984,TARIFAS!A:K,11,FALSE),0),
      VLOOKUP(D984,TARIFAS!A:K,10,FALSE) + IF(I984="Sí",VLOOKUP(D984,TARIFAS!A:K,11,FALSE),0)
   )
 )
)
</f>
        <v>0</v>
      </c>
      <c r="M984" s="45">
        <f>IF(J984="",0,MAX(0,J984 - TARIFAS!G$2) * TARIFAS!F$2)
</f>
        <v>0</v>
      </c>
      <c r="N984" s="45">
        <f>+L984*TARIFAS!$K$2</f>
        <v>0</v>
      </c>
      <c r="O984" s="45">
        <f t="shared" si="1"/>
        <v>0</v>
      </c>
      <c r="P984" s="45">
        <f>+M984+O984+K984+(+I984-(I984*TARIFAS!$K$2))</f>
        <v>0</v>
      </c>
      <c r="Q984" s="42" t="str">
        <f>CONFERENCIAS!T984</f>
        <v/>
      </c>
      <c r="R984" s="45" t="str">
        <f>CONFERENCIAS!U984</f>
        <v/>
      </c>
      <c r="S984" s="45" t="str">
        <f>CONFERENCIAS!W984</f>
        <v/>
      </c>
      <c r="T984" s="48">
        <f>IF(Q984="",0,
   IF(E984=1,
      IF(H984="Presencial",
         VLOOKUP(D984,TARIFAS!A:K,3,FALSE) + IF(I984="Sí",VLOOKUP(D984,TARIFAS!A:K,5,FALSE),0),
         VLOOKUP(D984,TARIFAS!A:K,4,FALSE) + IF(I984="Sí",VLOOKUP(D984,TARIFAS!A:K,5,FALSE),0)
      ),
      IF(H984="Presencial",
         VLOOKUP(D984,TARIFAS!A:K,9,FALSE) + IF(I984="Sí",VLOOKUP(D984,TARIFAS!A:K,11,FALSE),0),
         VLOOKUP(D984,TARIFAS!A:K,10,FALSE) + IF(I984="Sí",VLOOKUP(D984,TARIFAS!A:K,11,FALSE),0)
      )
   )
)
</f>
        <v>0</v>
      </c>
      <c r="U984" s="45">
        <f>IF(R984="",0,MAX(0,R984 - TARIFAS!G$2) * TARIFAS!F$2)
</f>
        <v>0</v>
      </c>
      <c r="V984" s="45">
        <f>+T984*TARIFAS!$K$2</f>
        <v>0</v>
      </c>
      <c r="W984" s="45">
        <f t="shared" si="2"/>
        <v>0</v>
      </c>
      <c r="X984" s="45">
        <f t="shared" si="3"/>
        <v>0</v>
      </c>
      <c r="Y984" s="45">
        <f t="shared" si="4"/>
        <v>0</v>
      </c>
      <c r="Z984" s="42" t="str">
        <f>CONFERENCIAS!AB984</f>
        <v/>
      </c>
      <c r="AA984" s="42" t="str">
        <f>CONFERENCIAS!AC984</f>
        <v/>
      </c>
      <c r="AB984" s="47" t="str">
        <f t="shared" si="5"/>
        <v/>
      </c>
      <c r="AC984" s="9" t="str">
        <f t="shared" si="6"/>
        <v/>
      </c>
    </row>
    <row r="985">
      <c r="A985" s="42" t="str">
        <f>CONFERENCIAS!A985</f>
        <v/>
      </c>
      <c r="D985" s="42" t="str">
        <f>CONFERENCIAS!C985</f>
        <v/>
      </c>
      <c r="E985" s="42" t="str">
        <f>CONFERENCIAS!K985</f>
        <v/>
      </c>
      <c r="F985" s="49" t="str">
        <f>CONFERENCIAS!J985</f>
        <v/>
      </c>
      <c r="G985" s="42" t="str">
        <f>CONFERENCIAS!O985</f>
        <v/>
      </c>
      <c r="H985" s="42" t="str">
        <f>CONFERENCIAS!X985</f>
        <v/>
      </c>
      <c r="I985" s="42" t="str">
        <f>CONFERENCIAS!AA985</f>
        <v/>
      </c>
      <c r="J985" s="44" t="str">
        <f>CONFERENCIAS!P985</f>
        <v/>
      </c>
      <c r="K985" s="45" t="str">
        <f>CONFERENCIAS!R985</f>
        <v/>
      </c>
      <c r="L985" s="45">
        <f>IF(D985="",0,
 IF(E985=1,
   IF(H985="Presencial",
      VLOOKUP(D985,TARIFAS!A:K,3,FALSE) + IF(I985="Sí",VLOOKUP(D985,TARIFAS!A:K,5,FALSE),0),
      VLOOKUP(D985,TARIFAS!A:K,4,FALSE) + IF(I985="Sí",VLOOKUP(D985,TARIFAS!A:K,5,FALSE),0)
   ),
   IF(H985="Presencial",
      VLOOKUP(D985,TARIFAS!A:K,9,FALSE) + IF(I985="Sí",VLOOKUP(D985,TARIFAS!A:K,11,FALSE),0),
      VLOOKUP(D985,TARIFAS!A:K,10,FALSE) + IF(I985="Sí",VLOOKUP(D985,TARIFAS!A:K,11,FALSE),0)
   )
 )
)
</f>
        <v>0</v>
      </c>
      <c r="M985" s="45">
        <f>IF(J985="",0,MAX(0,J985 - TARIFAS!G$2) * TARIFAS!F$2)
</f>
        <v>0</v>
      </c>
      <c r="N985" s="45">
        <f>+L985*TARIFAS!$K$2</f>
        <v>0</v>
      </c>
      <c r="O985" s="45">
        <f t="shared" si="1"/>
        <v>0</v>
      </c>
      <c r="P985" s="45">
        <f>+M985+O985+K985+(+I985-(I985*TARIFAS!$K$2))</f>
        <v>0</v>
      </c>
      <c r="Q985" s="42" t="str">
        <f>CONFERENCIAS!T985</f>
        <v/>
      </c>
      <c r="R985" s="45" t="str">
        <f>CONFERENCIAS!U985</f>
        <v/>
      </c>
      <c r="S985" s="45" t="str">
        <f>CONFERENCIAS!W985</f>
        <v/>
      </c>
      <c r="T985" s="48">
        <f>IF(Q985="",0,
   IF(E985=1,
      IF(H985="Presencial",
         VLOOKUP(D985,TARIFAS!A:K,3,FALSE) + IF(I985="Sí",VLOOKUP(D985,TARIFAS!A:K,5,FALSE),0),
         VLOOKUP(D985,TARIFAS!A:K,4,FALSE) + IF(I985="Sí",VLOOKUP(D985,TARIFAS!A:K,5,FALSE),0)
      ),
      IF(H985="Presencial",
         VLOOKUP(D985,TARIFAS!A:K,9,FALSE) + IF(I985="Sí",VLOOKUP(D985,TARIFAS!A:K,11,FALSE),0),
         VLOOKUP(D985,TARIFAS!A:K,10,FALSE) + IF(I985="Sí",VLOOKUP(D985,TARIFAS!A:K,11,FALSE),0)
      )
   )
)
</f>
        <v>0</v>
      </c>
      <c r="U985" s="45">
        <f>IF(R985="",0,MAX(0,R985 - TARIFAS!G$2) * TARIFAS!F$2)
</f>
        <v>0</v>
      </c>
      <c r="V985" s="45">
        <f>+T985*TARIFAS!$K$2</f>
        <v>0</v>
      </c>
      <c r="W985" s="45">
        <f t="shared" si="2"/>
        <v>0</v>
      </c>
      <c r="X985" s="45">
        <f t="shared" si="3"/>
        <v>0</v>
      </c>
      <c r="Y985" s="45">
        <f t="shared" si="4"/>
        <v>0</v>
      </c>
      <c r="Z985" s="42" t="str">
        <f>CONFERENCIAS!AB985</f>
        <v/>
      </c>
      <c r="AA985" s="42" t="str">
        <f>CONFERENCIAS!AC985</f>
        <v/>
      </c>
      <c r="AB985" s="47" t="str">
        <f t="shared" si="5"/>
        <v/>
      </c>
      <c r="AC985" s="9" t="str">
        <f t="shared" si="6"/>
        <v/>
      </c>
    </row>
    <row r="986">
      <c r="A986" s="42" t="str">
        <f>CONFERENCIAS!A986</f>
        <v/>
      </c>
      <c r="D986" s="42" t="str">
        <f>CONFERENCIAS!C986</f>
        <v/>
      </c>
      <c r="E986" s="42" t="str">
        <f>CONFERENCIAS!K986</f>
        <v/>
      </c>
      <c r="F986" s="49" t="str">
        <f>CONFERENCIAS!J986</f>
        <v/>
      </c>
      <c r="G986" s="42" t="str">
        <f>CONFERENCIAS!O986</f>
        <v/>
      </c>
      <c r="H986" s="42" t="str">
        <f>CONFERENCIAS!X986</f>
        <v/>
      </c>
      <c r="I986" s="42" t="str">
        <f>CONFERENCIAS!AA986</f>
        <v/>
      </c>
      <c r="J986" s="44" t="str">
        <f>CONFERENCIAS!P986</f>
        <v/>
      </c>
      <c r="K986" s="45" t="str">
        <f>CONFERENCIAS!R986</f>
        <v/>
      </c>
      <c r="L986" s="45">
        <f>IF(D986="",0,
 IF(E986=1,
   IF(H986="Presencial",
      VLOOKUP(D986,TARIFAS!A:K,3,FALSE) + IF(I986="Sí",VLOOKUP(D986,TARIFAS!A:K,5,FALSE),0),
      VLOOKUP(D986,TARIFAS!A:K,4,FALSE) + IF(I986="Sí",VLOOKUP(D986,TARIFAS!A:K,5,FALSE),0)
   ),
   IF(H986="Presencial",
      VLOOKUP(D986,TARIFAS!A:K,9,FALSE) + IF(I986="Sí",VLOOKUP(D986,TARIFAS!A:K,11,FALSE),0),
      VLOOKUP(D986,TARIFAS!A:K,10,FALSE) + IF(I986="Sí",VLOOKUP(D986,TARIFAS!A:K,11,FALSE),0)
   )
 )
)
</f>
        <v>0</v>
      </c>
      <c r="M986" s="45">
        <f>IF(J986="",0,MAX(0,J986 - TARIFAS!G$2) * TARIFAS!F$2)
</f>
        <v>0</v>
      </c>
      <c r="N986" s="45">
        <f>+L986*TARIFAS!$K$2</f>
        <v>0</v>
      </c>
      <c r="O986" s="45">
        <f t="shared" si="1"/>
        <v>0</v>
      </c>
      <c r="P986" s="45">
        <f>+M986+O986+K986+(+I986-(I986*TARIFAS!$K$2))</f>
        <v>0</v>
      </c>
      <c r="Q986" s="42" t="str">
        <f>CONFERENCIAS!T986</f>
        <v/>
      </c>
      <c r="R986" s="45" t="str">
        <f>CONFERENCIAS!U986</f>
        <v/>
      </c>
      <c r="S986" s="45" t="str">
        <f>CONFERENCIAS!W986</f>
        <v/>
      </c>
      <c r="T986" s="48">
        <f>IF(Q986="",0,
   IF(E986=1,
      IF(H986="Presencial",
         VLOOKUP(D986,TARIFAS!A:K,3,FALSE) + IF(I986="Sí",VLOOKUP(D986,TARIFAS!A:K,5,FALSE),0),
         VLOOKUP(D986,TARIFAS!A:K,4,FALSE) + IF(I986="Sí",VLOOKUP(D986,TARIFAS!A:K,5,FALSE),0)
      ),
      IF(H986="Presencial",
         VLOOKUP(D986,TARIFAS!A:K,9,FALSE) + IF(I986="Sí",VLOOKUP(D986,TARIFAS!A:K,11,FALSE),0),
         VLOOKUP(D986,TARIFAS!A:K,10,FALSE) + IF(I986="Sí",VLOOKUP(D986,TARIFAS!A:K,11,FALSE),0)
      )
   )
)
</f>
        <v>0</v>
      </c>
      <c r="U986" s="45">
        <f>IF(R986="",0,MAX(0,R986 - TARIFAS!G$2) * TARIFAS!F$2)
</f>
        <v>0</v>
      </c>
      <c r="V986" s="45">
        <f>+T986*TARIFAS!$K$2</f>
        <v>0</v>
      </c>
      <c r="W986" s="45">
        <f t="shared" si="2"/>
        <v>0</v>
      </c>
      <c r="X986" s="45">
        <f t="shared" si="3"/>
        <v>0</v>
      </c>
      <c r="Y986" s="45">
        <f t="shared" si="4"/>
        <v>0</v>
      </c>
      <c r="Z986" s="42" t="str">
        <f>CONFERENCIAS!AB986</f>
        <v/>
      </c>
      <c r="AA986" s="42" t="str">
        <f>CONFERENCIAS!AC986</f>
        <v/>
      </c>
      <c r="AB986" s="47" t="str">
        <f t="shared" si="5"/>
        <v/>
      </c>
      <c r="AC986" s="9" t="str">
        <f t="shared" si="6"/>
        <v/>
      </c>
    </row>
    <row r="987">
      <c r="A987" s="42" t="str">
        <f>CONFERENCIAS!A987</f>
        <v/>
      </c>
      <c r="D987" s="42" t="str">
        <f>CONFERENCIAS!C987</f>
        <v/>
      </c>
      <c r="E987" s="42" t="str">
        <f>CONFERENCIAS!K987</f>
        <v/>
      </c>
      <c r="F987" s="49" t="str">
        <f>CONFERENCIAS!J987</f>
        <v/>
      </c>
      <c r="G987" s="42" t="str">
        <f>CONFERENCIAS!O987</f>
        <v/>
      </c>
      <c r="H987" s="42" t="str">
        <f>CONFERENCIAS!X987</f>
        <v/>
      </c>
      <c r="I987" s="42" t="str">
        <f>CONFERENCIAS!AA987</f>
        <v/>
      </c>
      <c r="J987" s="44" t="str">
        <f>CONFERENCIAS!P987</f>
        <v/>
      </c>
      <c r="K987" s="45" t="str">
        <f>CONFERENCIAS!R987</f>
        <v/>
      </c>
      <c r="L987" s="45">
        <f>IF(D987="",0,
 IF(E987=1,
   IF(H987="Presencial",
      VLOOKUP(D987,TARIFAS!A:K,3,FALSE) + IF(I987="Sí",VLOOKUP(D987,TARIFAS!A:K,5,FALSE),0),
      VLOOKUP(D987,TARIFAS!A:K,4,FALSE) + IF(I987="Sí",VLOOKUP(D987,TARIFAS!A:K,5,FALSE),0)
   ),
   IF(H987="Presencial",
      VLOOKUP(D987,TARIFAS!A:K,9,FALSE) + IF(I987="Sí",VLOOKUP(D987,TARIFAS!A:K,11,FALSE),0),
      VLOOKUP(D987,TARIFAS!A:K,10,FALSE) + IF(I987="Sí",VLOOKUP(D987,TARIFAS!A:K,11,FALSE),0)
   )
 )
)
</f>
        <v>0</v>
      </c>
      <c r="M987" s="45">
        <f>IF(J987="",0,MAX(0,J987 - TARIFAS!G$2) * TARIFAS!F$2)
</f>
        <v>0</v>
      </c>
      <c r="N987" s="45">
        <f>+L987*TARIFAS!$K$2</f>
        <v>0</v>
      </c>
      <c r="O987" s="45">
        <f t="shared" si="1"/>
        <v>0</v>
      </c>
      <c r="P987" s="45">
        <f>+M987+O987+K987+(+I987-(I987*TARIFAS!$K$2))</f>
        <v>0</v>
      </c>
      <c r="Q987" s="42" t="str">
        <f>CONFERENCIAS!T987</f>
        <v/>
      </c>
      <c r="R987" s="45" t="str">
        <f>CONFERENCIAS!U987</f>
        <v/>
      </c>
      <c r="S987" s="45" t="str">
        <f>CONFERENCIAS!W987</f>
        <v/>
      </c>
      <c r="T987" s="48">
        <f>IF(Q987="",0,
   IF(E987=1,
      IF(H987="Presencial",
         VLOOKUP(D987,TARIFAS!A:K,3,FALSE) + IF(I987="Sí",VLOOKUP(D987,TARIFAS!A:K,5,FALSE),0),
         VLOOKUP(D987,TARIFAS!A:K,4,FALSE) + IF(I987="Sí",VLOOKUP(D987,TARIFAS!A:K,5,FALSE),0)
      ),
      IF(H987="Presencial",
         VLOOKUP(D987,TARIFAS!A:K,9,FALSE) + IF(I987="Sí",VLOOKUP(D987,TARIFAS!A:K,11,FALSE),0),
         VLOOKUP(D987,TARIFAS!A:K,10,FALSE) + IF(I987="Sí",VLOOKUP(D987,TARIFAS!A:K,11,FALSE),0)
      )
   )
)
</f>
        <v>0</v>
      </c>
      <c r="U987" s="45">
        <f>IF(R987="",0,MAX(0,R987 - TARIFAS!G$2) * TARIFAS!F$2)
</f>
        <v>0</v>
      </c>
      <c r="V987" s="45">
        <f>+T987*TARIFAS!$K$2</f>
        <v>0</v>
      </c>
      <c r="W987" s="45">
        <f t="shared" si="2"/>
        <v>0</v>
      </c>
      <c r="X987" s="45">
        <f t="shared" si="3"/>
        <v>0</v>
      </c>
      <c r="Y987" s="45">
        <f t="shared" si="4"/>
        <v>0</v>
      </c>
      <c r="Z987" s="42" t="str">
        <f>CONFERENCIAS!AB987</f>
        <v/>
      </c>
      <c r="AA987" s="42" t="str">
        <f>CONFERENCIAS!AC987</f>
        <v/>
      </c>
      <c r="AB987" s="47" t="str">
        <f t="shared" si="5"/>
        <v/>
      </c>
      <c r="AC987" s="9" t="str">
        <f t="shared" si="6"/>
        <v/>
      </c>
    </row>
    <row r="988">
      <c r="A988" s="42" t="str">
        <f>CONFERENCIAS!A988</f>
        <v/>
      </c>
      <c r="D988" s="42" t="str">
        <f>CONFERENCIAS!C988</f>
        <v/>
      </c>
      <c r="E988" s="42" t="str">
        <f>CONFERENCIAS!K988</f>
        <v/>
      </c>
      <c r="F988" s="49" t="str">
        <f>CONFERENCIAS!J988</f>
        <v/>
      </c>
      <c r="G988" s="42" t="str">
        <f>CONFERENCIAS!O988</f>
        <v/>
      </c>
      <c r="H988" s="42" t="str">
        <f>CONFERENCIAS!X988</f>
        <v/>
      </c>
      <c r="I988" s="42" t="str">
        <f>CONFERENCIAS!AA988</f>
        <v/>
      </c>
      <c r="J988" s="44" t="str">
        <f>CONFERENCIAS!P988</f>
        <v/>
      </c>
      <c r="K988" s="45" t="str">
        <f>CONFERENCIAS!R988</f>
        <v/>
      </c>
      <c r="L988" s="45">
        <f>IF(D988="",0,
 IF(E988=1,
   IF(H988="Presencial",
      VLOOKUP(D988,TARIFAS!A:K,3,FALSE) + IF(I988="Sí",VLOOKUP(D988,TARIFAS!A:K,5,FALSE),0),
      VLOOKUP(D988,TARIFAS!A:K,4,FALSE) + IF(I988="Sí",VLOOKUP(D988,TARIFAS!A:K,5,FALSE),0)
   ),
   IF(H988="Presencial",
      VLOOKUP(D988,TARIFAS!A:K,9,FALSE) + IF(I988="Sí",VLOOKUP(D988,TARIFAS!A:K,11,FALSE),0),
      VLOOKUP(D988,TARIFAS!A:K,10,FALSE) + IF(I988="Sí",VLOOKUP(D988,TARIFAS!A:K,11,FALSE),0)
   )
 )
)
</f>
        <v>0</v>
      </c>
      <c r="M988" s="45">
        <f>IF(J988="",0,MAX(0,J988 - TARIFAS!G$2) * TARIFAS!F$2)
</f>
        <v>0</v>
      </c>
      <c r="N988" s="45">
        <f>+L988*TARIFAS!$K$2</f>
        <v>0</v>
      </c>
      <c r="O988" s="45">
        <f t="shared" si="1"/>
        <v>0</v>
      </c>
      <c r="P988" s="45">
        <f>+M988+O988+K988+(+I988-(I988*TARIFAS!$K$2))</f>
        <v>0</v>
      </c>
      <c r="Q988" s="42" t="str">
        <f>CONFERENCIAS!T988</f>
        <v/>
      </c>
      <c r="R988" s="45" t="str">
        <f>CONFERENCIAS!U988</f>
        <v/>
      </c>
      <c r="S988" s="45" t="str">
        <f>CONFERENCIAS!W988</f>
        <v/>
      </c>
      <c r="T988" s="48">
        <f>IF(Q988="",0,
   IF(E988=1,
      IF(H988="Presencial",
         VLOOKUP(D988,TARIFAS!A:K,3,FALSE) + IF(I988="Sí",VLOOKUP(D988,TARIFAS!A:K,5,FALSE),0),
         VLOOKUP(D988,TARIFAS!A:K,4,FALSE) + IF(I988="Sí",VLOOKUP(D988,TARIFAS!A:K,5,FALSE),0)
      ),
      IF(H988="Presencial",
         VLOOKUP(D988,TARIFAS!A:K,9,FALSE) + IF(I988="Sí",VLOOKUP(D988,TARIFAS!A:K,11,FALSE),0),
         VLOOKUP(D988,TARIFAS!A:K,10,FALSE) + IF(I988="Sí",VLOOKUP(D988,TARIFAS!A:K,11,FALSE),0)
      )
   )
)
</f>
        <v>0</v>
      </c>
      <c r="U988" s="45">
        <f>IF(R988="",0,MAX(0,R988 - TARIFAS!G$2) * TARIFAS!F$2)
</f>
        <v>0</v>
      </c>
      <c r="V988" s="45">
        <f>+T988*TARIFAS!$K$2</f>
        <v>0</v>
      </c>
      <c r="W988" s="45">
        <f t="shared" si="2"/>
        <v>0</v>
      </c>
      <c r="X988" s="45">
        <f t="shared" si="3"/>
        <v>0</v>
      </c>
      <c r="Y988" s="45">
        <f t="shared" si="4"/>
        <v>0</v>
      </c>
      <c r="Z988" s="42" t="str">
        <f>CONFERENCIAS!AB988</f>
        <v/>
      </c>
      <c r="AA988" s="42" t="str">
        <f>CONFERENCIAS!AC988</f>
        <v/>
      </c>
      <c r="AB988" s="47" t="str">
        <f t="shared" si="5"/>
        <v/>
      </c>
      <c r="AC988" s="9" t="str">
        <f t="shared" si="6"/>
        <v/>
      </c>
    </row>
    <row r="989">
      <c r="A989" s="42" t="str">
        <f>CONFERENCIAS!A989</f>
        <v/>
      </c>
      <c r="D989" s="42" t="str">
        <f>CONFERENCIAS!C989</f>
        <v/>
      </c>
      <c r="E989" s="42" t="str">
        <f>CONFERENCIAS!K989</f>
        <v/>
      </c>
      <c r="F989" s="49" t="str">
        <f>CONFERENCIAS!J989</f>
        <v/>
      </c>
      <c r="G989" s="42" t="str">
        <f>CONFERENCIAS!O989</f>
        <v/>
      </c>
      <c r="H989" s="42" t="str">
        <f>CONFERENCIAS!X989</f>
        <v/>
      </c>
      <c r="I989" s="42" t="str">
        <f>CONFERENCIAS!AA989</f>
        <v/>
      </c>
      <c r="J989" s="44" t="str">
        <f>CONFERENCIAS!P989</f>
        <v/>
      </c>
      <c r="K989" s="45" t="str">
        <f>CONFERENCIAS!R989</f>
        <v/>
      </c>
      <c r="L989" s="45">
        <f>IF(D989="",0,
 IF(E989=1,
   IF(H989="Presencial",
      VLOOKUP(D989,TARIFAS!A:K,3,FALSE) + IF(I989="Sí",VLOOKUP(D989,TARIFAS!A:K,5,FALSE),0),
      VLOOKUP(D989,TARIFAS!A:K,4,FALSE) + IF(I989="Sí",VLOOKUP(D989,TARIFAS!A:K,5,FALSE),0)
   ),
   IF(H989="Presencial",
      VLOOKUP(D989,TARIFAS!A:K,9,FALSE) + IF(I989="Sí",VLOOKUP(D989,TARIFAS!A:K,11,FALSE),0),
      VLOOKUP(D989,TARIFAS!A:K,10,FALSE) + IF(I989="Sí",VLOOKUP(D989,TARIFAS!A:K,11,FALSE),0)
   )
 )
)
</f>
        <v>0</v>
      </c>
      <c r="M989" s="45">
        <f>IF(J989="",0,MAX(0,J989 - TARIFAS!G$2) * TARIFAS!F$2)
</f>
        <v>0</v>
      </c>
      <c r="N989" s="45">
        <f>+L989*TARIFAS!$K$2</f>
        <v>0</v>
      </c>
      <c r="O989" s="45">
        <f t="shared" si="1"/>
        <v>0</v>
      </c>
      <c r="P989" s="45">
        <f>+M989+O989+K989+(+I989-(I989*TARIFAS!$K$2))</f>
        <v>0</v>
      </c>
      <c r="Q989" s="42" t="str">
        <f>CONFERENCIAS!T989</f>
        <v/>
      </c>
      <c r="R989" s="45" t="str">
        <f>CONFERENCIAS!U989</f>
        <v/>
      </c>
      <c r="S989" s="45" t="str">
        <f>CONFERENCIAS!W989</f>
        <v/>
      </c>
      <c r="T989" s="48">
        <f>IF(Q989="",0,
   IF(E989=1,
      IF(H989="Presencial",
         VLOOKUP(D989,TARIFAS!A:K,3,FALSE) + IF(I989="Sí",VLOOKUP(D989,TARIFAS!A:K,5,FALSE),0),
         VLOOKUP(D989,TARIFAS!A:K,4,FALSE) + IF(I989="Sí",VLOOKUP(D989,TARIFAS!A:K,5,FALSE),0)
      ),
      IF(H989="Presencial",
         VLOOKUP(D989,TARIFAS!A:K,9,FALSE) + IF(I989="Sí",VLOOKUP(D989,TARIFAS!A:K,11,FALSE),0),
         VLOOKUP(D989,TARIFAS!A:K,10,FALSE) + IF(I989="Sí",VLOOKUP(D989,TARIFAS!A:K,11,FALSE),0)
      )
   )
)
</f>
        <v>0</v>
      </c>
      <c r="U989" s="45">
        <f>IF(R989="",0,MAX(0,R989 - TARIFAS!G$2) * TARIFAS!F$2)
</f>
        <v>0</v>
      </c>
      <c r="V989" s="45">
        <f>+T989*TARIFAS!$K$2</f>
        <v>0</v>
      </c>
      <c r="W989" s="45">
        <f t="shared" si="2"/>
        <v>0</v>
      </c>
      <c r="X989" s="45">
        <f t="shared" si="3"/>
        <v>0</v>
      </c>
      <c r="Y989" s="45">
        <f t="shared" si="4"/>
        <v>0</v>
      </c>
      <c r="Z989" s="42" t="str">
        <f>CONFERENCIAS!AB989</f>
        <v/>
      </c>
      <c r="AA989" s="42" t="str">
        <f>CONFERENCIAS!AC989</f>
        <v/>
      </c>
      <c r="AB989" s="47" t="str">
        <f t="shared" si="5"/>
        <v/>
      </c>
      <c r="AC989" s="9" t="str">
        <f t="shared" si="6"/>
        <v/>
      </c>
    </row>
    <row r="990">
      <c r="A990" s="42" t="str">
        <f>CONFERENCIAS!A990</f>
        <v/>
      </c>
      <c r="D990" s="42" t="str">
        <f>CONFERENCIAS!C990</f>
        <v/>
      </c>
      <c r="E990" s="42" t="str">
        <f>CONFERENCIAS!K990</f>
        <v/>
      </c>
      <c r="F990" s="49" t="str">
        <f>CONFERENCIAS!J990</f>
        <v/>
      </c>
      <c r="G990" s="42" t="str">
        <f>CONFERENCIAS!O990</f>
        <v/>
      </c>
      <c r="H990" s="42" t="str">
        <f>CONFERENCIAS!X990</f>
        <v/>
      </c>
      <c r="I990" s="42" t="str">
        <f>CONFERENCIAS!AA990</f>
        <v/>
      </c>
      <c r="J990" s="44" t="str">
        <f>CONFERENCIAS!P990</f>
        <v/>
      </c>
      <c r="K990" s="45" t="str">
        <f>CONFERENCIAS!R990</f>
        <v/>
      </c>
      <c r="L990" s="45">
        <f>IF(D990="",0,
 IF(E990=1,
   IF(H990="Presencial",
      VLOOKUP(D990,TARIFAS!A:K,3,FALSE) + IF(I990="Sí",VLOOKUP(D990,TARIFAS!A:K,5,FALSE),0),
      VLOOKUP(D990,TARIFAS!A:K,4,FALSE) + IF(I990="Sí",VLOOKUP(D990,TARIFAS!A:K,5,FALSE),0)
   ),
   IF(H990="Presencial",
      VLOOKUP(D990,TARIFAS!A:K,9,FALSE) + IF(I990="Sí",VLOOKUP(D990,TARIFAS!A:K,11,FALSE),0),
      VLOOKUP(D990,TARIFAS!A:K,10,FALSE) + IF(I990="Sí",VLOOKUP(D990,TARIFAS!A:K,11,FALSE),0)
   )
 )
)
</f>
        <v>0</v>
      </c>
      <c r="M990" s="45">
        <f>IF(J990="",0,MAX(0,J990 - TARIFAS!G$2) * TARIFAS!F$2)
</f>
        <v>0</v>
      </c>
      <c r="N990" s="45">
        <f>+L990*TARIFAS!$K$2</f>
        <v>0</v>
      </c>
      <c r="O990" s="45">
        <f t="shared" si="1"/>
        <v>0</v>
      </c>
      <c r="P990" s="45">
        <f>+M990+O990+K990+(+I990-(I990*TARIFAS!$K$2))</f>
        <v>0</v>
      </c>
      <c r="Q990" s="42" t="str">
        <f>CONFERENCIAS!T990</f>
        <v/>
      </c>
      <c r="R990" s="45" t="str">
        <f>CONFERENCIAS!U990</f>
        <v/>
      </c>
      <c r="S990" s="45" t="str">
        <f>CONFERENCIAS!W990</f>
        <v/>
      </c>
      <c r="T990" s="48">
        <f>IF(Q990="",0,
   IF(E990=1,
      IF(H990="Presencial",
         VLOOKUP(D990,TARIFAS!A:K,3,FALSE) + IF(I990="Sí",VLOOKUP(D990,TARIFAS!A:K,5,FALSE),0),
         VLOOKUP(D990,TARIFAS!A:K,4,FALSE) + IF(I990="Sí",VLOOKUP(D990,TARIFAS!A:K,5,FALSE),0)
      ),
      IF(H990="Presencial",
         VLOOKUP(D990,TARIFAS!A:K,9,FALSE) + IF(I990="Sí",VLOOKUP(D990,TARIFAS!A:K,11,FALSE),0),
         VLOOKUP(D990,TARIFAS!A:K,10,FALSE) + IF(I990="Sí",VLOOKUP(D990,TARIFAS!A:K,11,FALSE),0)
      )
   )
)
</f>
        <v>0</v>
      </c>
      <c r="U990" s="45">
        <f>IF(R990="",0,MAX(0,R990 - TARIFAS!G$2) * TARIFAS!F$2)
</f>
        <v>0</v>
      </c>
      <c r="V990" s="45">
        <f>+T990*TARIFAS!$K$2</f>
        <v>0</v>
      </c>
      <c r="W990" s="45">
        <f t="shared" si="2"/>
        <v>0</v>
      </c>
      <c r="X990" s="45">
        <f t="shared" si="3"/>
        <v>0</v>
      </c>
      <c r="Y990" s="45">
        <f t="shared" si="4"/>
        <v>0</v>
      </c>
      <c r="Z990" s="42" t="str">
        <f>CONFERENCIAS!AB990</f>
        <v/>
      </c>
      <c r="AA990" s="42" t="str">
        <f>CONFERENCIAS!AC990</f>
        <v/>
      </c>
      <c r="AB990" s="47" t="str">
        <f t="shared" si="5"/>
        <v/>
      </c>
      <c r="AC990" s="9" t="str">
        <f t="shared" si="6"/>
        <v/>
      </c>
    </row>
    <row r="991">
      <c r="A991" s="42" t="str">
        <f>CONFERENCIAS!A991</f>
        <v/>
      </c>
      <c r="D991" s="42" t="str">
        <f>CONFERENCIAS!C991</f>
        <v/>
      </c>
      <c r="E991" s="42" t="str">
        <f>CONFERENCIAS!K991</f>
        <v/>
      </c>
      <c r="F991" s="49" t="str">
        <f>CONFERENCIAS!J991</f>
        <v/>
      </c>
      <c r="G991" s="42" t="str">
        <f>CONFERENCIAS!O991</f>
        <v/>
      </c>
      <c r="H991" s="42" t="str">
        <f>CONFERENCIAS!X991</f>
        <v/>
      </c>
      <c r="I991" s="42" t="str">
        <f>CONFERENCIAS!AA991</f>
        <v/>
      </c>
      <c r="J991" s="44" t="str">
        <f>CONFERENCIAS!P991</f>
        <v/>
      </c>
      <c r="K991" s="45" t="str">
        <f>CONFERENCIAS!R991</f>
        <v/>
      </c>
      <c r="L991" s="45">
        <f>IF(D991="",0,
 IF(E991=1,
   IF(H991="Presencial",
      VLOOKUP(D991,TARIFAS!A:K,3,FALSE) + IF(I991="Sí",VLOOKUP(D991,TARIFAS!A:K,5,FALSE),0),
      VLOOKUP(D991,TARIFAS!A:K,4,FALSE) + IF(I991="Sí",VLOOKUP(D991,TARIFAS!A:K,5,FALSE),0)
   ),
   IF(H991="Presencial",
      VLOOKUP(D991,TARIFAS!A:K,9,FALSE) + IF(I991="Sí",VLOOKUP(D991,TARIFAS!A:K,11,FALSE),0),
      VLOOKUP(D991,TARIFAS!A:K,10,FALSE) + IF(I991="Sí",VLOOKUP(D991,TARIFAS!A:K,11,FALSE),0)
   )
 )
)
</f>
        <v>0</v>
      </c>
      <c r="M991" s="45">
        <f>IF(J991="",0,MAX(0,J991 - TARIFAS!G$2) * TARIFAS!F$2)
</f>
        <v>0</v>
      </c>
      <c r="N991" s="45">
        <f>+L991*TARIFAS!$K$2</f>
        <v>0</v>
      </c>
      <c r="O991" s="45">
        <f t="shared" si="1"/>
        <v>0</v>
      </c>
      <c r="P991" s="45">
        <f>+M991+O991+K991+(+I991-(I991*TARIFAS!$K$2))</f>
        <v>0</v>
      </c>
      <c r="Q991" s="42" t="str">
        <f>CONFERENCIAS!T991</f>
        <v/>
      </c>
      <c r="R991" s="45" t="str">
        <f>CONFERENCIAS!U991</f>
        <v/>
      </c>
      <c r="S991" s="45" t="str">
        <f>CONFERENCIAS!W991</f>
        <v/>
      </c>
      <c r="T991" s="48">
        <f>IF(Q991="",0,
   IF(E991=1,
      IF(H991="Presencial",
         VLOOKUP(D991,TARIFAS!A:K,3,FALSE) + IF(I991="Sí",VLOOKUP(D991,TARIFAS!A:K,5,FALSE),0),
         VLOOKUP(D991,TARIFAS!A:K,4,FALSE) + IF(I991="Sí",VLOOKUP(D991,TARIFAS!A:K,5,FALSE),0)
      ),
      IF(H991="Presencial",
         VLOOKUP(D991,TARIFAS!A:K,9,FALSE) + IF(I991="Sí",VLOOKUP(D991,TARIFAS!A:K,11,FALSE),0),
         VLOOKUP(D991,TARIFAS!A:K,10,FALSE) + IF(I991="Sí",VLOOKUP(D991,TARIFAS!A:K,11,FALSE),0)
      )
   )
)
</f>
        <v>0</v>
      </c>
      <c r="U991" s="45">
        <f>IF(R991="",0,MAX(0,R991 - TARIFAS!G$2) * TARIFAS!F$2)
</f>
        <v>0</v>
      </c>
      <c r="V991" s="45">
        <f>+T991*TARIFAS!$K$2</f>
        <v>0</v>
      </c>
      <c r="W991" s="45">
        <f t="shared" si="2"/>
        <v>0</v>
      </c>
      <c r="X991" s="45">
        <f t="shared" si="3"/>
        <v>0</v>
      </c>
      <c r="Y991" s="45">
        <f t="shared" si="4"/>
        <v>0</v>
      </c>
      <c r="Z991" s="42" t="str">
        <f>CONFERENCIAS!AB991</f>
        <v/>
      </c>
      <c r="AA991" s="42" t="str">
        <f>CONFERENCIAS!AC991</f>
        <v/>
      </c>
      <c r="AB991" s="47" t="str">
        <f t="shared" si="5"/>
        <v/>
      </c>
      <c r="AC991" s="9" t="str">
        <f t="shared" si="6"/>
        <v/>
      </c>
    </row>
    <row r="992">
      <c r="A992" s="42" t="str">
        <f>CONFERENCIAS!A992</f>
        <v/>
      </c>
      <c r="D992" s="42" t="str">
        <f>CONFERENCIAS!C992</f>
        <v/>
      </c>
      <c r="E992" s="42" t="str">
        <f>CONFERENCIAS!K992</f>
        <v/>
      </c>
      <c r="F992" s="49" t="str">
        <f>CONFERENCIAS!J992</f>
        <v/>
      </c>
      <c r="G992" s="42" t="str">
        <f>CONFERENCIAS!O992</f>
        <v/>
      </c>
      <c r="H992" s="42" t="str">
        <f>CONFERENCIAS!X992</f>
        <v/>
      </c>
      <c r="I992" s="42" t="str">
        <f>CONFERENCIAS!AA992</f>
        <v/>
      </c>
      <c r="J992" s="44" t="str">
        <f>CONFERENCIAS!P992</f>
        <v/>
      </c>
      <c r="K992" s="45" t="str">
        <f>CONFERENCIAS!R992</f>
        <v/>
      </c>
      <c r="L992" s="45">
        <f>IF(D992="",0,
 IF(E992=1,
   IF(H992="Presencial",
      VLOOKUP(D992,TARIFAS!A:K,3,FALSE) + IF(I992="Sí",VLOOKUP(D992,TARIFAS!A:K,5,FALSE),0),
      VLOOKUP(D992,TARIFAS!A:K,4,FALSE) + IF(I992="Sí",VLOOKUP(D992,TARIFAS!A:K,5,FALSE),0)
   ),
   IF(H992="Presencial",
      VLOOKUP(D992,TARIFAS!A:K,9,FALSE) + IF(I992="Sí",VLOOKUP(D992,TARIFAS!A:K,11,FALSE),0),
      VLOOKUP(D992,TARIFAS!A:K,10,FALSE) + IF(I992="Sí",VLOOKUP(D992,TARIFAS!A:K,11,FALSE),0)
   )
 )
)
</f>
        <v>0</v>
      </c>
      <c r="M992" s="45">
        <f>IF(J992="",0,MAX(0,J992 - TARIFAS!G$2) * TARIFAS!F$2)
</f>
        <v>0</v>
      </c>
      <c r="N992" s="45">
        <f>+L992*TARIFAS!$K$2</f>
        <v>0</v>
      </c>
      <c r="O992" s="45">
        <f t="shared" si="1"/>
        <v>0</v>
      </c>
      <c r="P992" s="45">
        <f>+M992+O992+K992+(+I992-(I992*TARIFAS!$K$2))</f>
        <v>0</v>
      </c>
      <c r="Q992" s="42" t="str">
        <f>CONFERENCIAS!T992</f>
        <v/>
      </c>
      <c r="R992" s="45" t="str">
        <f>CONFERENCIAS!U992</f>
        <v/>
      </c>
      <c r="S992" s="45" t="str">
        <f>CONFERENCIAS!W992</f>
        <v/>
      </c>
      <c r="T992" s="48">
        <f>IF(Q992="",0,
   IF(E992=1,
      IF(H992="Presencial",
         VLOOKUP(D992,TARIFAS!A:K,3,FALSE) + IF(I992="Sí",VLOOKUP(D992,TARIFAS!A:K,5,FALSE),0),
         VLOOKUP(D992,TARIFAS!A:K,4,FALSE) + IF(I992="Sí",VLOOKUP(D992,TARIFAS!A:K,5,FALSE),0)
      ),
      IF(H992="Presencial",
         VLOOKUP(D992,TARIFAS!A:K,9,FALSE) + IF(I992="Sí",VLOOKUP(D992,TARIFAS!A:K,11,FALSE),0),
         VLOOKUP(D992,TARIFAS!A:K,10,FALSE) + IF(I992="Sí",VLOOKUP(D992,TARIFAS!A:K,11,FALSE),0)
      )
   )
)
</f>
        <v>0</v>
      </c>
      <c r="U992" s="45">
        <f>IF(R992="",0,MAX(0,R992 - TARIFAS!G$2) * TARIFAS!F$2)
</f>
        <v>0</v>
      </c>
      <c r="V992" s="45">
        <f>+T992*TARIFAS!$K$2</f>
        <v>0</v>
      </c>
      <c r="W992" s="45">
        <f t="shared" si="2"/>
        <v>0</v>
      </c>
      <c r="X992" s="45">
        <f t="shared" si="3"/>
        <v>0</v>
      </c>
      <c r="Y992" s="45">
        <f t="shared" si="4"/>
        <v>0</v>
      </c>
      <c r="Z992" s="42" t="str">
        <f>CONFERENCIAS!AB992</f>
        <v/>
      </c>
      <c r="AA992" s="42" t="str">
        <f>CONFERENCIAS!AC992</f>
        <v/>
      </c>
      <c r="AB992" s="47" t="str">
        <f t="shared" si="5"/>
        <v/>
      </c>
      <c r="AC992" s="9" t="str">
        <f t="shared" si="6"/>
        <v/>
      </c>
    </row>
    <row r="993">
      <c r="A993" s="42" t="str">
        <f>CONFERENCIAS!A993</f>
        <v/>
      </c>
      <c r="D993" s="42" t="str">
        <f>CONFERENCIAS!C993</f>
        <v/>
      </c>
      <c r="E993" s="42" t="str">
        <f>CONFERENCIAS!K993</f>
        <v/>
      </c>
      <c r="F993" s="49" t="str">
        <f>CONFERENCIAS!J993</f>
        <v/>
      </c>
      <c r="G993" s="42" t="str">
        <f>CONFERENCIAS!O993</f>
        <v/>
      </c>
      <c r="H993" s="42" t="str">
        <f>CONFERENCIAS!X993</f>
        <v/>
      </c>
      <c r="I993" s="42" t="str">
        <f>CONFERENCIAS!AA993</f>
        <v/>
      </c>
      <c r="J993" s="44" t="str">
        <f>CONFERENCIAS!P993</f>
        <v/>
      </c>
      <c r="K993" s="45" t="str">
        <f>CONFERENCIAS!R993</f>
        <v/>
      </c>
      <c r="L993" s="45">
        <f>IF(D993="",0,
 IF(E993=1,
   IF(H993="Presencial",
      VLOOKUP(D993,TARIFAS!A:K,3,FALSE) + IF(I993="Sí",VLOOKUP(D993,TARIFAS!A:K,5,FALSE),0),
      VLOOKUP(D993,TARIFAS!A:K,4,FALSE) + IF(I993="Sí",VLOOKUP(D993,TARIFAS!A:K,5,FALSE),0)
   ),
   IF(H993="Presencial",
      VLOOKUP(D993,TARIFAS!A:K,9,FALSE) + IF(I993="Sí",VLOOKUP(D993,TARIFAS!A:K,11,FALSE),0),
      VLOOKUP(D993,TARIFAS!A:K,10,FALSE) + IF(I993="Sí",VLOOKUP(D993,TARIFAS!A:K,11,FALSE),0)
   )
 )
)
</f>
        <v>0</v>
      </c>
      <c r="M993" s="45">
        <f>IF(J993="",0,MAX(0,J993 - TARIFAS!G$2) * TARIFAS!F$2)
</f>
        <v>0</v>
      </c>
      <c r="N993" s="45">
        <f>+L993*TARIFAS!$K$2</f>
        <v>0</v>
      </c>
      <c r="O993" s="45">
        <f t="shared" si="1"/>
        <v>0</v>
      </c>
      <c r="P993" s="45">
        <f>+M993+O993+K993+(+I993-(I993*TARIFAS!$K$2))</f>
        <v>0</v>
      </c>
      <c r="Q993" s="42" t="str">
        <f>CONFERENCIAS!T993</f>
        <v/>
      </c>
      <c r="R993" s="45" t="str">
        <f>CONFERENCIAS!U993</f>
        <v/>
      </c>
      <c r="S993" s="45" t="str">
        <f>CONFERENCIAS!W993</f>
        <v/>
      </c>
      <c r="T993" s="48">
        <f>IF(Q993="",0,
   IF(E993=1,
      IF(H993="Presencial",
         VLOOKUP(D993,TARIFAS!A:K,3,FALSE) + IF(I993="Sí",VLOOKUP(D993,TARIFAS!A:K,5,FALSE),0),
         VLOOKUP(D993,TARIFAS!A:K,4,FALSE) + IF(I993="Sí",VLOOKUP(D993,TARIFAS!A:K,5,FALSE),0)
      ),
      IF(H993="Presencial",
         VLOOKUP(D993,TARIFAS!A:K,9,FALSE) + IF(I993="Sí",VLOOKUP(D993,TARIFAS!A:K,11,FALSE),0),
         VLOOKUP(D993,TARIFAS!A:K,10,FALSE) + IF(I993="Sí",VLOOKUP(D993,TARIFAS!A:K,11,FALSE),0)
      )
   )
)
</f>
        <v>0</v>
      </c>
      <c r="U993" s="45">
        <f>IF(R993="",0,MAX(0,R993 - TARIFAS!G$2) * TARIFAS!F$2)
</f>
        <v>0</v>
      </c>
      <c r="V993" s="45">
        <f>+T993*TARIFAS!$K$2</f>
        <v>0</v>
      </c>
      <c r="W993" s="45">
        <f t="shared" si="2"/>
        <v>0</v>
      </c>
      <c r="X993" s="45">
        <f t="shared" si="3"/>
        <v>0</v>
      </c>
      <c r="Y993" s="45">
        <f t="shared" si="4"/>
        <v>0</v>
      </c>
      <c r="Z993" s="42" t="str">
        <f>CONFERENCIAS!AB993</f>
        <v/>
      </c>
      <c r="AA993" s="42" t="str">
        <f>CONFERENCIAS!AC993</f>
        <v/>
      </c>
      <c r="AB993" s="47" t="str">
        <f t="shared" si="5"/>
        <v/>
      </c>
      <c r="AC993" s="9" t="str">
        <f t="shared" si="6"/>
        <v/>
      </c>
    </row>
    <row r="994">
      <c r="A994" s="42" t="str">
        <f>CONFERENCIAS!A994</f>
        <v/>
      </c>
      <c r="D994" s="42" t="str">
        <f>CONFERENCIAS!C994</f>
        <v/>
      </c>
      <c r="E994" s="42" t="str">
        <f>CONFERENCIAS!K994</f>
        <v/>
      </c>
      <c r="F994" s="49" t="str">
        <f>CONFERENCIAS!J994</f>
        <v/>
      </c>
      <c r="G994" s="42" t="str">
        <f>CONFERENCIAS!O994</f>
        <v/>
      </c>
      <c r="H994" s="42" t="str">
        <f>CONFERENCIAS!X994</f>
        <v/>
      </c>
      <c r="I994" s="42" t="str">
        <f>CONFERENCIAS!AA994</f>
        <v/>
      </c>
      <c r="J994" s="44" t="str">
        <f>CONFERENCIAS!P994</f>
        <v/>
      </c>
      <c r="K994" s="45" t="str">
        <f>CONFERENCIAS!R994</f>
        <v/>
      </c>
      <c r="L994" s="45">
        <f>IF(D994="",0,
 IF(E994=1,
   IF(H994="Presencial",
      VLOOKUP(D994,TARIFAS!A:K,3,FALSE) + IF(I994="Sí",VLOOKUP(D994,TARIFAS!A:K,5,FALSE),0),
      VLOOKUP(D994,TARIFAS!A:K,4,FALSE) + IF(I994="Sí",VLOOKUP(D994,TARIFAS!A:K,5,FALSE),0)
   ),
   IF(H994="Presencial",
      VLOOKUP(D994,TARIFAS!A:K,9,FALSE) + IF(I994="Sí",VLOOKUP(D994,TARIFAS!A:K,11,FALSE),0),
      VLOOKUP(D994,TARIFAS!A:K,10,FALSE) + IF(I994="Sí",VLOOKUP(D994,TARIFAS!A:K,11,FALSE),0)
   )
 )
)
</f>
        <v>0</v>
      </c>
      <c r="M994" s="45">
        <f>IF(J994="",0,MAX(0,J994 - TARIFAS!G$2) * TARIFAS!F$2)
</f>
        <v>0</v>
      </c>
      <c r="N994" s="45">
        <f>+L994*TARIFAS!$K$2</f>
        <v>0</v>
      </c>
      <c r="O994" s="45">
        <f t="shared" si="1"/>
        <v>0</v>
      </c>
      <c r="P994" s="45">
        <f>+M994+O994+K994+(+I994-(I994*TARIFAS!$K$2))</f>
        <v>0</v>
      </c>
      <c r="Q994" s="42" t="str">
        <f>CONFERENCIAS!T994</f>
        <v/>
      </c>
      <c r="R994" s="45" t="str">
        <f>CONFERENCIAS!U994</f>
        <v/>
      </c>
      <c r="S994" s="45" t="str">
        <f>CONFERENCIAS!W994</f>
        <v/>
      </c>
      <c r="T994" s="48">
        <f>IF(Q994="",0,
   IF(E994=1,
      IF(H994="Presencial",
         VLOOKUP(D994,TARIFAS!A:K,3,FALSE) + IF(I994="Sí",VLOOKUP(D994,TARIFAS!A:K,5,FALSE),0),
         VLOOKUP(D994,TARIFAS!A:K,4,FALSE) + IF(I994="Sí",VLOOKUP(D994,TARIFAS!A:K,5,FALSE),0)
      ),
      IF(H994="Presencial",
         VLOOKUP(D994,TARIFAS!A:K,9,FALSE) + IF(I994="Sí",VLOOKUP(D994,TARIFAS!A:K,11,FALSE),0),
         VLOOKUP(D994,TARIFAS!A:K,10,FALSE) + IF(I994="Sí",VLOOKUP(D994,TARIFAS!A:K,11,FALSE),0)
      )
   )
)
</f>
        <v>0</v>
      </c>
      <c r="U994" s="45">
        <f>IF(R994="",0,MAX(0,R994 - TARIFAS!G$2) * TARIFAS!F$2)
</f>
        <v>0</v>
      </c>
      <c r="V994" s="45">
        <f>+T994*TARIFAS!$K$2</f>
        <v>0</v>
      </c>
      <c r="W994" s="45">
        <f t="shared" si="2"/>
        <v>0</v>
      </c>
      <c r="X994" s="45">
        <f t="shared" si="3"/>
        <v>0</v>
      </c>
      <c r="Y994" s="45">
        <f t="shared" si="4"/>
        <v>0</v>
      </c>
      <c r="Z994" s="42" t="str">
        <f>CONFERENCIAS!AB994</f>
        <v/>
      </c>
      <c r="AA994" s="42" t="str">
        <f>CONFERENCIAS!AC994</f>
        <v/>
      </c>
      <c r="AB994" s="47" t="str">
        <f t="shared" si="5"/>
        <v/>
      </c>
      <c r="AC994" s="9" t="str">
        <f t="shared" si="6"/>
        <v/>
      </c>
    </row>
    <row r="995">
      <c r="A995" s="42" t="str">
        <f>CONFERENCIAS!A995</f>
        <v/>
      </c>
      <c r="D995" s="42" t="str">
        <f>CONFERENCIAS!C995</f>
        <v/>
      </c>
      <c r="E995" s="42" t="str">
        <f>CONFERENCIAS!K995</f>
        <v/>
      </c>
      <c r="F995" s="49" t="str">
        <f>CONFERENCIAS!J995</f>
        <v/>
      </c>
      <c r="G995" s="42" t="str">
        <f>CONFERENCIAS!O995</f>
        <v/>
      </c>
      <c r="H995" s="42" t="str">
        <f>CONFERENCIAS!X995</f>
        <v/>
      </c>
      <c r="I995" s="42" t="str">
        <f>CONFERENCIAS!AA995</f>
        <v/>
      </c>
      <c r="J995" s="44" t="str">
        <f>CONFERENCIAS!P995</f>
        <v/>
      </c>
      <c r="K995" s="45" t="str">
        <f>CONFERENCIAS!R995</f>
        <v/>
      </c>
      <c r="L995" s="45">
        <f>IF(D995="",0,
 IF(E995=1,
   IF(H995="Presencial",
      VLOOKUP(D995,TARIFAS!A:K,3,FALSE) + IF(I995="Sí",VLOOKUP(D995,TARIFAS!A:K,5,FALSE),0),
      VLOOKUP(D995,TARIFAS!A:K,4,FALSE) + IF(I995="Sí",VLOOKUP(D995,TARIFAS!A:K,5,FALSE),0)
   ),
   IF(H995="Presencial",
      VLOOKUP(D995,TARIFAS!A:K,9,FALSE) + IF(I995="Sí",VLOOKUP(D995,TARIFAS!A:K,11,FALSE),0),
      VLOOKUP(D995,TARIFAS!A:K,10,FALSE) + IF(I995="Sí",VLOOKUP(D995,TARIFAS!A:K,11,FALSE),0)
   )
 )
)
</f>
        <v>0</v>
      </c>
      <c r="M995" s="45">
        <f>IF(J995="",0,MAX(0,J995 - TARIFAS!G$2) * TARIFAS!F$2)
</f>
        <v>0</v>
      </c>
      <c r="N995" s="45">
        <f>+L995*TARIFAS!$K$2</f>
        <v>0</v>
      </c>
      <c r="O995" s="45">
        <f t="shared" si="1"/>
        <v>0</v>
      </c>
      <c r="P995" s="45">
        <f>+M995+O995+K995+(+I995-(I995*TARIFAS!$K$2))</f>
        <v>0</v>
      </c>
      <c r="Q995" s="42" t="str">
        <f>CONFERENCIAS!T995</f>
        <v/>
      </c>
      <c r="R995" s="45" t="str">
        <f>CONFERENCIAS!U995</f>
        <v/>
      </c>
      <c r="S995" s="45" t="str">
        <f>CONFERENCIAS!W995</f>
        <v/>
      </c>
      <c r="T995" s="48">
        <f>IF(Q995="",0,
   IF(E995=1,
      IF(H995="Presencial",
         VLOOKUP(D995,TARIFAS!A:K,3,FALSE) + IF(I995="Sí",VLOOKUP(D995,TARIFAS!A:K,5,FALSE),0),
         VLOOKUP(D995,TARIFAS!A:K,4,FALSE) + IF(I995="Sí",VLOOKUP(D995,TARIFAS!A:K,5,FALSE),0)
      ),
      IF(H995="Presencial",
         VLOOKUP(D995,TARIFAS!A:K,9,FALSE) + IF(I995="Sí",VLOOKUP(D995,TARIFAS!A:K,11,FALSE),0),
         VLOOKUP(D995,TARIFAS!A:K,10,FALSE) + IF(I995="Sí",VLOOKUP(D995,TARIFAS!A:K,11,FALSE),0)
      )
   )
)
</f>
        <v>0</v>
      </c>
      <c r="U995" s="45">
        <f>IF(R995="",0,MAX(0,R995 - TARIFAS!G$2) * TARIFAS!F$2)
</f>
        <v>0</v>
      </c>
      <c r="V995" s="45">
        <f>+T995*TARIFAS!$K$2</f>
        <v>0</v>
      </c>
      <c r="W995" s="45">
        <f t="shared" si="2"/>
        <v>0</v>
      </c>
      <c r="X995" s="45">
        <f t="shared" si="3"/>
        <v>0</v>
      </c>
      <c r="Y995" s="45">
        <f t="shared" si="4"/>
        <v>0</v>
      </c>
      <c r="Z995" s="42" t="str">
        <f>CONFERENCIAS!AB995</f>
        <v/>
      </c>
      <c r="AA995" s="42" t="str">
        <f>CONFERENCIAS!AC995</f>
        <v/>
      </c>
      <c r="AB995" s="47" t="str">
        <f t="shared" si="5"/>
        <v/>
      </c>
      <c r="AC995" s="9" t="str">
        <f t="shared" si="6"/>
        <v/>
      </c>
    </row>
    <row r="996">
      <c r="A996" s="42" t="str">
        <f>CONFERENCIAS!A996</f>
        <v/>
      </c>
      <c r="D996" s="42" t="str">
        <f>CONFERENCIAS!C996</f>
        <v/>
      </c>
      <c r="E996" s="42" t="str">
        <f>CONFERENCIAS!K996</f>
        <v/>
      </c>
      <c r="F996" s="49" t="str">
        <f>CONFERENCIAS!J996</f>
        <v/>
      </c>
      <c r="G996" s="42" t="str">
        <f>CONFERENCIAS!O996</f>
        <v/>
      </c>
      <c r="H996" s="42" t="str">
        <f>CONFERENCIAS!X996</f>
        <v/>
      </c>
      <c r="I996" s="42" t="str">
        <f>CONFERENCIAS!AA996</f>
        <v/>
      </c>
      <c r="J996" s="44" t="str">
        <f>CONFERENCIAS!P996</f>
        <v/>
      </c>
      <c r="K996" s="45" t="str">
        <f>CONFERENCIAS!R996</f>
        <v/>
      </c>
      <c r="L996" s="45">
        <f>IF(D996="",0,
 IF(E996=1,
   IF(H996="Presencial",
      VLOOKUP(D996,TARIFAS!A:K,3,FALSE) + IF(I996="Sí",VLOOKUP(D996,TARIFAS!A:K,5,FALSE),0),
      VLOOKUP(D996,TARIFAS!A:K,4,FALSE) + IF(I996="Sí",VLOOKUP(D996,TARIFAS!A:K,5,FALSE),0)
   ),
   IF(H996="Presencial",
      VLOOKUP(D996,TARIFAS!A:K,9,FALSE) + IF(I996="Sí",VLOOKUP(D996,TARIFAS!A:K,11,FALSE),0),
      VLOOKUP(D996,TARIFAS!A:K,10,FALSE) + IF(I996="Sí",VLOOKUP(D996,TARIFAS!A:K,11,FALSE),0)
   )
 )
)
</f>
        <v>0</v>
      </c>
      <c r="M996" s="45">
        <f>IF(J996="",0,MAX(0,J996 - TARIFAS!G$2) * TARIFAS!F$2)
</f>
        <v>0</v>
      </c>
      <c r="N996" s="45">
        <f>+L996*TARIFAS!$K$2</f>
        <v>0</v>
      </c>
      <c r="O996" s="45">
        <f t="shared" si="1"/>
        <v>0</v>
      </c>
      <c r="P996" s="45">
        <f>+M996+O996+K996+(+I996-(I996*TARIFAS!$K$2))</f>
        <v>0</v>
      </c>
      <c r="Q996" s="42" t="str">
        <f>CONFERENCIAS!T996</f>
        <v/>
      </c>
      <c r="R996" s="45" t="str">
        <f>CONFERENCIAS!U996</f>
        <v/>
      </c>
      <c r="S996" s="45" t="str">
        <f>CONFERENCIAS!W996</f>
        <v/>
      </c>
      <c r="T996" s="48">
        <f>IF(Q996="",0,
   IF(E996=1,
      IF(H996="Presencial",
         VLOOKUP(D996,TARIFAS!A:K,3,FALSE) + IF(I996="Sí",VLOOKUP(D996,TARIFAS!A:K,5,FALSE),0),
         VLOOKUP(D996,TARIFAS!A:K,4,FALSE) + IF(I996="Sí",VLOOKUP(D996,TARIFAS!A:K,5,FALSE),0)
      ),
      IF(H996="Presencial",
         VLOOKUP(D996,TARIFAS!A:K,9,FALSE) + IF(I996="Sí",VLOOKUP(D996,TARIFAS!A:K,11,FALSE),0),
         VLOOKUP(D996,TARIFAS!A:K,10,FALSE) + IF(I996="Sí",VLOOKUP(D996,TARIFAS!A:K,11,FALSE),0)
      )
   )
)
</f>
        <v>0</v>
      </c>
      <c r="U996" s="45">
        <f>IF(R996="",0,MAX(0,R996 - TARIFAS!G$2) * TARIFAS!F$2)
</f>
        <v>0</v>
      </c>
      <c r="V996" s="45">
        <f>+T996*TARIFAS!$K$2</f>
        <v>0</v>
      </c>
      <c r="W996" s="45">
        <f t="shared" si="2"/>
        <v>0</v>
      </c>
      <c r="X996" s="45">
        <f t="shared" si="3"/>
        <v>0</v>
      </c>
      <c r="Y996" s="45">
        <f t="shared" si="4"/>
        <v>0</v>
      </c>
      <c r="Z996" s="42" t="str">
        <f>CONFERENCIAS!AB996</f>
        <v/>
      </c>
      <c r="AA996" s="42" t="str">
        <f>CONFERENCIAS!AC996</f>
        <v/>
      </c>
      <c r="AB996" s="47" t="str">
        <f t="shared" si="5"/>
        <v/>
      </c>
      <c r="AC996" s="9" t="str">
        <f t="shared" si="6"/>
        <v/>
      </c>
    </row>
    <row r="997">
      <c r="A997" s="42" t="str">
        <f>CONFERENCIAS!A997</f>
        <v/>
      </c>
      <c r="D997" s="42" t="str">
        <f>CONFERENCIAS!C997</f>
        <v/>
      </c>
      <c r="E997" s="42" t="str">
        <f>CONFERENCIAS!K997</f>
        <v/>
      </c>
      <c r="F997" s="49" t="str">
        <f>CONFERENCIAS!J997</f>
        <v/>
      </c>
      <c r="G997" s="42" t="str">
        <f>CONFERENCIAS!O997</f>
        <v/>
      </c>
      <c r="H997" s="42" t="str">
        <f>CONFERENCIAS!X997</f>
        <v/>
      </c>
      <c r="I997" s="42" t="str">
        <f>CONFERENCIAS!AA997</f>
        <v/>
      </c>
      <c r="J997" s="44" t="str">
        <f>CONFERENCIAS!P997</f>
        <v/>
      </c>
      <c r="K997" s="45" t="str">
        <f>CONFERENCIAS!R997</f>
        <v/>
      </c>
      <c r="L997" s="45">
        <f>IF(D997="",0,
 IF(E997=1,
   IF(H997="Presencial",
      VLOOKUP(D997,TARIFAS!A:K,3,FALSE) + IF(I997="Sí",VLOOKUP(D997,TARIFAS!A:K,5,FALSE),0),
      VLOOKUP(D997,TARIFAS!A:K,4,FALSE) + IF(I997="Sí",VLOOKUP(D997,TARIFAS!A:K,5,FALSE),0)
   ),
   IF(H997="Presencial",
      VLOOKUP(D997,TARIFAS!A:K,9,FALSE) + IF(I997="Sí",VLOOKUP(D997,TARIFAS!A:K,11,FALSE),0),
      VLOOKUP(D997,TARIFAS!A:K,10,FALSE) + IF(I997="Sí",VLOOKUP(D997,TARIFAS!A:K,11,FALSE),0)
   )
 )
)
</f>
        <v>0</v>
      </c>
      <c r="M997" s="45">
        <f>IF(J997="",0,MAX(0,J997 - TARIFAS!G$2) * TARIFAS!F$2)
</f>
        <v>0</v>
      </c>
      <c r="N997" s="45">
        <f>+L997*TARIFAS!$K$2</f>
        <v>0</v>
      </c>
      <c r="O997" s="45">
        <f t="shared" si="1"/>
        <v>0</v>
      </c>
      <c r="P997" s="45">
        <f>+M997+O997+K997+(+I997-(I997*TARIFAS!$K$2))</f>
        <v>0</v>
      </c>
      <c r="Q997" s="42" t="str">
        <f>CONFERENCIAS!T997</f>
        <v/>
      </c>
      <c r="R997" s="45" t="str">
        <f>CONFERENCIAS!U997</f>
        <v/>
      </c>
      <c r="S997" s="45" t="str">
        <f>CONFERENCIAS!W997</f>
        <v/>
      </c>
      <c r="T997" s="48">
        <f>IF(Q997="",0,
   IF(E997=1,
      IF(H997="Presencial",
         VLOOKUP(D997,TARIFAS!A:K,3,FALSE) + IF(I997="Sí",VLOOKUP(D997,TARIFAS!A:K,5,FALSE),0),
         VLOOKUP(D997,TARIFAS!A:K,4,FALSE) + IF(I997="Sí",VLOOKUP(D997,TARIFAS!A:K,5,FALSE),0)
      ),
      IF(H997="Presencial",
         VLOOKUP(D997,TARIFAS!A:K,9,FALSE) + IF(I997="Sí",VLOOKUP(D997,TARIFAS!A:K,11,FALSE),0),
         VLOOKUP(D997,TARIFAS!A:K,10,FALSE) + IF(I997="Sí",VLOOKUP(D997,TARIFAS!A:K,11,FALSE),0)
      )
   )
)
</f>
        <v>0</v>
      </c>
      <c r="U997" s="45">
        <f>IF(R997="",0,MAX(0,R997 - TARIFAS!G$2) * TARIFAS!F$2)
</f>
        <v>0</v>
      </c>
      <c r="V997" s="45">
        <f>+T997*TARIFAS!$K$2</f>
        <v>0</v>
      </c>
      <c r="W997" s="45">
        <f t="shared" si="2"/>
        <v>0</v>
      </c>
      <c r="X997" s="45">
        <f t="shared" si="3"/>
        <v>0</v>
      </c>
      <c r="Y997" s="45">
        <f t="shared" si="4"/>
        <v>0</v>
      </c>
      <c r="Z997" s="42" t="str">
        <f>CONFERENCIAS!AB997</f>
        <v/>
      </c>
      <c r="AA997" s="42" t="str">
        <f>CONFERENCIAS!AC997</f>
        <v/>
      </c>
      <c r="AB997" s="47" t="str">
        <f t="shared" si="5"/>
        <v/>
      </c>
      <c r="AC997" s="9" t="str">
        <f t="shared" si="6"/>
        <v/>
      </c>
    </row>
    <row r="998">
      <c r="A998" s="42" t="str">
        <f>CONFERENCIAS!A998</f>
        <v/>
      </c>
      <c r="D998" s="42" t="str">
        <f>CONFERENCIAS!C998</f>
        <v/>
      </c>
      <c r="E998" s="42" t="str">
        <f>CONFERENCIAS!K998</f>
        <v/>
      </c>
      <c r="F998" s="49" t="str">
        <f>CONFERENCIAS!J998</f>
        <v/>
      </c>
      <c r="G998" s="42" t="str">
        <f>CONFERENCIAS!O998</f>
        <v/>
      </c>
      <c r="H998" s="42" t="str">
        <f>CONFERENCIAS!X998</f>
        <v/>
      </c>
      <c r="I998" s="42" t="str">
        <f>CONFERENCIAS!AA998</f>
        <v/>
      </c>
      <c r="J998" s="44" t="str">
        <f>CONFERENCIAS!P998</f>
        <v/>
      </c>
      <c r="K998" s="45" t="str">
        <f>CONFERENCIAS!R998</f>
        <v/>
      </c>
      <c r="L998" s="45">
        <f>IF(D998="",0,
 IF(E998=1,
   IF(H998="Presencial",
      VLOOKUP(D998,TARIFAS!A:K,3,FALSE) + IF(I998="Sí",VLOOKUP(D998,TARIFAS!A:K,5,FALSE),0),
      VLOOKUP(D998,TARIFAS!A:K,4,FALSE) + IF(I998="Sí",VLOOKUP(D998,TARIFAS!A:K,5,FALSE),0)
   ),
   IF(H998="Presencial",
      VLOOKUP(D998,TARIFAS!A:K,9,FALSE) + IF(I998="Sí",VLOOKUP(D998,TARIFAS!A:K,11,FALSE),0),
      VLOOKUP(D998,TARIFAS!A:K,10,FALSE) + IF(I998="Sí",VLOOKUP(D998,TARIFAS!A:K,11,FALSE),0)
   )
 )
)
</f>
        <v>0</v>
      </c>
      <c r="M998" s="45">
        <f>IF(J998="",0,MAX(0,J998 - TARIFAS!G$2) * TARIFAS!F$2)
</f>
        <v>0</v>
      </c>
      <c r="N998" s="45">
        <f>+L998*TARIFAS!$K$2</f>
        <v>0</v>
      </c>
      <c r="O998" s="45">
        <f t="shared" si="1"/>
        <v>0</v>
      </c>
      <c r="P998" s="45">
        <f>+M998+O998+K998+(+I998-(I998*TARIFAS!$K$2))</f>
        <v>0</v>
      </c>
      <c r="Q998" s="42" t="str">
        <f>CONFERENCIAS!T998</f>
        <v/>
      </c>
      <c r="R998" s="45" t="str">
        <f>CONFERENCIAS!U998</f>
        <v/>
      </c>
      <c r="S998" s="45" t="str">
        <f>CONFERENCIAS!W998</f>
        <v/>
      </c>
      <c r="T998" s="48">
        <f>IF(Q998="",0,
   IF(E998=1,
      IF(H998="Presencial",
         VLOOKUP(D998,TARIFAS!A:K,3,FALSE) + IF(I998="Sí",VLOOKUP(D998,TARIFAS!A:K,5,FALSE),0),
         VLOOKUP(D998,TARIFAS!A:K,4,FALSE) + IF(I998="Sí",VLOOKUP(D998,TARIFAS!A:K,5,FALSE),0)
      ),
      IF(H998="Presencial",
         VLOOKUP(D998,TARIFAS!A:K,9,FALSE) + IF(I998="Sí",VLOOKUP(D998,TARIFAS!A:K,11,FALSE),0),
         VLOOKUP(D998,TARIFAS!A:K,10,FALSE) + IF(I998="Sí",VLOOKUP(D998,TARIFAS!A:K,11,FALSE),0)
      )
   )
)
</f>
        <v>0</v>
      </c>
      <c r="U998" s="45">
        <f>IF(R998="",0,MAX(0,R998 - TARIFAS!G$2) * TARIFAS!F$2)
</f>
        <v>0</v>
      </c>
      <c r="V998" s="45">
        <f>+T998*TARIFAS!$K$2</f>
        <v>0</v>
      </c>
      <c r="W998" s="45">
        <f t="shared" si="2"/>
        <v>0</v>
      </c>
      <c r="X998" s="45">
        <f t="shared" si="3"/>
        <v>0</v>
      </c>
      <c r="Y998" s="45">
        <f t="shared" si="4"/>
        <v>0</v>
      </c>
      <c r="Z998" s="42" t="str">
        <f>CONFERENCIAS!AB998</f>
        <v/>
      </c>
      <c r="AA998" s="42" t="str">
        <f>CONFERENCIAS!AC998</f>
        <v/>
      </c>
      <c r="AB998" s="47" t="str">
        <f t="shared" si="5"/>
        <v/>
      </c>
      <c r="AC998" s="9" t="str">
        <f t="shared" si="6"/>
        <v/>
      </c>
    </row>
    <row r="999">
      <c r="A999" s="42" t="str">
        <f>CONFERENCIAS!A999</f>
        <v/>
      </c>
      <c r="D999" s="42" t="str">
        <f>CONFERENCIAS!C999</f>
        <v/>
      </c>
      <c r="E999" s="42" t="str">
        <f>CONFERENCIAS!K999</f>
        <v/>
      </c>
      <c r="F999" s="49" t="str">
        <f>CONFERENCIAS!J999</f>
        <v/>
      </c>
      <c r="G999" s="42" t="str">
        <f>CONFERENCIAS!O999</f>
        <v/>
      </c>
      <c r="H999" s="42" t="str">
        <f>CONFERENCIAS!X999</f>
        <v/>
      </c>
      <c r="I999" s="42" t="str">
        <f>CONFERENCIAS!AA999</f>
        <v/>
      </c>
      <c r="J999" s="44" t="str">
        <f>CONFERENCIAS!P999</f>
        <v/>
      </c>
      <c r="K999" s="45" t="str">
        <f>CONFERENCIAS!R999</f>
        <v/>
      </c>
      <c r="L999" s="45">
        <f>IF(D999="",0,
 IF(E999=1,
   IF(H999="Presencial",
      VLOOKUP(D999,TARIFAS!A:K,3,FALSE) + IF(I999="Sí",VLOOKUP(D999,TARIFAS!A:K,5,FALSE),0),
      VLOOKUP(D999,TARIFAS!A:K,4,FALSE) + IF(I999="Sí",VLOOKUP(D999,TARIFAS!A:K,5,FALSE),0)
   ),
   IF(H999="Presencial",
      VLOOKUP(D999,TARIFAS!A:K,9,FALSE) + IF(I999="Sí",VLOOKUP(D999,TARIFAS!A:K,11,FALSE),0),
      VLOOKUP(D999,TARIFAS!A:K,10,FALSE) + IF(I999="Sí",VLOOKUP(D999,TARIFAS!A:K,11,FALSE),0)
   )
 )
)
</f>
        <v>0</v>
      </c>
      <c r="M999" s="45">
        <f>IF(J999="",0,MAX(0,J999 - TARIFAS!G$2) * TARIFAS!F$2)
</f>
        <v>0</v>
      </c>
      <c r="N999" s="45">
        <f>+L999*TARIFAS!$K$2</f>
        <v>0</v>
      </c>
      <c r="O999" s="45">
        <f t="shared" si="1"/>
        <v>0</v>
      </c>
      <c r="P999" s="45">
        <f>+M999+O999+K999+(+I999-(I999*TARIFAS!$K$2))</f>
        <v>0</v>
      </c>
      <c r="Q999" s="42" t="str">
        <f>CONFERENCIAS!T999</f>
        <v/>
      </c>
      <c r="R999" s="45" t="str">
        <f>CONFERENCIAS!U999</f>
        <v/>
      </c>
      <c r="S999" s="45" t="str">
        <f>CONFERENCIAS!W999</f>
        <v/>
      </c>
      <c r="T999" s="48">
        <f>IF(Q999="",0,
   IF(E999=1,
      IF(H999="Presencial",
         VLOOKUP(D999,TARIFAS!A:K,3,FALSE) + IF(I999="Sí",VLOOKUP(D999,TARIFAS!A:K,5,FALSE),0),
         VLOOKUP(D999,TARIFAS!A:K,4,FALSE) + IF(I999="Sí",VLOOKUP(D999,TARIFAS!A:K,5,FALSE),0)
      ),
      IF(H999="Presencial",
         VLOOKUP(D999,TARIFAS!A:K,9,FALSE) + IF(I999="Sí",VLOOKUP(D999,TARIFAS!A:K,11,FALSE),0),
         VLOOKUP(D999,TARIFAS!A:K,10,FALSE) + IF(I999="Sí",VLOOKUP(D999,TARIFAS!A:K,11,FALSE),0)
      )
   )
)
</f>
        <v>0</v>
      </c>
      <c r="U999" s="45">
        <f>IF(R999="",0,MAX(0,R999 - TARIFAS!G$2) * TARIFAS!F$2)
</f>
        <v>0</v>
      </c>
      <c r="V999" s="45">
        <f>+T999*TARIFAS!$K$2</f>
        <v>0</v>
      </c>
      <c r="W999" s="45">
        <f t="shared" si="2"/>
        <v>0</v>
      </c>
      <c r="X999" s="45">
        <f t="shared" si="3"/>
        <v>0</v>
      </c>
      <c r="Y999" s="45">
        <f t="shared" si="4"/>
        <v>0</v>
      </c>
      <c r="Z999" s="42" t="str">
        <f>CONFERENCIAS!AB999</f>
        <v/>
      </c>
      <c r="AA999" s="42" t="str">
        <f>CONFERENCIAS!AC999</f>
        <v/>
      </c>
      <c r="AB999" s="47" t="str">
        <f t="shared" si="5"/>
        <v/>
      </c>
      <c r="AC999" s="9" t="str">
        <f t="shared" si="6"/>
        <v/>
      </c>
    </row>
    <row r="1000">
      <c r="A1000" s="42" t="str">
        <f>CONFERENCIAS!A1000</f>
        <v/>
      </c>
      <c r="D1000" s="42" t="str">
        <f>CONFERENCIAS!C1000</f>
        <v/>
      </c>
      <c r="E1000" s="42" t="str">
        <f>CONFERENCIAS!K1000</f>
        <v/>
      </c>
      <c r="F1000" s="49" t="str">
        <f>CONFERENCIAS!J1000</f>
        <v/>
      </c>
      <c r="G1000" s="42" t="str">
        <f>CONFERENCIAS!O1000</f>
        <v/>
      </c>
      <c r="H1000" s="42" t="str">
        <f>CONFERENCIAS!X1000</f>
        <v/>
      </c>
      <c r="I1000" s="42" t="str">
        <f>CONFERENCIAS!AA1000</f>
        <v/>
      </c>
      <c r="J1000" s="44" t="str">
        <f>CONFERENCIAS!P1000</f>
        <v/>
      </c>
      <c r="K1000" s="45" t="str">
        <f>CONFERENCIAS!R1000</f>
        <v/>
      </c>
      <c r="L1000" s="45">
        <f>IF(D1000="",0,
 IF(E1000=1,
   IF(H1000="Presencial",
      VLOOKUP(D1000,TARIFAS!A:K,3,FALSE) + IF(I1000="Sí",VLOOKUP(D1000,TARIFAS!A:K,5,FALSE),0),
      VLOOKUP(D1000,TARIFAS!A:K,4,FALSE) + IF(I1000="Sí",VLOOKUP(D1000,TARIFAS!A:K,5,FALSE),0)
   ),
   IF(H1000="Presencial",
      VLOOKUP(D1000,TARIFAS!A:K,9,FALSE) + IF(I1000="Sí",VLOOKUP(D1000,TARIFAS!A:K,11,FALSE),0),
      VLOOKUP(D1000,TARIFAS!A:K,10,FALSE) + IF(I1000="Sí",VLOOKUP(D1000,TARIFAS!A:K,11,FALSE),0)
   )
 )
)
</f>
        <v>0</v>
      </c>
      <c r="M1000" s="45">
        <f>IF(J1000="",0,MAX(0,J1000 - TARIFAS!G$2) * TARIFAS!F$2)
</f>
        <v>0</v>
      </c>
      <c r="N1000" s="45">
        <f>+L1000*TARIFAS!$K$2</f>
        <v>0</v>
      </c>
      <c r="O1000" s="45">
        <f t="shared" si="1"/>
        <v>0</v>
      </c>
      <c r="P1000" s="45">
        <f>+M1000+O1000+K1000+(+I1000-(I1000*TARIFAS!$K$2))</f>
        <v>0</v>
      </c>
      <c r="Q1000" s="42" t="str">
        <f>CONFERENCIAS!T1000</f>
        <v/>
      </c>
      <c r="R1000" s="45" t="str">
        <f>CONFERENCIAS!U1000</f>
        <v/>
      </c>
      <c r="S1000" s="45" t="str">
        <f>CONFERENCIAS!W1000</f>
        <v/>
      </c>
      <c r="T1000" s="48">
        <f>IF(Q1000="",0,
   IF(E1000=1,
      IF(H1000="Presencial",
         VLOOKUP(D1000,TARIFAS!A:K,3,FALSE) + IF(I1000="Sí",VLOOKUP(D1000,TARIFAS!A:K,5,FALSE),0),
         VLOOKUP(D1000,TARIFAS!A:K,4,FALSE) + IF(I1000="Sí",VLOOKUP(D1000,TARIFAS!A:K,5,FALSE),0)
      ),
      IF(H1000="Presencial",
         VLOOKUP(D1000,TARIFAS!A:K,9,FALSE) + IF(I1000="Sí",VLOOKUP(D1000,TARIFAS!A:K,11,FALSE),0),
         VLOOKUP(D1000,TARIFAS!A:K,10,FALSE) + IF(I1000="Sí",VLOOKUP(D1000,TARIFAS!A:K,11,FALSE),0)
      )
   )
)
</f>
        <v>0</v>
      </c>
      <c r="U1000" s="45">
        <f>IF(R1000="",0,MAX(0,R1000 - TARIFAS!G$2) * TARIFAS!F$2)
</f>
        <v>0</v>
      </c>
      <c r="V1000" s="45">
        <f>+T1000*TARIFAS!$K$2</f>
        <v>0</v>
      </c>
      <c r="W1000" s="45">
        <f t="shared" si="2"/>
        <v>0</v>
      </c>
      <c r="X1000" s="45">
        <f t="shared" si="3"/>
        <v>0</v>
      </c>
      <c r="Y1000" s="45">
        <f t="shared" si="4"/>
        <v>0</v>
      </c>
      <c r="Z1000" s="42" t="str">
        <f>CONFERENCIAS!AB1000</f>
        <v/>
      </c>
      <c r="AA1000" s="42" t="str">
        <f>CONFERENCIAS!AC1000</f>
        <v/>
      </c>
      <c r="AB1000" s="47" t="str">
        <f t="shared" si="5"/>
        <v/>
      </c>
      <c r="AC1000" s="9" t="str">
        <f t="shared" si="6"/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1.25"/>
    <col customWidth="1" min="4" max="4" width="17.5"/>
    <col customWidth="1" min="6" max="6" width="20.25"/>
    <col customWidth="1" min="7" max="7" width="17.5"/>
    <col customWidth="1" min="8" max="8" width="16.0"/>
    <col customWidth="1" min="9" max="9" width="16.13"/>
    <col customWidth="1" min="12" max="12" width="19.5"/>
  </cols>
  <sheetData>
    <row r="1">
      <c r="A1" s="46" t="s">
        <v>246</v>
      </c>
      <c r="B1" s="46" t="s">
        <v>247</v>
      </c>
      <c r="C1" s="46" t="s">
        <v>11</v>
      </c>
      <c r="D1" s="46" t="s">
        <v>249</v>
      </c>
      <c r="E1" s="46" t="s">
        <v>250</v>
      </c>
      <c r="F1" s="46" t="s">
        <v>251</v>
      </c>
      <c r="G1" s="46" t="s">
        <v>252</v>
      </c>
      <c r="H1" s="46" t="s">
        <v>253</v>
      </c>
      <c r="I1" s="46" t="s">
        <v>254</v>
      </c>
      <c r="J1" s="46" t="s">
        <v>255</v>
      </c>
      <c r="K1" s="46" t="s">
        <v>256</v>
      </c>
      <c r="L1" s="46" t="s">
        <v>204</v>
      </c>
      <c r="M1" s="46" t="s">
        <v>257</v>
      </c>
      <c r="N1" s="46" t="s">
        <v>258</v>
      </c>
      <c r="O1" s="46" t="s">
        <v>259</v>
      </c>
    </row>
    <row r="2">
      <c r="A2" s="42"/>
      <c r="B2" s="42" t="str">
        <f>IF(A2="","",VLOOKUP(A2,'CÁLCULOS'!Z2:Z1000,7,FALSE))</f>
        <v/>
      </c>
      <c r="C2" s="47" t="s">
        <v>40</v>
      </c>
      <c r="D2" s="42" t="str">
        <f t="array" ref="D2">CHOOSE(
  MATCH(
    LOWER(C1),
    {"enero";"febrero";"marzo";"abril";"mayo";"junio";"julio";"agosto";"septiembre";"octubre";"noviembre";"diciembre"},
    0
  ),
  1,2,3,4,5,6,7,8,9,10,11,12
)
</f>
        <v>#N/A</v>
      </c>
      <c r="E2" s="42"/>
      <c r="F2" s="42" t="str">
        <f>+SUMIFS(M2:M1000,AA2,AA1000,$A2,AD2:AD1000,$C2,AC2,AC1000,$E2)</f>
        <v>#VALUE!</v>
      </c>
    </row>
  </sheetData>
  <dataValidations>
    <dataValidation type="list" allowBlank="1" showErrorMessage="1" sqref="A2">
      <formula1>'CÁLCULOS'!$Z$2:$Z$1000</formula1>
    </dataValidation>
    <dataValidation type="list" allowBlank="1" showErrorMessage="1" sqref="C2">
      <formula1>'Validación de datos'!$G$2:$G$13</formula1>
    </dataValidation>
    <dataValidation type="list" allowBlank="1" showErrorMessage="1" sqref="E2">
      <formula1>'Validación de datos'!$R$2:$R$8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2.75"/>
    <col customWidth="1" min="5" max="5" width="20.25"/>
    <col customWidth="1" min="6" max="6" width="17.5"/>
    <col customWidth="1" min="7" max="7" width="16.0"/>
    <col customWidth="1" min="8" max="8" width="16.13"/>
    <col customWidth="1" min="11" max="11" width="19.5"/>
  </cols>
  <sheetData>
    <row r="1">
      <c r="A1" s="46" t="s">
        <v>295</v>
      </c>
      <c r="B1" s="46" t="s">
        <v>296</v>
      </c>
      <c r="C1" s="46" t="s">
        <v>11</v>
      </c>
      <c r="D1" s="46" t="s">
        <v>250</v>
      </c>
      <c r="E1" s="46" t="s">
        <v>251</v>
      </c>
      <c r="F1" s="46" t="s">
        <v>252</v>
      </c>
      <c r="G1" s="46" t="s">
        <v>253</v>
      </c>
      <c r="H1" s="46" t="s">
        <v>254</v>
      </c>
      <c r="I1" s="46" t="s">
        <v>255</v>
      </c>
      <c r="J1" s="46" t="s">
        <v>256</v>
      </c>
      <c r="K1" s="46" t="s">
        <v>204</v>
      </c>
      <c r="L1" s="46" t="s">
        <v>257</v>
      </c>
      <c r="M1" s="46" t="s">
        <v>258</v>
      </c>
      <c r="N1" s="46" t="s">
        <v>259</v>
      </c>
    </row>
    <row r="2">
      <c r="A2" s="42"/>
      <c r="B2" s="42" t="str">
        <f>IF(A2="","",VLOOKUP(A2,'CÁLCULOS'!AA2:AA1000,17,FALSE))</f>
        <v/>
      </c>
      <c r="C2" s="42"/>
      <c r="D2" s="42"/>
    </row>
  </sheetData>
  <dataValidations>
    <dataValidation type="list" allowBlank="1" showErrorMessage="1" sqref="A2">
      <formula1>'CÁLCULOS'!$AA$2:$AA$1000</formula1>
    </dataValidation>
    <dataValidation type="list" allowBlank="1" showErrorMessage="1" sqref="C2">
      <formula1>'Validación de datos'!$G$2:$G$13</formula1>
    </dataValidation>
    <dataValidation type="list" allowBlank="1" showErrorMessage="1" sqref="D2">
      <formula1>'Validación de datos'!$R$2:$R$8</formula1>
    </dataValidation>
  </dataValidations>
  <drawing r:id="rId1"/>
</worksheet>
</file>